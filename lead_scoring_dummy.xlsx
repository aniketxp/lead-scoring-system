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ads" sheetId="2" state="visible" r:id="rId4"/>
    <sheet name="Audit" sheetId="3" state="visible" r:id="rId5"/>
    <sheet name="Spam Rules" sheetId="4" state="visible" r:id="rId6"/>
    <sheet name="Scoring Model" sheetId="5" state="visible" r:id="rId7"/>
    <sheet name="Conversion Model" sheetId="6" state="visible" r:id="rId8"/>
    <sheet name="Label Sample" sheetId="7" state="visible" r:id="rId9"/>
    <sheet name="Answer Key" sheetId="8" state="visible" r:id="rId10"/>
  </sheets>
  <definedNames>
    <definedName function="false" hidden="true" localSheetId="1" name="_xlnm._FilterDatabase" vbProcedure="false">Leads!$A$1:$AH$801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Assumption, not measured. Replace with a real estimate from sales.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Assumption. Try 2 for a stricter gate with fewer false positives.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Learned by train_model.py (logistic regression, refit on all resolved leads). Log-odds units, positive raises the probability.</t>
        </r>
      </text>
    </comment>
  </commentList>
</comments>
</file>

<file path=xl/sharedStrings.xml><?xml version="1.0" encoding="utf-8"?>
<sst xmlns="http://schemas.openxmlformats.org/spreadsheetml/2006/main" count="10263" uniqueCount="2728">
  <si>
    <t xml:space="preserve">Lead Scoring Phase 0 Workbook (DUMMY DATA)</t>
  </si>
  <si>
    <t xml:space="preserve">All leads, names, emails and companies in this file are synthetic. Built to rehearse the Phase 0 audit before real data is available.</t>
  </si>
  <si>
    <t xml:space="preserve">Tabs</t>
  </si>
  <si>
    <t xml:space="preserve">Leads  |  800 synthetic leads, Oct 2025 to Sep 2026, with rule-based spam flags calculated by formula (columns R to X).</t>
  </si>
  <si>
    <t xml:space="preserve">Audit  |  Phase 0 baselines. Volume, spam share, logging gaps, qualification rates, response times. All formulas.</t>
  </si>
  <si>
    <t xml:space="preserve">Spam Rules  |  Draft v0 spam rules with hits, precision and recall against tagged leads. Edit keywords or threshold to test.</t>
  </si>
  <si>
    <t xml:space="preserve">Label Sample  |  150 leads for manual labeling practice. Pick a label from the dropdown in column H.</t>
  </si>
  <si>
    <t xml:space="preserve">Answer Key  |  The hidden true label for each sample lead, to check manual labeling accuracy.</t>
  </si>
  <si>
    <t xml:space="preserve">Status values</t>
  </si>
  <si>
    <t xml:space="preserve">Spam, Unqualified, Open (in progress), Qualified (opportunity), Won, Lost (qualified then lost). Blank = never tagged.</t>
  </si>
  <si>
    <t xml:space="preserve">Qualified+ = Qualified + Won + Lost, i.e. the lead reached qualified opportunity (the proposed primary label).</t>
  </si>
  <si>
    <t xml:space="preserve">Legend</t>
  </si>
  <si>
    <t xml:space="preserve">Blue text on yellow fill = input or assumption you can change. Black = formula.</t>
  </si>
  <si>
    <t xml:space="preserve">Logging gap is deliberate. Older leads are less often tagged, mirroring what usually happens in real sheets.</t>
  </si>
  <si>
    <t xml:space="preserve">Scoring Model  |  Phase 2 transparent points score. Weights, buckets and keywords are editable. Scores land in Leads columns X to AF.</t>
  </si>
  <si>
    <t xml:space="preserve">Conversion Model  |  Phase 3 learned weights, live probability in Leads column AG, test results and calibration check.</t>
  </si>
  <si>
    <t xml:space="preserve">Lead ID</t>
  </si>
  <si>
    <t xml:space="preserve">Created At</t>
  </si>
  <si>
    <t xml:space="preserve">Source</t>
  </si>
  <si>
    <t xml:space="preserve">Name</t>
  </si>
  <si>
    <t xml:space="preserve">Email</t>
  </si>
  <si>
    <t xml:space="preserve">Email Type</t>
  </si>
  <si>
    <t xml:space="preserve">Company</t>
  </si>
  <si>
    <t xml:space="preserve">Website</t>
  </si>
  <si>
    <t xml:space="preserve">Country</t>
  </si>
  <si>
    <t xml:space="preserve">Product Interest</t>
  </si>
  <si>
    <t xml:space="preserve">Form Message</t>
  </si>
  <si>
    <t xml:space="preserve">Pages Visited</t>
  </si>
  <si>
    <t xml:space="preserve">First Response (hrs)</t>
  </si>
  <si>
    <t xml:space="preserve">Owner</t>
  </si>
  <si>
    <t xml:space="preserve">Status</t>
  </si>
  <si>
    <t xml:space="preserve">Deal Value (USD)</t>
  </si>
  <si>
    <t xml:space="preserve">Flag: Disposable Email</t>
  </si>
  <si>
    <t xml:space="preserve">Flag: Vendor/Scam Keyword</t>
  </si>
  <si>
    <t xml:space="preserve">Flag: Free Email + No Company</t>
  </si>
  <si>
    <t xml:space="preserve">Flag: Very Short Message</t>
  </si>
  <si>
    <t xml:space="preserve">Flag: Duplicate Email</t>
  </si>
  <si>
    <t xml:space="preserve">Rule Score</t>
  </si>
  <si>
    <t xml:space="preserve">Rule Verdict</t>
  </si>
  <si>
    <t xml:space="preserve">Pts: Source</t>
  </si>
  <si>
    <t xml:space="preserve">Pts: Email Type</t>
  </si>
  <si>
    <t xml:space="preserve">Pts: Product</t>
  </si>
  <si>
    <t xml:space="preserve">Pts: Engagement</t>
  </si>
  <si>
    <t xml:space="preserve">Pts: Buying Intent</t>
  </si>
  <si>
    <t xml:space="preserve">Pts: Negative Intent</t>
  </si>
  <si>
    <t xml:space="preserve">Lead Score</t>
  </si>
  <si>
    <t xml:space="preserve">Bucket</t>
  </si>
  <si>
    <t xml:space="preserve">Top Reasons</t>
  </si>
  <si>
    <t xml:space="preserve">Conversion Probability</t>
  </si>
  <si>
    <t xml:space="preserve">Resolved Outcome (1 = Qualified+, 0 = Unqualified)</t>
  </si>
  <si>
    <t xml:space="preserve">L-0001</t>
  </si>
  <si>
    <t xml:space="preserve">Website Contact Form</t>
  </si>
  <si>
    <t xml:space="preserve">Mateo Ivanova</t>
  </si>
  <si>
    <t xml:space="preserve">mateo.ivanova@freemail.example</t>
  </si>
  <si>
    <t xml:space="preserve">Free</t>
  </si>
  <si>
    <t xml:space="preserve">Quillmoor Money</t>
  </si>
  <si>
    <t xml:space="preserve">UAE</t>
  </si>
  <si>
    <t xml:space="preserve">Payments - Virtual Accounts</t>
  </si>
  <si>
    <t xml:space="preserve">We raised a seed round and plan to launch a digital savings platform for SMEs. Want to discuss infrastructure.</t>
  </si>
  <si>
    <t xml:space="preserve">Vikram</t>
  </si>
  <si>
    <t xml:space="preserve">L-0002</t>
  </si>
  <si>
    <t xml:space="preserve">Elena Berg</t>
  </si>
  <si>
    <t xml:space="preserve">elena60@vanishmail.example</t>
  </si>
  <si>
    <t xml:space="preserve">Disposable</t>
  </si>
  <si>
    <t xml:space="preserve">UK</t>
  </si>
  <si>
    <t xml:space="preserve">Other</t>
  </si>
  <si>
    <t xml:space="preserve">Boost your Twitter followers and Telegram members, organic fintech marketing.</t>
  </si>
  <si>
    <t xml:space="preserve">Unassigned</t>
  </si>
  <si>
    <t xml:space="preserve">Spam</t>
  </si>
  <si>
    <t xml:space="preserve">L-0003</t>
  </si>
  <si>
    <t xml:space="preserve">Daniel Brown</t>
  </si>
  <si>
    <t xml:space="preserve">daniel.brown@webmail.example</t>
  </si>
  <si>
    <t xml:space="preserve">Plumeridge Money</t>
  </si>
  <si>
    <t xml:space="preserve">Switzerland</t>
  </si>
  <si>
    <t xml:space="preserve">I am a student researching open banking for my thesis. Can you share some material?</t>
  </si>
  <si>
    <t xml:space="preserve">L-0004</t>
  </si>
  <si>
    <t xml:space="preserve">Chat Widget</t>
  </si>
  <si>
    <t xml:space="preserve">Daniel Costa</t>
  </si>
  <si>
    <t xml:space="preserve">daniel257@inboxly.example</t>
  </si>
  <si>
    <t xml:space="preserve">Listpeak Directory</t>
  </si>
  <si>
    <t xml:space="preserve">Singapore</t>
  </si>
  <si>
    <t xml:space="preserve">KYC Verification</t>
  </si>
  <si>
    <t xml:space="preserve">Get your app listing on top review sites in 48 hours, guaranteed. Contact our listing agent.</t>
  </si>
  <si>
    <t xml:space="preserve">L-0005</t>
  </si>
  <si>
    <t xml:space="preserve">Ethan Silva</t>
  </si>
  <si>
    <t xml:space="preserve">ethan460@codewhistleoutsourcing.example</t>
  </si>
  <si>
    <t xml:space="preserve">Codewhistle Outsourcing</t>
  </si>
  <si>
    <t xml:space="preserve">https://codewhistleoutsourcing.example</t>
  </si>
  <si>
    <t xml:space="preserve">India</t>
  </si>
  <si>
    <t xml:space="preserve">Claim your cashback reward now at the link below.</t>
  </si>
  <si>
    <t xml:space="preserve">L-0006</t>
  </si>
  <si>
    <t xml:space="preserve">Docs Signup</t>
  </si>
  <si>
    <t xml:space="preserve">Chloe Tanaka</t>
  </si>
  <si>
    <t xml:space="preserve">noah26@postbox.example</t>
  </si>
  <si>
    <t xml:space="preserve">Japan</t>
  </si>
  <si>
    <t xml:space="preserve">Partnership proposal for fintech influencer marketing campaign, 500k reach.</t>
  </si>
  <si>
    <t xml:space="preserve">Rahul</t>
  </si>
  <si>
    <t xml:space="preserve">L-0007</t>
  </si>
  <si>
    <t xml:space="preserve">Mateo Haddad</t>
  </si>
  <si>
    <t xml:space="preserve">mateo.haddad@webmail.example</t>
  </si>
  <si>
    <t xml:space="preserve">Zellowmark Labs</t>
  </si>
  <si>
    <t xml:space="preserve">Can I use your API for a personal budget tracker?</t>
  </si>
  <si>
    <t xml:space="preserve">L-0008</t>
  </si>
  <si>
    <t xml:space="preserve">Nadia Costa</t>
  </si>
  <si>
    <t xml:space="preserve">nadia.costa@larkspindlewallet.example</t>
  </si>
  <si>
    <t xml:space="preserve">Larkspindle Wallet</t>
  </si>
  <si>
    <t xml:space="preserve">https://larkspindlewallet.example</t>
  </si>
  <si>
    <t xml:space="preserve">Turkey</t>
  </si>
  <si>
    <t xml:space="preserve">Payments - Payouts</t>
  </si>
  <si>
    <t xml:space="preserve">Evaluating payouts providers for our loyalty app. Can we get a demo and a cost comparison?</t>
  </si>
  <si>
    <t xml:space="preserve">Lost</t>
  </si>
  <si>
    <t xml:space="preserve">L-0009</t>
  </si>
  <si>
    <t xml:space="preserve">Event</t>
  </si>
  <si>
    <t xml:space="preserve">Mateo Okafor</t>
  </si>
  <si>
    <t xml:space="preserve">mateo.okafor@freemail.example</t>
  </si>
  <si>
    <t xml:space="preserve">Vexmoor Labs</t>
  </si>
  <si>
    <t xml:space="preserve">Brazil</t>
  </si>
  <si>
    <t xml:space="preserve">Lending - Credit Scoring</t>
  </si>
  <si>
    <t xml:space="preserve">Looking for pricing on KYC verification across 5 countries. Our current vendor keeps missing checks.</t>
  </si>
  <si>
    <t xml:space="preserve">L-0010</t>
  </si>
  <si>
    <t xml:space="preserve">Ji-woo Brown</t>
  </si>
  <si>
    <t xml:space="preserve">noah877@letterdrop.example</t>
  </si>
  <si>
    <t xml:space="preserve">Payments - Card Issuing</t>
  </si>
  <si>
    <t xml:space="preserve">L-0011</t>
  </si>
  <si>
    <t xml:space="preserve">Zara Kim</t>
  </si>
  <si>
    <t xml:space="preserve">zara780@letterdrop.example</t>
  </si>
  <si>
    <t xml:space="preserve">hi</t>
  </si>
  <si>
    <t xml:space="preserve">L-0012</t>
  </si>
  <si>
    <t xml:space="preserve">Partner Referral</t>
  </si>
  <si>
    <t xml:space="preserve">Mateo Garcia</t>
  </si>
  <si>
    <t xml:space="preserve">mateo.garcia@juniperholtcommerce.example</t>
  </si>
  <si>
    <t xml:space="preserve">Juniperholt Commerce</t>
  </si>
  <si>
    <t xml:space="preserve">https://juniperholtcommerce.example</t>
  </si>
  <si>
    <t xml:space="preserve">Open</t>
  </si>
  <si>
    <t xml:space="preserve">L-0013</t>
  </si>
  <si>
    <t xml:space="preserve">LinkedIn ABM</t>
  </si>
  <si>
    <t xml:space="preserve">Ananya Lee</t>
  </si>
  <si>
    <t xml:space="preserve">ananya.lee@webmail.example</t>
  </si>
  <si>
    <t xml:space="preserve">Brindlewick Pay</t>
  </si>
  <si>
    <t xml:space="preserve">Germany</t>
  </si>
  <si>
    <t xml:space="preserve">L-0014</t>
  </si>
  <si>
    <t xml:space="preserve">Zara Garcia</t>
  </si>
  <si>
    <t xml:space="preserve">zara.garcia@dunmarrowcapital.example</t>
  </si>
  <si>
    <t xml:space="preserve">Dunmarrow Capital</t>
  </si>
  <si>
    <t xml:space="preserve">https://dunmarrowcapital.example</t>
  </si>
  <si>
    <t xml:space="preserve">Banking Data API</t>
  </si>
  <si>
    <t xml:space="preserve">We are launching a loyalty product and need a managed card issuing setup with go-live in Q2.</t>
  </si>
  <si>
    <t xml:space="preserve">Won</t>
  </si>
  <si>
    <t xml:space="preserve">L-0015</t>
  </si>
  <si>
    <t xml:space="preserve">Ravi Lee</t>
  </si>
  <si>
    <t xml:space="preserve">ravi.lee@quarrytidefinance.example</t>
  </si>
  <si>
    <t xml:space="preserve">Quarrytide Finance</t>
  </si>
  <si>
    <t xml:space="preserve">https://quarrytidefinance.example</t>
  </si>
  <si>
    <t xml:space="preserve">We are launching a marketplace product and need a managed card issuing setup with go-live in Q2.</t>
  </si>
  <si>
    <t xml:space="preserve">L-0016</t>
  </si>
  <si>
    <t xml:space="preserve">Lucas Costa</t>
  </si>
  <si>
    <t xml:space="preserve">lucas.costa@pellowinstudio.example</t>
  </si>
  <si>
    <t xml:space="preserve">Pellowin Studio</t>
  </si>
  <si>
    <t xml:space="preserve">https://pellowinstudio.example</t>
  </si>
  <si>
    <t xml:space="preserve">L-0017</t>
  </si>
  <si>
    <t xml:space="preserve">Pricing Page Form</t>
  </si>
  <si>
    <t xml:space="preserve">Chloe Mehta</t>
  </si>
  <si>
    <t xml:space="preserve">chloe.mehta@rushbarrowpay.example</t>
  </si>
  <si>
    <t xml:space="preserve">Rushbarrow Pay</t>
  </si>
  <si>
    <t xml:space="preserve">https://rushbarrowpay.example</t>
  </si>
  <si>
    <t xml:space="preserve">Payments - Cross-Border</t>
  </si>
  <si>
    <t xml:space="preserve">We are launching a loyalty product and need a managed cross-border setup with go-live in Q2.</t>
  </si>
  <si>
    <t xml:space="preserve">L-0018</t>
  </si>
  <si>
    <t xml:space="preserve">Lucas Garcia</t>
  </si>
  <si>
    <t xml:space="preserve">lucas96@letterdrop.example</t>
  </si>
  <si>
    <t xml:space="preserve">test</t>
  </si>
  <si>
    <t xml:space="preserve">Neha</t>
  </si>
  <si>
    <t xml:space="preserve">L-0019</t>
  </si>
  <si>
    <t xml:space="preserve">Mei Novak</t>
  </si>
  <si>
    <t xml:space="preserve">mei.novak@juniperholtsystems.example</t>
  </si>
  <si>
    <t xml:space="preserve">Juniperholt Systems</t>
  </si>
  <si>
    <t xml:space="preserve">https://juniperholtsystems.example</t>
  </si>
  <si>
    <t xml:space="preserve">We are launching a BNPL product and need a managed card issuing setup with go-live in Q4.</t>
  </si>
  <si>
    <t xml:space="preserve">L-0020</t>
  </si>
  <si>
    <t xml:space="preserve">Noah Lee</t>
  </si>
  <si>
    <t xml:space="preserve">noah.lee@plumeridgesystems.example</t>
  </si>
  <si>
    <t xml:space="preserve">Plumeridge Systems</t>
  </si>
  <si>
    <t xml:space="preserve">https://plumeridgesystems.example</t>
  </si>
  <si>
    <t xml:space="preserve">Evaluating card issuing providers for our BNPL app. Can we get a demo and a cost comparison?</t>
  </si>
  <si>
    <t xml:space="preserve">L-0021</t>
  </si>
  <si>
    <t xml:space="preserve">zara.kim@plumeridgebank.example</t>
  </si>
  <si>
    <t xml:space="preserve">Plumeridge Bank</t>
  </si>
  <si>
    <t xml:space="preserve">https://plumeridgebank.example</t>
  </si>
  <si>
    <t xml:space="preserve">Nigeria</t>
  </si>
  <si>
    <t xml:space="preserve">Migrating from another provider for our card program, need a quote this month.</t>
  </si>
  <si>
    <t xml:space="preserve">L-0022</t>
  </si>
  <si>
    <t xml:space="preserve">Sofia Berg</t>
  </si>
  <si>
    <t xml:space="preserve">sofia.berg@inboxly.example</t>
  </si>
  <si>
    <t xml:space="preserve">Are you hiring fintech developers? Please share openings.</t>
  </si>
  <si>
    <t xml:space="preserve">Unqualified</t>
  </si>
  <si>
    <t xml:space="preserve">L-0023</t>
  </si>
  <si>
    <t xml:space="preserve">Noah Garcia</t>
  </si>
  <si>
    <t xml:space="preserve">noah.garcia@webmail.example</t>
  </si>
  <si>
    <t xml:space="preserve">Larkspindle Labs</t>
  </si>
  <si>
    <t xml:space="preserve">L-0024</t>
  </si>
  <si>
    <t xml:space="preserve">Yuki Chen</t>
  </si>
  <si>
    <t xml:space="preserve">yuki.chen@quarrytidestudio.example</t>
  </si>
  <si>
    <t xml:space="preserve">Quarrytide Studio</t>
  </si>
  <si>
    <t xml:space="preserve">https://quarrytidestudio.example</t>
  </si>
  <si>
    <t xml:space="preserve">USA</t>
  </si>
  <si>
    <t xml:space="preserve">We are launching a remittance product and need a managed cross-border setup with go-live in Q2.</t>
  </si>
  <si>
    <t xml:space="preserve">L-0025</t>
  </si>
  <si>
    <t xml:space="preserve">Sofia Muller</t>
  </si>
  <si>
    <t xml:space="preserve">sofia706@inboxly.example</t>
  </si>
  <si>
    <t xml:space="preserve">L-0026</t>
  </si>
  <si>
    <t xml:space="preserve">mateo.ivanova@dunmarrowcommerce.example</t>
  </si>
  <si>
    <t xml:space="preserve">Dunmarrow Commerce</t>
  </si>
  <si>
    <t xml:space="preserve">https://dunmarrowcommerce.example</t>
  </si>
  <si>
    <t xml:space="preserve">Interested in learning about fintech, where do I start?</t>
  </si>
  <si>
    <t xml:space="preserve">L-0027</t>
  </si>
  <si>
    <t xml:space="preserve">Daniel Khan</t>
  </si>
  <si>
    <t xml:space="preserve">daniel.khan@webmail.example</t>
  </si>
  <si>
    <t xml:space="preserve">Juniperholt Finance</t>
  </si>
  <si>
    <t xml:space="preserve">L-0028</t>
  </si>
  <si>
    <t xml:space="preserve">Mei Chen</t>
  </si>
  <si>
    <t xml:space="preserve">mei.chen@inboxly.example</t>
  </si>
  <si>
    <t xml:space="preserve">Orrowmere Bank</t>
  </si>
  <si>
    <t xml:space="preserve">L-0029</t>
  </si>
  <si>
    <t xml:space="preserve">Hana Berg</t>
  </si>
  <si>
    <t xml:space="preserve">hana.berg@sallowfennbank.example</t>
  </si>
  <si>
    <t xml:space="preserve">Sallowfenn Bank</t>
  </si>
  <si>
    <t xml:space="preserve">https://sallowfennbank.example</t>
  </si>
  <si>
    <t xml:space="preserve">Vietnam</t>
  </si>
  <si>
    <t xml:space="preserve">Our team is building a lending product for small businesses. Need help with sandbox setup and credit rules. Timeline 2 to 3 months.</t>
  </si>
  <si>
    <t xml:space="preserve">L-0030</t>
  </si>
  <si>
    <t xml:space="preserve">Marco Khan</t>
  </si>
  <si>
    <t xml:space="preserve">marco.khan@wyndlefossbank.example</t>
  </si>
  <si>
    <t xml:space="preserve">Wyndlefoss Bank</t>
  </si>
  <si>
    <t xml:space="preserve">https://wyndlefossbank.example</t>
  </si>
  <si>
    <t xml:space="preserve">L-0031</t>
  </si>
  <si>
    <t xml:space="preserve">Kenji Okafor</t>
  </si>
  <si>
    <t xml:space="preserve">kenji844@rankfarrowseoagency.example</t>
  </si>
  <si>
    <t xml:space="preserve">Rankfarrow SEO Agency</t>
  </si>
  <si>
    <t xml:space="preserve">https://rankfarrowseoagency.example</t>
  </si>
  <si>
    <t xml:space="preserve">Exclusive investment opportunity with 300% returns, DM on telegram.</t>
  </si>
  <si>
    <t xml:space="preserve">L-0032</t>
  </si>
  <si>
    <t xml:space="preserve">Aisha Lee</t>
  </si>
  <si>
    <t xml:space="preserve">aisha.lee@nettlebriskmoney.example</t>
  </si>
  <si>
    <t xml:space="preserve">Nettlebrisk Money</t>
  </si>
  <si>
    <t xml:space="preserve">https://nettlebriskmoney.example</t>
  </si>
  <si>
    <t xml:space="preserve">Lending - Loan Origination</t>
  </si>
  <si>
    <t xml:space="preserve">Evaluating card issuing providers for our loyalty app. Can we get a demo and a cost comparison?</t>
  </si>
  <si>
    <t xml:space="preserve">L-0033</t>
  </si>
  <si>
    <t xml:space="preserve">Lina Mehta</t>
  </si>
  <si>
    <t xml:space="preserve">lina.mehta@yarrowtunstudio.example</t>
  </si>
  <si>
    <t xml:space="preserve">Yarrowtun Studio</t>
  </si>
  <si>
    <t xml:space="preserve">https://yarrowtunstudio.example</t>
  </si>
  <si>
    <t xml:space="preserve">L-0034</t>
  </si>
  <si>
    <t xml:space="preserve">Grace Berg</t>
  </si>
  <si>
    <t xml:space="preserve">grace.berg@dunmarrowcommerce.example</t>
  </si>
  <si>
    <t xml:space="preserve">L-0035</t>
  </si>
  <si>
    <t xml:space="preserve">Lina Rossi</t>
  </si>
  <si>
    <t xml:space="preserve">lina.rossi@brindlewickcommerce.example</t>
  </si>
  <si>
    <t xml:space="preserve">Brindlewick Commerce</t>
  </si>
  <si>
    <t xml:space="preserve">https://brindlewickcommerce.example</t>
  </si>
  <si>
    <t xml:space="preserve">Canada</t>
  </si>
  <si>
    <t xml:space="preserve">L-0036</t>
  </si>
  <si>
    <t xml:space="preserve">Hana Khan</t>
  </si>
  <si>
    <t xml:space="preserve">hana.khan@yarrowtunmoney.example</t>
  </si>
  <si>
    <t xml:space="preserve">Yarrowtun Money</t>
  </si>
  <si>
    <t xml:space="preserve">https://yarrowtunmoney.example</t>
  </si>
  <si>
    <t xml:space="preserve">Looking for pricing on KYC verification across 6 countries. Our current vendor keeps missing checks.</t>
  </si>
  <si>
    <t xml:space="preserve">L-0037</t>
  </si>
  <si>
    <t xml:space="preserve">Elena Garcia</t>
  </si>
  <si>
    <t xml:space="preserve">elena.garcia@inboxly.example</t>
  </si>
  <si>
    <t xml:space="preserve">Brindlewick Wallet</t>
  </si>
  <si>
    <t xml:space="preserve">We are launching a loyalty product and need a managed payouts setup with go-live in Q1.</t>
  </si>
  <si>
    <t xml:space="preserve">L-0038</t>
  </si>
  <si>
    <t xml:space="preserve">Felix Okafor</t>
  </si>
  <si>
    <t xml:space="preserve">felix.okafor@webmail.example</t>
  </si>
  <si>
    <t xml:space="preserve">Tarnvale Commerce</t>
  </si>
  <si>
    <t xml:space="preserve">L-0039</t>
  </si>
  <si>
    <t xml:space="preserve">Elena Costa</t>
  </si>
  <si>
    <t xml:space="preserve">elena.costa@freemail.example</t>
  </si>
  <si>
    <t xml:space="preserve">Glimmerfen Studio</t>
  </si>
  <si>
    <t xml:space="preserve">L-0040</t>
  </si>
  <si>
    <t xml:space="preserve">Lucas Silva</t>
  </si>
  <si>
    <t xml:space="preserve">lucas.silva@larkspindlecommerce.example</t>
  </si>
  <si>
    <t xml:space="preserve">Larkspindle Commerce</t>
  </si>
  <si>
    <t xml:space="preserve">https://larkspindlecommerce.example</t>
  </si>
  <si>
    <t xml:space="preserve">L-0041</t>
  </si>
  <si>
    <t xml:space="preserve">Omar Berg</t>
  </si>
  <si>
    <t xml:space="preserve">omar434@vanishmail.example</t>
  </si>
  <si>
    <t xml:space="preserve">L-0042</t>
  </si>
  <si>
    <t xml:space="preserve">Priya Rossi</t>
  </si>
  <si>
    <t xml:space="preserve">priya.rossi@kestralithlabs.example</t>
  </si>
  <si>
    <t xml:space="preserve">Kestralith Labs</t>
  </si>
  <si>
    <t xml:space="preserve">https://kestralithlabs.example</t>
  </si>
  <si>
    <t xml:space="preserve">L-0043</t>
  </si>
  <si>
    <t xml:space="preserve">Sofia Sharma</t>
  </si>
  <si>
    <t xml:space="preserve">sofia.sharma@quarrytidecommerce.example</t>
  </si>
  <si>
    <t xml:space="preserve">Quarrytide Commerce</t>
  </si>
  <si>
    <t xml:space="preserve">https://quarrytidecommerce.example</t>
  </si>
  <si>
    <t xml:space="preserve">L-0044</t>
  </si>
  <si>
    <t xml:space="preserve">Felix Berg</t>
  </si>
  <si>
    <t xml:space="preserve">felix.berg@plumeridgewallet.example</t>
  </si>
  <si>
    <t xml:space="preserve">Plumeridge Wallet</t>
  </si>
  <si>
    <t xml:space="preserve">https://plumeridgewallet.example</t>
  </si>
  <si>
    <t xml:space="preserve">Evaluating card issuing providers for our marketplace app. Can we get a demo and a cost comparison?</t>
  </si>
  <si>
    <t xml:space="preserve">L-0045</t>
  </si>
  <si>
    <t xml:space="preserve">Mei Sharma</t>
  </si>
  <si>
    <t xml:space="preserve">mei.sharma@kestralithcapital.example</t>
  </si>
  <si>
    <t xml:space="preserve">Kestralith Capital</t>
  </si>
  <si>
    <t xml:space="preserve">https://kestralithcapital.example</t>
  </si>
  <si>
    <t xml:space="preserve">Evaluating payouts providers for our marketplace app. Can we get a demo and a cost comparison?</t>
  </si>
  <si>
    <t xml:space="preserve">L-0046</t>
  </si>
  <si>
    <t xml:space="preserve">Yuki Mehta</t>
  </si>
  <si>
    <t xml:space="preserve">yuki354@postbox.example</t>
  </si>
  <si>
    <t xml:space="preserve">L-0047</t>
  </si>
  <si>
    <t xml:space="preserve">Felix Chen</t>
  </si>
  <si>
    <t xml:space="preserve">felix.chen@freemail.example</t>
  </si>
  <si>
    <t xml:space="preserve">Juniperholt Pay</t>
  </si>
  <si>
    <t xml:space="preserve">Evaluating cross-border providers for our BNPL app. Can we get a demo and a cost comparison?</t>
  </si>
  <si>
    <t xml:space="preserve">L-0048</t>
  </si>
  <si>
    <t xml:space="preserve">Mei Silva</t>
  </si>
  <si>
    <t xml:space="preserve">mei72@webmail.example</t>
  </si>
  <si>
    <t xml:space="preserve">Boostquill Media</t>
  </si>
  <si>
    <t xml:space="preserve">asdf qwer</t>
  </si>
  <si>
    <t xml:space="preserve">L-0049</t>
  </si>
  <si>
    <t xml:space="preserve">Tariq Okafor</t>
  </si>
  <si>
    <t xml:space="preserve">tariq.okafor@letterdrop.example</t>
  </si>
  <si>
    <t xml:space="preserve">L-0050</t>
  </si>
  <si>
    <t xml:space="preserve">Hana Mehta</t>
  </si>
  <si>
    <t xml:space="preserve">hana.mehta@thornlaceypay.example</t>
  </si>
  <si>
    <t xml:space="preserve">Thornlacey Pay</t>
  </si>
  <si>
    <t xml:space="preserve">https://thornlaceypay.example</t>
  </si>
  <si>
    <t xml:space="preserve">Qualified</t>
  </si>
  <si>
    <t xml:space="preserve">L-0051</t>
  </si>
  <si>
    <t xml:space="preserve">tariq566@rankfarrowseoagency.example</t>
  </si>
  <si>
    <t xml:space="preserve">South Korea</t>
  </si>
  <si>
    <t xml:space="preserve">L-0052</t>
  </si>
  <si>
    <t xml:space="preserve">Ji-woo Chen</t>
  </si>
  <si>
    <t xml:space="preserve">ji-woo.chen@pellowincommerce.example</t>
  </si>
  <si>
    <t xml:space="preserve">Pellowin Commerce</t>
  </si>
  <si>
    <t xml:space="preserve">https://pellowincommerce.example</t>
  </si>
  <si>
    <t xml:space="preserve">L-0053</t>
  </si>
  <si>
    <t xml:space="preserve">Lina Costa</t>
  </si>
  <si>
    <t xml:space="preserve">lina.costa@ostrivolabs.example</t>
  </si>
  <si>
    <t xml:space="preserve">Ostrivo Labs</t>
  </si>
  <si>
    <t xml:space="preserve">https://ostrivolabs.example</t>
  </si>
  <si>
    <t xml:space="preserve">Looking for pricing on KYC verification across 3 countries. Our current vendor keeps missing checks.</t>
  </si>
  <si>
    <t xml:space="preserve">L-0054</t>
  </si>
  <si>
    <t xml:space="preserve">Sam Chen</t>
  </si>
  <si>
    <t xml:space="preserve">sam.chen@freemail.example</t>
  </si>
  <si>
    <t xml:space="preserve">Just exploring, what does your company do?</t>
  </si>
  <si>
    <t xml:space="preserve">L-0055</t>
  </si>
  <si>
    <t xml:space="preserve">Sam Berg</t>
  </si>
  <si>
    <t xml:space="preserve">sam.berg@rushbarrowsystems.example</t>
  </si>
  <si>
    <t xml:space="preserve">Rushbarrow Systems</t>
  </si>
  <si>
    <t xml:space="preserve">https://rushbarrowsystems.example</t>
  </si>
  <si>
    <t xml:space="preserve">Looking for pricing on KYC verification across 4 countries. Our current vendor keeps missing checks.</t>
  </si>
  <si>
    <t xml:space="preserve">L-0056</t>
  </si>
  <si>
    <t xml:space="preserve">Chloe Novak</t>
  </si>
  <si>
    <t xml:space="preserve">chloe.novak@letterdrop.example</t>
  </si>
  <si>
    <t xml:space="preserve">Larkspindle Systems</t>
  </si>
  <si>
    <t xml:space="preserve">L-0057</t>
  </si>
  <si>
    <t xml:space="preserve">Ravi Ivanova</t>
  </si>
  <si>
    <t xml:space="preserve">tariq625@vanishmail.example</t>
  </si>
  <si>
    <t xml:space="preserve">We offer premium SEO backlinks and guest post services for fintech websites. Reply for rates.</t>
  </si>
  <si>
    <t xml:space="preserve">L-0058</t>
  </si>
  <si>
    <t xml:space="preserve">Fatima Rossi</t>
  </si>
  <si>
    <t xml:space="preserve">fatima.rossi@letterdrop.example</t>
  </si>
  <si>
    <t xml:space="preserve">Wyndlefoss Capital</t>
  </si>
  <si>
    <t xml:space="preserve">L-0059</t>
  </si>
  <si>
    <t xml:space="preserve">Arjun Okafor</t>
  </si>
  <si>
    <t xml:space="preserve">arjun.okafor@umberwickmoney.example</t>
  </si>
  <si>
    <t xml:space="preserve">Umberwick Money</t>
  </si>
  <si>
    <t xml:space="preserve">https://umberwickmoney.example</t>
  </si>
  <si>
    <t xml:space="preserve">L-0060</t>
  </si>
  <si>
    <t xml:space="preserve">Ravi Muller</t>
  </si>
  <si>
    <t xml:space="preserve">ravi811@webmail.example</t>
  </si>
  <si>
    <t xml:space="preserve">L-0061</t>
  </si>
  <si>
    <t xml:space="preserve">ravi.lee@inboxly.example</t>
  </si>
  <si>
    <t xml:space="preserve">Can you give a free account for our hackathon project?</t>
  </si>
  <si>
    <t xml:space="preserve">L-0062</t>
  </si>
  <si>
    <t xml:space="preserve">Sofia Tanaka</t>
  </si>
  <si>
    <t xml:space="preserve">sofia.tanaka@quillmoorstudio.example</t>
  </si>
  <si>
    <t xml:space="preserve">Quillmoor Studio</t>
  </si>
  <si>
    <t xml:space="preserve">https://quillmoorstudio.example</t>
  </si>
  <si>
    <t xml:space="preserve">Evaluating virtual accounts providers for our payroll app. Can we get a demo and a cost comparison?</t>
  </si>
  <si>
    <t xml:space="preserve">L-0063</t>
  </si>
  <si>
    <t xml:space="preserve">Felix Kim</t>
  </si>
  <si>
    <t xml:space="preserve">mei443@webmail.example</t>
  </si>
  <si>
    <t xml:space="preserve">https://boostquillmedia.example</t>
  </si>
  <si>
    <t xml:space="preserve">L-0064</t>
  </si>
  <si>
    <t xml:space="preserve">lina.mehta@juniperholtsystems.example</t>
  </si>
  <si>
    <t xml:space="preserve">L-0065</t>
  </si>
  <si>
    <t xml:space="preserve">Noah Mehta</t>
  </si>
  <si>
    <t xml:space="preserve">noah.mehta@yarrowtuncommerce.example</t>
  </si>
  <si>
    <t xml:space="preserve">Yarrowtun Commerce</t>
  </si>
  <si>
    <t xml:space="preserve">https://yarrowtuncommerce.example</t>
  </si>
  <si>
    <t xml:space="preserve">Need a banking data API with SLA for our budgeting app, around 47M calls per day.</t>
  </si>
  <si>
    <t xml:space="preserve">L-0066</t>
  </si>
  <si>
    <t xml:space="preserve">Noah Rossi</t>
  </si>
  <si>
    <t xml:space="preserve">noah.rossi@ferrowindwallet.example</t>
  </si>
  <si>
    <t xml:space="preserve">Ferrowind Wallet</t>
  </si>
  <si>
    <t xml:space="preserve">https://ferrowindwallet.example</t>
  </si>
  <si>
    <t xml:space="preserve">L-0067</t>
  </si>
  <si>
    <t xml:space="preserve">Felix Khan</t>
  </si>
  <si>
    <t xml:space="preserve">felix.khan@freemail.example</t>
  </si>
  <si>
    <t xml:space="preserve">L-0068</t>
  </si>
  <si>
    <t xml:space="preserve">Tariq Brown</t>
  </si>
  <si>
    <t xml:space="preserve">tariq676@inboxly.example</t>
  </si>
  <si>
    <t xml:space="preserve">L-0069</t>
  </si>
  <si>
    <t xml:space="preserve">Mateo Rossi</t>
  </si>
  <si>
    <t xml:space="preserve">mateo602@postbox.example</t>
  </si>
  <si>
    <t xml:space="preserve">L-0070</t>
  </si>
  <si>
    <t xml:space="preserve">Arjun Tanaka</t>
  </si>
  <si>
    <t xml:space="preserve">arjun.tanaka@marrowgatewallet.example</t>
  </si>
  <si>
    <t xml:space="preserve">Marrowgate Wallet</t>
  </si>
  <si>
    <t xml:space="preserve">https://marrowgatewallet.example</t>
  </si>
  <si>
    <t xml:space="preserve">L-0071</t>
  </si>
  <si>
    <t xml:space="preserve">Nadia Patel</t>
  </si>
  <si>
    <t xml:space="preserve">nadia.patel@wyndlefosscapital.example</t>
  </si>
  <si>
    <t xml:space="preserve">https://wyndlefosscapital.example</t>
  </si>
  <si>
    <t xml:space="preserve">Need a banking data API with SLA for our budgeting app, around 80M calls per day.</t>
  </si>
  <si>
    <t xml:space="preserve">L-0072</t>
  </si>
  <si>
    <t xml:space="preserve">Priya Mehta</t>
  </si>
  <si>
    <t xml:space="preserve">priya.mehta@postbox.example</t>
  </si>
  <si>
    <t xml:space="preserve">Dunmarrow Labs</t>
  </si>
  <si>
    <t xml:space="preserve">L-0073</t>
  </si>
  <si>
    <t xml:space="preserve">Tariq Berg</t>
  </si>
  <si>
    <t xml:space="preserve">tariq.berg@letterdrop.example</t>
  </si>
  <si>
    <t xml:space="preserve">Wyndlefoss Money</t>
  </si>
  <si>
    <t xml:space="preserve">L-0074</t>
  </si>
  <si>
    <t xml:space="preserve">Grace Rossi</t>
  </si>
  <si>
    <t xml:space="preserve">grace.rossi@plumeridgefinance.example</t>
  </si>
  <si>
    <t xml:space="preserve">Plumeridge Finance</t>
  </si>
  <si>
    <t xml:space="preserve">https://plumeridgefinance.example</t>
  </si>
  <si>
    <t xml:space="preserve">L-0075</t>
  </si>
  <si>
    <t xml:space="preserve">Grace Nguyen</t>
  </si>
  <si>
    <t xml:space="preserve">grace.nguyen@letterdrop.example</t>
  </si>
  <si>
    <t xml:space="preserve">Tarnvale Finance</t>
  </si>
  <si>
    <t xml:space="preserve">L-0076</t>
  </si>
  <si>
    <t xml:space="preserve">mei.chen@rushbarrowfinance.example</t>
  </si>
  <si>
    <t xml:space="preserve">Rushbarrow Finance</t>
  </si>
  <si>
    <t xml:space="preserve">https://rushbarrowfinance.example</t>
  </si>
  <si>
    <t xml:space="preserve">L-0077</t>
  </si>
  <si>
    <t xml:space="preserve">Ethan Kim</t>
  </si>
  <si>
    <t xml:space="preserve">ethan922@rankfarrowseoagency.example</t>
  </si>
  <si>
    <t xml:space="preserve">L-0078</t>
  </si>
  <si>
    <t xml:space="preserve">ananya.lee@rushbarrowwallet.example</t>
  </si>
  <si>
    <t xml:space="preserve">Rushbarrow Wallet</t>
  </si>
  <si>
    <t xml:space="preserve">https://rushbarrowwallet.example</t>
  </si>
  <si>
    <t xml:space="preserve">L-0079</t>
  </si>
  <si>
    <t xml:space="preserve">Tariq Rossi</t>
  </si>
  <si>
    <t xml:space="preserve">tariq.rossi@dunmarrowlabs.example</t>
  </si>
  <si>
    <t xml:space="preserve">https://dunmarrowlabs.example</t>
  </si>
  <si>
    <t xml:space="preserve">L-0080</t>
  </si>
  <si>
    <t xml:space="preserve">Ananya Patel</t>
  </si>
  <si>
    <t xml:space="preserve">ananya.patel@quarrytidelabs.example</t>
  </si>
  <si>
    <t xml:space="preserve">Quarrytide Labs</t>
  </si>
  <si>
    <t xml:space="preserve">https://quarrytidelabs.example</t>
  </si>
  <si>
    <t xml:space="preserve">We are launching a payroll product and need a managed card issuing setup with go-live in Q3.</t>
  </si>
  <si>
    <t xml:space="preserve">L-0081</t>
  </si>
  <si>
    <t xml:space="preserve">Sam Ivanova</t>
  </si>
  <si>
    <t xml:space="preserve">sam.ivanova@wyndlefossfinance.example</t>
  </si>
  <si>
    <t xml:space="preserve">Wyndlefoss Finance</t>
  </si>
  <si>
    <t xml:space="preserve">https://wyndlefossfinance.example</t>
  </si>
  <si>
    <t xml:space="preserve">L-0082</t>
  </si>
  <si>
    <t xml:space="preserve">Arjun Kim</t>
  </si>
  <si>
    <t xml:space="preserve">arjun.kim@inboxly.example</t>
  </si>
  <si>
    <t xml:space="preserve">Juniperholt Bank</t>
  </si>
  <si>
    <t xml:space="preserve">L-0083</t>
  </si>
  <si>
    <t xml:space="preserve">Elena Tanaka</t>
  </si>
  <si>
    <t xml:space="preserve">elena10@freemail.example</t>
  </si>
  <si>
    <t xml:space="preserve">L-0084</t>
  </si>
  <si>
    <t xml:space="preserve">Ravi Novak</t>
  </si>
  <si>
    <t xml:space="preserve">ravi.novak@postbox.example</t>
  </si>
  <si>
    <t xml:space="preserve">Rushbarrow Labs</t>
  </si>
  <si>
    <t xml:space="preserve">L-0085</t>
  </si>
  <si>
    <t xml:space="preserve">Sam Novak</t>
  </si>
  <si>
    <t xml:space="preserve">sam.novak@wyndlefosswallet.example</t>
  </si>
  <si>
    <t xml:space="preserve">Wyndlefoss Wallet</t>
  </si>
  <si>
    <t xml:space="preserve">https://wyndlefosswallet.example</t>
  </si>
  <si>
    <t xml:space="preserve">Evaluating cross-border providers for our payroll app. Can we get a demo and a cost comparison?</t>
  </si>
  <si>
    <t xml:space="preserve">L-0086</t>
  </si>
  <si>
    <t xml:space="preserve">Kenji Brown</t>
  </si>
  <si>
    <t xml:space="preserve">kenji.brown@inboxly.example</t>
  </si>
  <si>
    <t xml:space="preserve">L-0087</t>
  </si>
  <si>
    <t xml:space="preserve">Sofia Nguyen</t>
  </si>
  <si>
    <t xml:space="preserve">ji-woo171@letterdrop.example</t>
  </si>
  <si>
    <t xml:space="preserve">Hypemarrow PR</t>
  </si>
  <si>
    <t xml:space="preserve">https://hypemarrowpr.example</t>
  </si>
  <si>
    <t xml:space="preserve">L-0088</t>
  </si>
  <si>
    <t xml:space="preserve">Ethan Haddad</t>
  </si>
  <si>
    <t xml:space="preserve">ethan.haddad@kestralithsystems.example</t>
  </si>
  <si>
    <t xml:space="preserve">Kestralith Systems</t>
  </si>
  <si>
    <t xml:space="preserve">https://kestralithsystems.example</t>
  </si>
  <si>
    <t xml:space="preserve">L-0089</t>
  </si>
  <si>
    <t xml:space="preserve">Elena Patel</t>
  </si>
  <si>
    <t xml:space="preserve">elena.patel@glimmerfenpay.example</t>
  </si>
  <si>
    <t xml:space="preserve">Glimmerfen Pay</t>
  </si>
  <si>
    <t xml:space="preserve">https://glimmerfenpay.example</t>
  </si>
  <si>
    <t xml:space="preserve">L-0090</t>
  </si>
  <si>
    <t xml:space="preserve">Kenji Tanaka</t>
  </si>
  <si>
    <t xml:space="preserve">kenji.tanaka@letterdrop.example</t>
  </si>
  <si>
    <t xml:space="preserve">Tarnvale Capital</t>
  </si>
  <si>
    <t xml:space="preserve">L-0091</t>
  </si>
  <si>
    <t xml:space="preserve">Kenji Patel</t>
  </si>
  <si>
    <t xml:space="preserve">kenji.patel@letterdrop.example</t>
  </si>
  <si>
    <t xml:space="preserve">Need a banking data API with SLA for our budgeting app, around 26M calls per day.</t>
  </si>
  <si>
    <t xml:space="preserve">L-0092</t>
  </si>
  <si>
    <t xml:space="preserve">Fatima Brown</t>
  </si>
  <si>
    <t xml:space="preserve">fatima265@webmail.example</t>
  </si>
  <si>
    <t xml:space="preserve">L-0093</t>
  </si>
  <si>
    <t xml:space="preserve">Omar Haddad</t>
  </si>
  <si>
    <t xml:space="preserve">omar.haddad@ferrowindcommerce.example</t>
  </si>
  <si>
    <t xml:space="preserve">Ferrowind Commerce</t>
  </si>
  <si>
    <t xml:space="preserve">https://ferrowindcommerce.example</t>
  </si>
  <si>
    <t xml:space="preserve">L-0094</t>
  </si>
  <si>
    <t xml:space="preserve">Mei Mehta</t>
  </si>
  <si>
    <t xml:space="preserve">mei.mehta@dunmarrowlabs.example</t>
  </si>
  <si>
    <t xml:space="preserve">L-0095</t>
  </si>
  <si>
    <t xml:space="preserve">Ethan Okafor</t>
  </si>
  <si>
    <t xml:space="preserve">ethan.okafor@ostrivowallet.example</t>
  </si>
  <si>
    <t xml:space="preserve">Ostrivo Wallet</t>
  </si>
  <si>
    <t xml:space="preserve">https://ostrivowallet.example</t>
  </si>
  <si>
    <t xml:space="preserve">L-0096</t>
  </si>
  <si>
    <t xml:space="preserve">Priya Silva</t>
  </si>
  <si>
    <t xml:space="preserve">priya.silva@yarrowtunstudio.example</t>
  </si>
  <si>
    <t xml:space="preserve">L-0097</t>
  </si>
  <si>
    <t xml:space="preserve">arjun.kim@freemail.example</t>
  </si>
  <si>
    <t xml:space="preserve">L-0098</t>
  </si>
  <si>
    <t xml:space="preserve">Grace Brown</t>
  </si>
  <si>
    <t xml:space="preserve">grace.brown@pellowinlabs.example</t>
  </si>
  <si>
    <t xml:space="preserve">Pellowin Labs</t>
  </si>
  <si>
    <t xml:space="preserve">https://pellowinlabs.example</t>
  </si>
  <si>
    <t xml:space="preserve">L-0099</t>
  </si>
  <si>
    <t xml:space="preserve">Hana Nguyen</t>
  </si>
  <si>
    <t xml:space="preserve">hana75@letterdrop.example</t>
  </si>
  <si>
    <t xml:space="preserve">L-0100</t>
  </si>
  <si>
    <t xml:space="preserve">Yuki Berg</t>
  </si>
  <si>
    <t xml:space="preserve">yuki.berg@wyndlefosssystems.example</t>
  </si>
  <si>
    <t xml:space="preserve">Wyndlefoss Systems</t>
  </si>
  <si>
    <t xml:space="preserve">https://wyndlefosssystems.example</t>
  </si>
  <si>
    <t xml:space="preserve">L-0101</t>
  </si>
  <si>
    <t xml:space="preserve">Ethan Lee</t>
  </si>
  <si>
    <t xml:space="preserve">ethan148@inboxly.example</t>
  </si>
  <si>
    <t xml:space="preserve">L-0102</t>
  </si>
  <si>
    <t xml:space="preserve">Leon Khan</t>
  </si>
  <si>
    <t xml:space="preserve">leon.khan@postbox.example</t>
  </si>
  <si>
    <t xml:space="preserve">Kestralith Money</t>
  </si>
  <si>
    <t xml:space="preserve">L-0103</t>
  </si>
  <si>
    <t xml:space="preserve">Zara Okafor</t>
  </si>
  <si>
    <t xml:space="preserve">zara943@webmail.example</t>
  </si>
  <si>
    <t xml:space="preserve">L-0104</t>
  </si>
  <si>
    <t xml:space="preserve">Lucas Haddad</t>
  </si>
  <si>
    <t xml:space="preserve">lucas.haddad@webmail.example</t>
  </si>
  <si>
    <t xml:space="preserve">L-0105</t>
  </si>
  <si>
    <t xml:space="preserve">Kenji Novak</t>
  </si>
  <si>
    <t xml:space="preserve">kenji.novak@plumeridgesystems.example</t>
  </si>
  <si>
    <t xml:space="preserve">L-0106</t>
  </si>
  <si>
    <t xml:space="preserve">Noah Chen</t>
  </si>
  <si>
    <t xml:space="preserve">noah.chen@webmail.example</t>
  </si>
  <si>
    <t xml:space="preserve">L-0107</t>
  </si>
  <si>
    <t xml:space="preserve">Zara Costa</t>
  </si>
  <si>
    <t xml:space="preserve">zara.costa@zellowmarkfinance.example</t>
  </si>
  <si>
    <t xml:space="preserve">Zellowmark Finance</t>
  </si>
  <si>
    <t xml:space="preserve">https://zellowmarkfinance.example</t>
  </si>
  <si>
    <t xml:space="preserve">L-0108</t>
  </si>
  <si>
    <t xml:space="preserve">Noah Okafor</t>
  </si>
  <si>
    <t xml:space="preserve">noah.okafor@wyndlefosscapital.example</t>
  </si>
  <si>
    <t xml:space="preserve">L-0109</t>
  </si>
  <si>
    <t xml:space="preserve">Kenji Lee</t>
  </si>
  <si>
    <t xml:space="preserve">kenji.lee@inboxly.example</t>
  </si>
  <si>
    <t xml:space="preserve">L-0110</t>
  </si>
  <si>
    <t xml:space="preserve">Marco Haddad</t>
  </si>
  <si>
    <t xml:space="preserve">marco.haddad@letterdrop.example</t>
  </si>
  <si>
    <t xml:space="preserve">Marrowgate Bank</t>
  </si>
  <si>
    <t xml:space="preserve">L-0111</t>
  </si>
  <si>
    <t xml:space="preserve">Lucas Muller</t>
  </si>
  <si>
    <t xml:space="preserve">lucas324@quickdrop.example</t>
  </si>
  <si>
    <t xml:space="preserve">L-0112</t>
  </si>
  <si>
    <t xml:space="preserve">Nadia Mehta</t>
  </si>
  <si>
    <t xml:space="preserve">nadia.mehta@tarnvalepay.example</t>
  </si>
  <si>
    <t xml:space="preserve">Tarnvale Pay</t>
  </si>
  <si>
    <t xml:space="preserve">https://tarnvalepay.example</t>
  </si>
  <si>
    <t xml:space="preserve">L-0113</t>
  </si>
  <si>
    <t xml:space="preserve">ethan135@hypemarrowpr.example</t>
  </si>
  <si>
    <t xml:space="preserve">L-0114</t>
  </si>
  <si>
    <t xml:space="preserve">Leon Sharma</t>
  </si>
  <si>
    <t xml:space="preserve">leon.sharma@glimmerfenstudio.example</t>
  </si>
  <si>
    <t xml:space="preserve">https://glimmerfenstudio.example</t>
  </si>
  <si>
    <t xml:space="preserve">Need a banking data API with SLA for our budgeting app, around 29M calls per day.</t>
  </si>
  <si>
    <t xml:space="preserve">L-0115</t>
  </si>
  <si>
    <t xml:space="preserve">Priya Novak</t>
  </si>
  <si>
    <t xml:space="preserve">priya865@burnmail.example</t>
  </si>
  <si>
    <t xml:space="preserve">L-0116</t>
  </si>
  <si>
    <t xml:space="preserve">Ravi Brown</t>
  </si>
  <si>
    <t xml:space="preserve">ravi.brown@hollowquaymoney.example</t>
  </si>
  <si>
    <t xml:space="preserve">Hollowquay Money</t>
  </si>
  <si>
    <t xml:space="preserve">https://hollowquaymoney.example</t>
  </si>
  <si>
    <t xml:space="preserve">L-0117</t>
  </si>
  <si>
    <t xml:space="preserve">Umberwick Finance</t>
  </si>
  <si>
    <t xml:space="preserve">L-0118</t>
  </si>
  <si>
    <t xml:space="preserve">Hana Brown</t>
  </si>
  <si>
    <t xml:space="preserve">hana.brown@freemail.example</t>
  </si>
  <si>
    <t xml:space="preserve">Nettlebrisk Commerce</t>
  </si>
  <si>
    <t xml:space="preserve">L-0119</t>
  </si>
  <si>
    <t xml:space="preserve">Nadia Brown</t>
  </si>
  <si>
    <t xml:space="preserve">nadia.brown@inboxly.example</t>
  </si>
  <si>
    <t xml:space="preserve">Glimmerfen Bank</t>
  </si>
  <si>
    <t xml:space="preserve">L-0120</t>
  </si>
  <si>
    <t xml:space="preserve">Ravi Haddad</t>
  </si>
  <si>
    <t xml:space="preserve">ravi.haddad@inboxly.example</t>
  </si>
  <si>
    <t xml:space="preserve">L-0121</t>
  </si>
  <si>
    <t xml:space="preserve">Sofia Khan</t>
  </si>
  <si>
    <t xml:space="preserve">sofia607@inboxly.example</t>
  </si>
  <si>
    <t xml:space="preserve">L-0122</t>
  </si>
  <si>
    <t xml:space="preserve">Arjun Rossi</t>
  </si>
  <si>
    <t xml:space="preserve">arjun.rossi@marrowgatepay.example</t>
  </si>
  <si>
    <t xml:space="preserve">Marrowgate Pay</t>
  </si>
  <si>
    <t xml:space="preserve">https://marrowgatepay.example</t>
  </si>
  <si>
    <t xml:space="preserve">Need a banking data API with SLA for our budgeting app, around 19M calls per day.</t>
  </si>
  <si>
    <t xml:space="preserve">L-0123</t>
  </si>
  <si>
    <t xml:space="preserve">Chloe Rossi</t>
  </si>
  <si>
    <t xml:space="preserve">chloe313@tempinbox.example</t>
  </si>
  <si>
    <t xml:space="preserve">L-0124</t>
  </si>
  <si>
    <t xml:space="preserve">Ananya Khan</t>
  </si>
  <si>
    <t xml:space="preserve">ananya.khan@zellowmarkcapital.example</t>
  </si>
  <si>
    <t xml:space="preserve">Zellowmark Capital</t>
  </si>
  <si>
    <t xml:space="preserve">https://zellowmarkcapital.example</t>
  </si>
  <si>
    <t xml:space="preserve">Need a banking data API with SLA for our budgeting app, around 72M calls per day.</t>
  </si>
  <si>
    <t xml:space="preserve">L-0125</t>
  </si>
  <si>
    <t xml:space="preserve">Elena Brown</t>
  </si>
  <si>
    <t xml:space="preserve">elena.brown@sallowfennsystems.example</t>
  </si>
  <si>
    <t xml:space="preserve">Sallowfenn Systems</t>
  </si>
  <si>
    <t xml:space="preserve">https://sallowfennsystems.example</t>
  </si>
  <si>
    <t xml:space="preserve">We are launching a loyalty product and need a managed card issuing setup with go-live in Q4.</t>
  </si>
  <si>
    <t xml:space="preserve">L-0126</t>
  </si>
  <si>
    <t xml:space="preserve">nadia.costa@glimmerfencommerce.example</t>
  </si>
  <si>
    <t xml:space="preserve">Glimmerfen Commerce</t>
  </si>
  <si>
    <t xml:space="preserve">https://glimmerfencommerce.example</t>
  </si>
  <si>
    <t xml:space="preserve">L-0127</t>
  </si>
  <si>
    <t xml:space="preserve">Kenji Kim</t>
  </si>
  <si>
    <t xml:space="preserve">kenji.kim@ostrivopay.example</t>
  </si>
  <si>
    <t xml:space="preserve">Ostrivo Pay</t>
  </si>
  <si>
    <t xml:space="preserve">https://ostrivopay.example</t>
  </si>
  <si>
    <t xml:space="preserve">Looking for pricing on KYC verification across 2 countries. Our current vendor keeps missing checks.</t>
  </si>
  <si>
    <t xml:space="preserve">L-0128</t>
  </si>
  <si>
    <t xml:space="preserve">Zara Muller</t>
  </si>
  <si>
    <t xml:space="preserve">zara.muller@ferrowindwallet.example</t>
  </si>
  <si>
    <t xml:space="preserve">L-0129</t>
  </si>
  <si>
    <t xml:space="preserve">Daniel Okafor</t>
  </si>
  <si>
    <t xml:space="preserve">daniel.okafor@letterdrop.example</t>
  </si>
  <si>
    <t xml:space="preserve">Sallowfenn Studio</t>
  </si>
  <si>
    <t xml:space="preserve">L-0130</t>
  </si>
  <si>
    <t xml:space="preserve">Zara Novak</t>
  </si>
  <si>
    <t xml:space="preserve">L-0131</t>
  </si>
  <si>
    <t xml:space="preserve">Omar Nguyen</t>
  </si>
  <si>
    <t xml:space="preserve">nadia415@inboxly.example</t>
  </si>
  <si>
    <t xml:space="preserve">We are a dev agency from offshore, 20 fintech developers available at low rates.</t>
  </si>
  <si>
    <t xml:space="preserve">L-0132</t>
  </si>
  <si>
    <t xml:space="preserve">Lucas Ivanova</t>
  </si>
  <si>
    <t xml:space="preserve">lucas.ivanova@letterdrop.example</t>
  </si>
  <si>
    <t xml:space="preserve">L-0133</t>
  </si>
  <si>
    <t xml:space="preserve">Marco Brown</t>
  </si>
  <si>
    <t xml:space="preserve">marco.brown@wyndlefosscapital.example</t>
  </si>
  <si>
    <t xml:space="preserve">L-0134</t>
  </si>
  <si>
    <t xml:space="preserve">Ji-woo Patel</t>
  </si>
  <si>
    <t xml:space="preserve">ji-woo.patel@vexmoorbank.example</t>
  </si>
  <si>
    <t xml:space="preserve">Vexmoor Bank</t>
  </si>
  <si>
    <t xml:space="preserve">https://vexmoorbank.example</t>
  </si>
  <si>
    <t xml:space="preserve">L-0135</t>
  </si>
  <si>
    <t xml:space="preserve">Grace Patel</t>
  </si>
  <si>
    <t xml:space="preserve">grace.patel@inboxly.example</t>
  </si>
  <si>
    <t xml:space="preserve">Orrowmere Systems</t>
  </si>
  <si>
    <t xml:space="preserve">L-0136</t>
  </si>
  <si>
    <t xml:space="preserve">ravi.lee@nettlebrisklabs.example</t>
  </si>
  <si>
    <t xml:space="preserve">Nettlebrisk Labs</t>
  </si>
  <si>
    <t xml:space="preserve">https://nettlebrisklabs.example</t>
  </si>
  <si>
    <t xml:space="preserve">L-0137</t>
  </si>
  <si>
    <t xml:space="preserve">Tariq Haddad</t>
  </si>
  <si>
    <t xml:space="preserve">tariq279@webmail.example</t>
  </si>
  <si>
    <t xml:space="preserve">L-0138</t>
  </si>
  <si>
    <t xml:space="preserve">Nadia Ivanova</t>
  </si>
  <si>
    <t xml:space="preserve">nadia.ivanova@hollowquaywallet.example</t>
  </si>
  <si>
    <t xml:space="preserve">Hollowquay Wallet</t>
  </si>
  <si>
    <t xml:space="preserve">https://hollowquaywallet.example</t>
  </si>
  <si>
    <t xml:space="preserve">Need a banking data API with SLA for our budgeting app, around 65M calls per day.</t>
  </si>
  <si>
    <t xml:space="preserve">L-0139</t>
  </si>
  <si>
    <t xml:space="preserve">Zara Silva</t>
  </si>
  <si>
    <t xml:space="preserve">zara.silva@glimmerfenstudio.example</t>
  </si>
  <si>
    <t xml:space="preserve">L-0140</t>
  </si>
  <si>
    <t xml:space="preserve">Mateo Muller</t>
  </si>
  <si>
    <t xml:space="preserve">mateo746@burnmail.example</t>
  </si>
  <si>
    <t xml:space="preserve">L-0141</t>
  </si>
  <si>
    <t xml:space="preserve">Aisha Rossi</t>
  </si>
  <si>
    <t xml:space="preserve">aisha924@letterdrop.example</t>
  </si>
  <si>
    <t xml:space="preserve">L-0142</t>
  </si>
  <si>
    <t xml:space="preserve">Aisha Silva</t>
  </si>
  <si>
    <t xml:space="preserve">aisha.silva@brindlewickpay.example</t>
  </si>
  <si>
    <t xml:space="preserve">https://brindlewickpay.example</t>
  </si>
  <si>
    <t xml:space="preserve">L-0143</t>
  </si>
  <si>
    <t xml:space="preserve">Zara Tanaka</t>
  </si>
  <si>
    <t xml:space="preserve">zara783@letterdrop.example</t>
  </si>
  <si>
    <t xml:space="preserve">L-0144</t>
  </si>
  <si>
    <t xml:space="preserve">Tariq Khan</t>
  </si>
  <si>
    <t xml:space="preserve">tariq.khan@inboxly.example</t>
  </si>
  <si>
    <t xml:space="preserve">L-0145</t>
  </si>
  <si>
    <t xml:space="preserve">Ji-woo Muller</t>
  </si>
  <si>
    <t xml:space="preserve">L-0146</t>
  </si>
  <si>
    <t xml:space="preserve">ivan363@codewhistleoutsourcing.example</t>
  </si>
  <si>
    <t xml:space="preserve">L-0147</t>
  </si>
  <si>
    <t xml:space="preserve">Lina Nguyen</t>
  </si>
  <si>
    <t xml:space="preserve">lina138@throwaway.example</t>
  </si>
  <si>
    <t xml:space="preserve">L-0148</t>
  </si>
  <si>
    <t xml:space="preserve">Ji-woo Nguyen</t>
  </si>
  <si>
    <t xml:space="preserve">ji-woo.nguyen@brindlewickbank.example</t>
  </si>
  <si>
    <t xml:space="preserve">Brindlewick Bank</t>
  </si>
  <si>
    <t xml:space="preserve">https://brindlewickbank.example</t>
  </si>
  <si>
    <t xml:space="preserve">L-0149</t>
  </si>
  <si>
    <t xml:space="preserve">Sofia Costa</t>
  </si>
  <si>
    <t xml:space="preserve">lucas634@boostquillmedia.example</t>
  </si>
  <si>
    <t xml:space="preserve">L-0150</t>
  </si>
  <si>
    <t xml:space="preserve">lina343@inboxly.example</t>
  </si>
  <si>
    <t xml:space="preserve">L-0151</t>
  </si>
  <si>
    <t xml:space="preserve">Zara Mehta</t>
  </si>
  <si>
    <t xml:space="preserve">zara.mehta@orrowmerelabs.example</t>
  </si>
  <si>
    <t xml:space="preserve">Orrowmere Labs</t>
  </si>
  <si>
    <t xml:space="preserve">https://orrowmerelabs.example</t>
  </si>
  <si>
    <t xml:space="preserve">Need a banking data API with SLA for our budgeting app, around 43M calls per day.</t>
  </si>
  <si>
    <t xml:space="preserve">L-0152</t>
  </si>
  <si>
    <t xml:space="preserve">Marco Ivanova</t>
  </si>
  <si>
    <t xml:space="preserve">marco.ivanova@wyndlefosscapital.example</t>
  </si>
  <si>
    <t xml:space="preserve">L-0153</t>
  </si>
  <si>
    <t xml:space="preserve">Arjun Costa</t>
  </si>
  <si>
    <t xml:space="preserve">arjun502@postbox.example</t>
  </si>
  <si>
    <t xml:space="preserve">L-0154</t>
  </si>
  <si>
    <t xml:space="preserve">Marco Berg</t>
  </si>
  <si>
    <t xml:space="preserve">marco.berg@plumeridgecommerce.example</t>
  </si>
  <si>
    <t xml:space="preserve">Plumeridge Commerce</t>
  </si>
  <si>
    <t xml:space="preserve">https://plumeridgecommerce.example</t>
  </si>
  <si>
    <t xml:space="preserve">L-0155</t>
  </si>
  <si>
    <t xml:space="preserve">Fatima Garcia</t>
  </si>
  <si>
    <t xml:space="preserve">fatima.garcia@plumeridgecapital.example</t>
  </si>
  <si>
    <t xml:space="preserve">Plumeridge Capital</t>
  </si>
  <si>
    <t xml:space="preserve">https://plumeridgecapital.example</t>
  </si>
  <si>
    <t xml:space="preserve">L-0156</t>
  </si>
  <si>
    <t xml:space="preserve">Sofia Kim</t>
  </si>
  <si>
    <t xml:space="preserve">sofia.kim@quillmoorlabs.example</t>
  </si>
  <si>
    <t xml:space="preserve">Quillmoor Labs</t>
  </si>
  <si>
    <t xml:space="preserve">https://quillmoorlabs.example</t>
  </si>
  <si>
    <t xml:space="preserve">L-0157</t>
  </si>
  <si>
    <t xml:space="preserve">Ethan Novak</t>
  </si>
  <si>
    <t xml:space="preserve">ethan.novak@letterdrop.example</t>
  </si>
  <si>
    <t xml:space="preserve">L-0158</t>
  </si>
  <si>
    <t xml:space="preserve">Ananya Chen</t>
  </si>
  <si>
    <t xml:space="preserve">ananya.chen@umberwickbank.example</t>
  </si>
  <si>
    <t xml:space="preserve">Umberwick Bank</t>
  </si>
  <si>
    <t xml:space="preserve">https://umberwickbank.example</t>
  </si>
  <si>
    <t xml:space="preserve">L-0159</t>
  </si>
  <si>
    <t xml:space="preserve">Zara Nguyen</t>
  </si>
  <si>
    <t xml:space="preserve">zara.nguyen@freemail.example</t>
  </si>
  <si>
    <t xml:space="preserve">L-0160</t>
  </si>
  <si>
    <t xml:space="preserve">Chloe Nguyen</t>
  </si>
  <si>
    <t xml:space="preserve">chloe.nguyen@nettlebriskbank.example</t>
  </si>
  <si>
    <t xml:space="preserve">Nettlebrisk Bank</t>
  </si>
  <si>
    <t xml:space="preserve">https://nettlebriskbank.example</t>
  </si>
  <si>
    <t xml:space="preserve">Evaluating virtual accounts providers for our remittance app. Can we get a demo and a cost comparison?</t>
  </si>
  <si>
    <t xml:space="preserve">L-0161</t>
  </si>
  <si>
    <t xml:space="preserve">Felix Novak</t>
  </si>
  <si>
    <t xml:space="preserve">felix.novak@inboxly.example</t>
  </si>
  <si>
    <t xml:space="preserve">Tarnvale Bank</t>
  </si>
  <si>
    <t xml:space="preserve">L-0162</t>
  </si>
  <si>
    <t xml:space="preserve">Aisha Okafor</t>
  </si>
  <si>
    <t xml:space="preserve">aisha.okafor@freemail.example</t>
  </si>
  <si>
    <t xml:space="preserve">Ostrivo Bank</t>
  </si>
  <si>
    <t xml:space="preserve">L-0163</t>
  </si>
  <si>
    <t xml:space="preserve">Ananya Mehta</t>
  </si>
  <si>
    <t xml:space="preserve">ananya.mehta@freemail.example</t>
  </si>
  <si>
    <t xml:space="preserve">Hollowquay Finance</t>
  </si>
  <si>
    <t xml:space="preserve">L-0164</t>
  </si>
  <si>
    <t xml:space="preserve">Kenji Khan</t>
  </si>
  <si>
    <t xml:space="preserve">L-0165</t>
  </si>
  <si>
    <t xml:space="preserve">Leon Kim</t>
  </si>
  <si>
    <t xml:space="preserve">leon951@burnmail.example</t>
  </si>
  <si>
    <t xml:space="preserve">L-0166</t>
  </si>
  <si>
    <t xml:space="preserve">Nadia Khan</t>
  </si>
  <si>
    <t xml:space="preserve">nadia.khan@juniperholtwallet.example</t>
  </si>
  <si>
    <t xml:space="preserve">Juniperholt Wallet</t>
  </si>
  <si>
    <t xml:space="preserve">https://juniperholtwallet.example</t>
  </si>
  <si>
    <t xml:space="preserve">L-0167</t>
  </si>
  <si>
    <t xml:space="preserve">Omar Ivanova</t>
  </si>
  <si>
    <t xml:space="preserve">omar.ivanova@inboxly.example</t>
  </si>
  <si>
    <t xml:space="preserve">L-0168</t>
  </si>
  <si>
    <t xml:space="preserve">Felix Rossi</t>
  </si>
  <si>
    <t xml:space="preserve">felix.rossi@postbox.example</t>
  </si>
  <si>
    <t xml:space="preserve">L-0169</t>
  </si>
  <si>
    <t xml:space="preserve">daniel302@quickdrop.example</t>
  </si>
  <si>
    <t xml:space="preserve">L-0170</t>
  </si>
  <si>
    <t xml:space="preserve">ravi.lee@dunmarrowmoney.example</t>
  </si>
  <si>
    <t xml:space="preserve">Dunmarrow Money</t>
  </si>
  <si>
    <t xml:space="preserve">https://dunmarrowmoney.example</t>
  </si>
  <si>
    <t xml:space="preserve">L-0171</t>
  </si>
  <si>
    <t xml:space="preserve">tariq.brown@orrowmerecapital.example</t>
  </si>
  <si>
    <t xml:space="preserve">Orrowmere Capital</t>
  </si>
  <si>
    <t xml:space="preserve">https://orrowmerecapital.example</t>
  </si>
  <si>
    <t xml:space="preserve">L-0172</t>
  </si>
  <si>
    <t xml:space="preserve">elena.patel@letterdrop.example</t>
  </si>
  <si>
    <t xml:space="preserve">L-0173</t>
  </si>
  <si>
    <t xml:space="preserve">lina157@postbox.example</t>
  </si>
  <si>
    <t xml:space="preserve">L-0174</t>
  </si>
  <si>
    <t xml:space="preserve">Noah Kim</t>
  </si>
  <si>
    <t xml:space="preserve">noah.kim@ferrowindstudio.example</t>
  </si>
  <si>
    <t xml:space="preserve">Ferrowind Studio</t>
  </si>
  <si>
    <t xml:space="preserve">https://ferrowindstudio.example</t>
  </si>
  <si>
    <t xml:space="preserve">L-0175</t>
  </si>
  <si>
    <t xml:space="preserve">Chloe Kim</t>
  </si>
  <si>
    <t xml:space="preserve">chloe.kim@marrowgatefinance.example</t>
  </si>
  <si>
    <t xml:space="preserve">Marrowgate Finance</t>
  </si>
  <si>
    <t xml:space="preserve">https://marrowgatefinance.example</t>
  </si>
  <si>
    <t xml:space="preserve">L-0176</t>
  </si>
  <si>
    <t xml:space="preserve">sofia867@webmail.example</t>
  </si>
  <si>
    <t xml:space="preserve">L-0177</t>
  </si>
  <si>
    <t xml:space="preserve">Chloe Costa</t>
  </si>
  <si>
    <t xml:space="preserve">chloe.costa@quarrytidelabs.example</t>
  </si>
  <si>
    <t xml:space="preserve">L-0178</t>
  </si>
  <si>
    <t xml:space="preserve">Felix Mehta</t>
  </si>
  <si>
    <t xml:space="preserve">felix.mehta@inboxly.example</t>
  </si>
  <si>
    <t xml:space="preserve">L-0179</t>
  </si>
  <si>
    <t xml:space="preserve">Lina Berg</t>
  </si>
  <si>
    <t xml:space="preserve">lina664@throwaway.example</t>
  </si>
  <si>
    <t xml:space="preserve">L-0180</t>
  </si>
  <si>
    <t xml:space="preserve">Sam Patel</t>
  </si>
  <si>
    <t xml:space="preserve">sam.patel@webmail.example</t>
  </si>
  <si>
    <t xml:space="preserve">L-0181</t>
  </si>
  <si>
    <t xml:space="preserve">Ravi Mehta</t>
  </si>
  <si>
    <t xml:space="preserve">ravi.mehta@wyndlefossstudio.example</t>
  </si>
  <si>
    <t xml:space="preserve">Wyndlefoss Studio</t>
  </si>
  <si>
    <t xml:space="preserve">https://wyndlefossstudio.example</t>
  </si>
  <si>
    <t xml:space="preserve">L-0182</t>
  </si>
  <si>
    <t xml:space="preserve">Hana Muller</t>
  </si>
  <si>
    <t xml:space="preserve">hana.muller@marrowgatepay.example</t>
  </si>
  <si>
    <t xml:space="preserve">L-0183</t>
  </si>
  <si>
    <t xml:space="preserve">Lina Sharma</t>
  </si>
  <si>
    <t xml:space="preserve">lina888@webmail.example</t>
  </si>
  <si>
    <t xml:space="preserve">L-0184</t>
  </si>
  <si>
    <t xml:space="preserve">Marco Chen</t>
  </si>
  <si>
    <t xml:space="preserve">marco972@letterdrop.example</t>
  </si>
  <si>
    <t xml:space="preserve">L-0185</t>
  </si>
  <si>
    <t xml:space="preserve">Felix Patel</t>
  </si>
  <si>
    <t xml:space="preserve">felix.patel@wyndlefosssystems.example</t>
  </si>
  <si>
    <t xml:space="preserve">L-0186</t>
  </si>
  <si>
    <t xml:space="preserve">Mateo Nguyen</t>
  </si>
  <si>
    <t xml:space="preserve">mateo.nguyen@tarnvalewallet.example</t>
  </si>
  <si>
    <t xml:space="preserve">Tarnvale Wallet</t>
  </si>
  <si>
    <t xml:space="preserve">https://tarnvalewallet.example</t>
  </si>
  <si>
    <t xml:space="preserve">Evaluating virtual accounts providers for our BNPL app. Can we get a demo and a cost comparison?</t>
  </si>
  <si>
    <t xml:space="preserve">L-0187</t>
  </si>
  <si>
    <t xml:space="preserve">Noah Muller</t>
  </si>
  <si>
    <t xml:space="preserve">noah.muller@ostrivowallet.example</t>
  </si>
  <si>
    <t xml:space="preserve">L-0188</t>
  </si>
  <si>
    <t xml:space="preserve">Ivan Silva</t>
  </si>
  <si>
    <t xml:space="preserve">ivan.silva@nettlebriskbank.example</t>
  </si>
  <si>
    <t xml:space="preserve">L-0189</t>
  </si>
  <si>
    <t xml:space="preserve">Fatima Costa</t>
  </si>
  <si>
    <t xml:space="preserve">fatima.costa@freemail.example</t>
  </si>
  <si>
    <t xml:space="preserve">L-0190</t>
  </si>
  <si>
    <t xml:space="preserve">Felix Haddad</t>
  </si>
  <si>
    <t xml:space="preserve">felix.haddad@freemail.example</t>
  </si>
  <si>
    <t xml:space="preserve">Need a banking data API with SLA for our budgeting app, around 78M calls per day.</t>
  </si>
  <si>
    <t xml:space="preserve">L-0191</t>
  </si>
  <si>
    <t xml:space="preserve">Sam Muller</t>
  </si>
  <si>
    <t xml:space="preserve">sam.muller@webmail.example</t>
  </si>
  <si>
    <t xml:space="preserve">Nettlebrisk Studio</t>
  </si>
  <si>
    <t xml:space="preserve">Need a banking data API with SLA for our budgeting app, around 5M calls per day.</t>
  </si>
  <si>
    <t xml:space="preserve">L-0192</t>
  </si>
  <si>
    <t xml:space="preserve">lucas.garcia@glimmerfenstudio.example</t>
  </si>
  <si>
    <t xml:space="preserve">L-0193</t>
  </si>
  <si>
    <t xml:space="preserve">aisha.okafor@webmail.example</t>
  </si>
  <si>
    <t xml:space="preserve">Ostrivo Studio</t>
  </si>
  <si>
    <t xml:space="preserve">L-0194</t>
  </si>
  <si>
    <t xml:space="preserve">Leon Okafor</t>
  </si>
  <si>
    <t xml:space="preserve">leon301@quickdrop.example</t>
  </si>
  <si>
    <t xml:space="preserve">L-0195</t>
  </si>
  <si>
    <t xml:space="preserve">Lucas Berg</t>
  </si>
  <si>
    <t xml:space="preserve">lucas457@letterdrop.example</t>
  </si>
  <si>
    <t xml:space="preserve">L-0196</t>
  </si>
  <si>
    <t xml:space="preserve">Ananya Haddad</t>
  </si>
  <si>
    <t xml:space="preserve">https://listpeakdirectory.example</t>
  </si>
  <si>
    <t xml:space="preserve">L-0197</t>
  </si>
  <si>
    <t xml:space="preserve">ananya44@boostquillmedia.example</t>
  </si>
  <si>
    <t xml:space="preserve">L-0198</t>
  </si>
  <si>
    <t xml:space="preserve">marco.khan@larkspindlepay.example</t>
  </si>
  <si>
    <t xml:space="preserve">Larkspindle Pay</t>
  </si>
  <si>
    <t xml:space="preserve">https://larkspindlepay.example</t>
  </si>
  <si>
    <t xml:space="preserve">L-0199</t>
  </si>
  <si>
    <t xml:space="preserve">hana.khan@letterdrop.example</t>
  </si>
  <si>
    <t xml:space="preserve">L-0200</t>
  </si>
  <si>
    <t xml:space="preserve">Arjun Muller</t>
  </si>
  <si>
    <t xml:space="preserve">L-0201</t>
  </si>
  <si>
    <t xml:space="preserve">Lina Muller</t>
  </si>
  <si>
    <t xml:space="preserve">lina809@vanishmail.example</t>
  </si>
  <si>
    <t xml:space="preserve">L-0202</t>
  </si>
  <si>
    <t xml:space="preserve">Fatima Muller</t>
  </si>
  <si>
    <t xml:space="preserve">fatima.muller@letterdrop.example</t>
  </si>
  <si>
    <t xml:space="preserve">L-0203</t>
  </si>
  <si>
    <t xml:space="preserve">Ivan Tanaka</t>
  </si>
  <si>
    <t xml:space="preserve">ivan.tanaka@wyndlefosswallet.example</t>
  </si>
  <si>
    <t xml:space="preserve">L-0204</t>
  </si>
  <si>
    <t xml:space="preserve">Ivan Muller</t>
  </si>
  <si>
    <t xml:space="preserve">ivan.muller@postbox.example</t>
  </si>
  <si>
    <t xml:space="preserve">Thornlacey Wallet</t>
  </si>
  <si>
    <t xml:space="preserve">L-0205</t>
  </si>
  <si>
    <t xml:space="preserve">Lucas Okafor</t>
  </si>
  <si>
    <t xml:space="preserve">lucas.okafor@webmail.example</t>
  </si>
  <si>
    <t xml:space="preserve">Plumeridge Studio</t>
  </si>
  <si>
    <t xml:space="preserve">L-0206</t>
  </si>
  <si>
    <t xml:space="preserve">Ethan Berg</t>
  </si>
  <si>
    <t xml:space="preserve">ethan.berg@webmail.example</t>
  </si>
  <si>
    <t xml:space="preserve">Umberwick Pay</t>
  </si>
  <si>
    <t xml:space="preserve">L-0207</t>
  </si>
  <si>
    <t xml:space="preserve">Chloe Lee</t>
  </si>
  <si>
    <t xml:space="preserve">chloe.lee@dunmarrowfinance.example</t>
  </si>
  <si>
    <t xml:space="preserve">Dunmarrow Finance</t>
  </si>
  <si>
    <t xml:space="preserve">https://dunmarrowfinance.example</t>
  </si>
  <si>
    <t xml:space="preserve">We are launching a payroll product and need a managed virtual accounts setup with go-live in Q4.</t>
  </si>
  <si>
    <t xml:space="preserve">L-0208</t>
  </si>
  <si>
    <t xml:space="preserve">Sofia Silva</t>
  </si>
  <si>
    <t xml:space="preserve">sofia.silva@freemail.example</t>
  </si>
  <si>
    <t xml:space="preserve">Vexmoor Pay</t>
  </si>
  <si>
    <t xml:space="preserve">Need a banking data API with SLA for our budgeting app, around 55M calls per day.</t>
  </si>
  <si>
    <t xml:space="preserve">L-0209</t>
  </si>
  <si>
    <t xml:space="preserve">Leon Garcia</t>
  </si>
  <si>
    <t xml:space="preserve">leon.garcia@letterdrop.example</t>
  </si>
  <si>
    <t xml:space="preserve">L-0210</t>
  </si>
  <si>
    <t xml:space="preserve">Tariq Chen</t>
  </si>
  <si>
    <t xml:space="preserve">tariq25@burnmail.example</t>
  </si>
  <si>
    <t xml:space="preserve">L-0211</t>
  </si>
  <si>
    <t xml:space="preserve">Marco Garcia</t>
  </si>
  <si>
    <t xml:space="preserve">marco256@quickdrop.example</t>
  </si>
  <si>
    <t xml:space="preserve">L-0212</t>
  </si>
  <si>
    <t xml:space="preserve">Elena Sharma</t>
  </si>
  <si>
    <t xml:space="preserve">elena.sharma@ostrivocapital.example</t>
  </si>
  <si>
    <t xml:space="preserve">Ostrivo Capital</t>
  </si>
  <si>
    <t xml:space="preserve">https://ostrivocapital.example</t>
  </si>
  <si>
    <t xml:space="preserve">L-0213</t>
  </si>
  <si>
    <t xml:space="preserve">Chloe Chen</t>
  </si>
  <si>
    <t xml:space="preserve">chloe.chen@letterdrop.example</t>
  </si>
  <si>
    <t xml:space="preserve">L-0214</t>
  </si>
  <si>
    <t xml:space="preserve">Chloe Garcia</t>
  </si>
  <si>
    <t xml:space="preserve">chloe.garcia@brindlewickbank.example</t>
  </si>
  <si>
    <t xml:space="preserve">L-0215</t>
  </si>
  <si>
    <t xml:space="preserve">Fatima Mehta</t>
  </si>
  <si>
    <t xml:space="preserve">fatima.mehta@yarrowtunstudio.example</t>
  </si>
  <si>
    <t xml:space="preserve">L-0216</t>
  </si>
  <si>
    <t xml:space="preserve">Marco Tanaka</t>
  </si>
  <si>
    <t xml:space="preserve">marco.tanaka@thornlaceystudio.example</t>
  </si>
  <si>
    <t xml:space="preserve">Thornlacey Studio</t>
  </si>
  <si>
    <t xml:space="preserve">https://thornlaceystudio.example</t>
  </si>
  <si>
    <t xml:space="preserve">L-0217</t>
  </si>
  <si>
    <t xml:space="preserve">zara.novak@quillmoorstudio.example</t>
  </si>
  <si>
    <t xml:space="preserve">L-0218</t>
  </si>
  <si>
    <t xml:space="preserve">tariq.berg@tarnvalefinance.example</t>
  </si>
  <si>
    <t xml:space="preserve">https://tarnvalefinance.example</t>
  </si>
  <si>
    <t xml:space="preserve">L-0219</t>
  </si>
  <si>
    <t xml:space="preserve">Grace Sharma</t>
  </si>
  <si>
    <t xml:space="preserve">grace.sharma@inboxly.example</t>
  </si>
  <si>
    <t xml:space="preserve">Hollowquay Commerce</t>
  </si>
  <si>
    <t xml:space="preserve">L-0220</t>
  </si>
  <si>
    <t xml:space="preserve">Ethan Khan</t>
  </si>
  <si>
    <t xml:space="preserve">ethan.khan@letterdrop.example</t>
  </si>
  <si>
    <t xml:space="preserve">L-0221</t>
  </si>
  <si>
    <t xml:space="preserve">Lina Lee</t>
  </si>
  <si>
    <t xml:space="preserve">lina.lee@zellowmarksystems.example</t>
  </si>
  <si>
    <t xml:space="preserve">Zellowmark Systems</t>
  </si>
  <si>
    <t xml:space="preserve">https://zellowmarksystems.example</t>
  </si>
  <si>
    <t xml:space="preserve">L-0222</t>
  </si>
  <si>
    <t xml:space="preserve">Mei Okafor</t>
  </si>
  <si>
    <t xml:space="preserve">mei.okafor@nettlebriskpay.example</t>
  </si>
  <si>
    <t xml:space="preserve">Nettlebrisk Pay</t>
  </si>
  <si>
    <t xml:space="preserve">https://nettlebriskpay.example</t>
  </si>
  <si>
    <t xml:space="preserve">Need a banking data API with SLA for our budgeting app, around 51M calls per day.</t>
  </si>
  <si>
    <t xml:space="preserve">L-0223</t>
  </si>
  <si>
    <t xml:space="preserve">Ravi Tanaka</t>
  </si>
  <si>
    <t xml:space="preserve">ravi629@throwaway.example</t>
  </si>
  <si>
    <t xml:space="preserve">L-0224</t>
  </si>
  <si>
    <t xml:space="preserve">Zara Brown</t>
  </si>
  <si>
    <t xml:space="preserve">zara.brown@letterdrop.example</t>
  </si>
  <si>
    <t xml:space="preserve">Quillmoor Commerce</t>
  </si>
  <si>
    <t xml:space="preserve">L-0225</t>
  </si>
  <si>
    <t xml:space="preserve">Ivan Okafor</t>
  </si>
  <si>
    <t xml:space="preserve">ivan.okafor@freemail.example</t>
  </si>
  <si>
    <t xml:space="preserve">L-0226</t>
  </si>
  <si>
    <t xml:space="preserve">Kenji Costa</t>
  </si>
  <si>
    <t xml:space="preserve">kenji761@listpeakdirectory.example</t>
  </si>
  <si>
    <t xml:space="preserve">L-0227</t>
  </si>
  <si>
    <t xml:space="preserve">daniel.okafor@inboxly.example</t>
  </si>
  <si>
    <t xml:space="preserve">We are launching a marketplace product and need a managed payouts setup with go-live in Q3.</t>
  </si>
  <si>
    <t xml:space="preserve">L-0228</t>
  </si>
  <si>
    <t xml:space="preserve">Leon Silva</t>
  </si>
  <si>
    <t xml:space="preserve">leon.silva@zellowmarkmoney.example</t>
  </si>
  <si>
    <t xml:space="preserve">Zellowmark Money</t>
  </si>
  <si>
    <t xml:space="preserve">https://zellowmarkmoney.example</t>
  </si>
  <si>
    <t xml:space="preserve">L-0229</t>
  </si>
  <si>
    <t xml:space="preserve">Ivan Berg</t>
  </si>
  <si>
    <t xml:space="preserve">ivan823@letterdrop.example</t>
  </si>
  <si>
    <t xml:space="preserve">L-0230</t>
  </si>
  <si>
    <t xml:space="preserve">elena.patel@freemail.example</t>
  </si>
  <si>
    <t xml:space="preserve">Dunmarrow Wallet</t>
  </si>
  <si>
    <t xml:space="preserve">L-0231</t>
  </si>
  <si>
    <t xml:space="preserve">Ethan Sharma</t>
  </si>
  <si>
    <t xml:space="preserve">ethan.sharma@rushbarrowlabs.example</t>
  </si>
  <si>
    <t xml:space="preserve">https://rushbarrowlabs.example</t>
  </si>
  <si>
    <t xml:space="preserve">L-0232</t>
  </si>
  <si>
    <t xml:space="preserve">Elena Nguyen</t>
  </si>
  <si>
    <t xml:space="preserve">elena.nguyen@postbox.example</t>
  </si>
  <si>
    <t xml:space="preserve">Orrowmere Studio</t>
  </si>
  <si>
    <t xml:space="preserve">L-0233</t>
  </si>
  <si>
    <t xml:space="preserve">Chloe Patel</t>
  </si>
  <si>
    <t xml:space="preserve">chloe453@throwaway.example</t>
  </si>
  <si>
    <t xml:space="preserve">L-0234</t>
  </si>
  <si>
    <t xml:space="preserve">sam715@quickdrop.example</t>
  </si>
  <si>
    <t xml:space="preserve">L-0235</t>
  </si>
  <si>
    <t xml:space="preserve">Mateo Novak</t>
  </si>
  <si>
    <t xml:space="preserve">mateo768@boostquillmedia.example</t>
  </si>
  <si>
    <t xml:space="preserve">L-0236</t>
  </si>
  <si>
    <t xml:space="preserve">Zara Lee</t>
  </si>
  <si>
    <t xml:space="preserve">zara.lee@letterdrop.example</t>
  </si>
  <si>
    <t xml:space="preserve">L-0237</t>
  </si>
  <si>
    <t xml:space="preserve">zara.brown@nettlebrisklabs.example</t>
  </si>
  <si>
    <t xml:space="preserve">L-0238</t>
  </si>
  <si>
    <t xml:space="preserve">Hana Sharma</t>
  </si>
  <si>
    <t xml:space="preserve">hana.sharma@brindlewickmoney.example</t>
  </si>
  <si>
    <t xml:space="preserve">Brindlewick Money</t>
  </si>
  <si>
    <t xml:space="preserve">https://brindlewickmoney.example</t>
  </si>
  <si>
    <t xml:space="preserve">L-0239</t>
  </si>
  <si>
    <t xml:space="preserve">Chloe Haddad</t>
  </si>
  <si>
    <t xml:space="preserve">chloe.haddad@dunmarrowcommerce.example</t>
  </si>
  <si>
    <t xml:space="preserve">L-0240</t>
  </si>
  <si>
    <t xml:space="preserve">zara.lee@zellowmarkmoney.example</t>
  </si>
  <si>
    <t xml:space="preserve">L-0241</t>
  </si>
  <si>
    <t xml:space="preserve">aisha.okafor@yarrowtunmoney.example</t>
  </si>
  <si>
    <t xml:space="preserve">L-0242</t>
  </si>
  <si>
    <t xml:space="preserve">Yuki Muller</t>
  </si>
  <si>
    <t xml:space="preserve">yuki.muller@freemail.example</t>
  </si>
  <si>
    <t xml:space="preserve">L-0243</t>
  </si>
  <si>
    <t xml:space="preserve">daniel.costa@vexmoorstudio.example</t>
  </si>
  <si>
    <t xml:space="preserve">Vexmoor Studio</t>
  </si>
  <si>
    <t xml:space="preserve">https://vexmoorstudio.example</t>
  </si>
  <si>
    <t xml:space="preserve">L-0244</t>
  </si>
  <si>
    <t xml:space="preserve">Ji-woo Rossi</t>
  </si>
  <si>
    <t xml:space="preserve">ji-woo.rossi@freemail.example</t>
  </si>
  <si>
    <t xml:space="preserve">L-0245</t>
  </si>
  <si>
    <t xml:space="preserve">Tariq Sharma</t>
  </si>
  <si>
    <t xml:space="preserve">tariq.sharma@webmail.example</t>
  </si>
  <si>
    <t xml:space="preserve">L-0246</t>
  </si>
  <si>
    <t xml:space="preserve">Lina Ivanova</t>
  </si>
  <si>
    <t xml:space="preserve">lina848@inboxly.example</t>
  </si>
  <si>
    <t xml:space="preserve">L-0247</t>
  </si>
  <si>
    <t xml:space="preserve">Yuki Haddad</t>
  </si>
  <si>
    <t xml:space="preserve">yuki.haddad@freemail.example</t>
  </si>
  <si>
    <t xml:space="preserve">L-0248</t>
  </si>
  <si>
    <t xml:space="preserve">Mei Brown</t>
  </si>
  <si>
    <t xml:space="preserve">mei485@burnmail.example</t>
  </si>
  <si>
    <t xml:space="preserve">L-0249</t>
  </si>
  <si>
    <t xml:space="preserve">arjun257@throwaway.example</t>
  </si>
  <si>
    <t xml:space="preserve">L-0250</t>
  </si>
  <si>
    <t xml:space="preserve">zara.tanaka@letterdrop.example</t>
  </si>
  <si>
    <t xml:space="preserve">Rushbarrow Capital</t>
  </si>
  <si>
    <t xml:space="preserve">L-0251</t>
  </si>
  <si>
    <t xml:space="preserve">lina.costa@inboxly.example</t>
  </si>
  <si>
    <t xml:space="preserve">Ostrivo Money</t>
  </si>
  <si>
    <t xml:space="preserve">L-0252</t>
  </si>
  <si>
    <t xml:space="preserve">Priya Patel</t>
  </si>
  <si>
    <t xml:space="preserve">priya316@webmail.example</t>
  </si>
  <si>
    <t xml:space="preserve">L-0253</t>
  </si>
  <si>
    <t xml:space="preserve">ethan.okafor@letterdrop.example</t>
  </si>
  <si>
    <t xml:space="preserve">L-0254</t>
  </si>
  <si>
    <t xml:space="preserve">Priya Costa</t>
  </si>
  <si>
    <t xml:space="preserve">priya.costa@dunmarrowcapital.example</t>
  </si>
  <si>
    <t xml:space="preserve">Need a banking data API with SLA for our budgeting app, around 68M calls per day.</t>
  </si>
  <si>
    <t xml:space="preserve">L-0255</t>
  </si>
  <si>
    <t xml:space="preserve">aisha.rossi@nettlebrisksystems.example</t>
  </si>
  <si>
    <t xml:space="preserve">Nettlebrisk Systems</t>
  </si>
  <si>
    <t xml:space="preserve">https://nettlebrisksystems.example</t>
  </si>
  <si>
    <t xml:space="preserve">We are launching a remittance product and need a managed card issuing setup with go-live in Q4.</t>
  </si>
  <si>
    <t xml:space="preserve">L-0256</t>
  </si>
  <si>
    <t xml:space="preserve">mateo.rossi@sallowfennfinance.example</t>
  </si>
  <si>
    <t xml:space="preserve">Sallowfenn Finance</t>
  </si>
  <si>
    <t xml:space="preserve">https://sallowfennfinance.example</t>
  </si>
  <si>
    <t xml:space="preserve">L-0257</t>
  </si>
  <si>
    <t xml:space="preserve">Lina Kim</t>
  </si>
  <si>
    <t xml:space="preserve">lina332@postbox.example</t>
  </si>
  <si>
    <t xml:space="preserve">L-0258</t>
  </si>
  <si>
    <t xml:space="preserve">Marco Costa</t>
  </si>
  <si>
    <t xml:space="preserve">marco.costa@freemail.example</t>
  </si>
  <si>
    <t xml:space="preserve">L-0259</t>
  </si>
  <si>
    <t xml:space="preserve">Grace Novak</t>
  </si>
  <si>
    <t xml:space="preserve">L-0260</t>
  </si>
  <si>
    <t xml:space="preserve">Kenji Mehta</t>
  </si>
  <si>
    <t xml:space="preserve">kenji.mehta@umberwickpay.example</t>
  </si>
  <si>
    <t xml:space="preserve">https://umberwickpay.example</t>
  </si>
  <si>
    <t xml:space="preserve">L-0261</t>
  </si>
  <si>
    <t xml:space="preserve">Grace Haddad</t>
  </si>
  <si>
    <t xml:space="preserve">grace.haddad@larkspindlefinance.example</t>
  </si>
  <si>
    <t xml:space="preserve">Larkspindle Finance</t>
  </si>
  <si>
    <t xml:space="preserve">https://larkspindlefinance.example</t>
  </si>
  <si>
    <t xml:space="preserve">L-0262</t>
  </si>
  <si>
    <t xml:space="preserve">Nadia Garcia</t>
  </si>
  <si>
    <t xml:space="preserve">nadia765@freemail.example</t>
  </si>
  <si>
    <t xml:space="preserve">L-0263</t>
  </si>
  <si>
    <t xml:space="preserve">kenji.okafor@rushbarrowcapital.example</t>
  </si>
  <si>
    <t xml:space="preserve">https://rushbarrowcapital.example</t>
  </si>
  <si>
    <t xml:space="preserve">Need a banking data API with SLA for our budgeting app, around 13M calls per day.</t>
  </si>
  <si>
    <t xml:space="preserve">L-0264</t>
  </si>
  <si>
    <t xml:space="preserve">Chloe Muller</t>
  </si>
  <si>
    <t xml:space="preserve">chloe.muller@plumeridgebank.example</t>
  </si>
  <si>
    <t xml:space="preserve">L-0265</t>
  </si>
  <si>
    <t xml:space="preserve">Yuki Novak</t>
  </si>
  <si>
    <t xml:space="preserve">yuki.novak@webmail.example</t>
  </si>
  <si>
    <t xml:space="preserve">Yarrowtun Wallet</t>
  </si>
  <si>
    <t xml:space="preserve">L-0266</t>
  </si>
  <si>
    <t xml:space="preserve">ivan.muller@quarrytidepay.example</t>
  </si>
  <si>
    <t xml:space="preserve">Quarrytide Pay</t>
  </si>
  <si>
    <t xml:space="preserve">https://quarrytidepay.example</t>
  </si>
  <si>
    <t xml:space="preserve">L-0267</t>
  </si>
  <si>
    <t xml:space="preserve">Arjun Nguyen</t>
  </si>
  <si>
    <t xml:space="preserve">arjun65@codewhistleoutsourcing.example</t>
  </si>
  <si>
    <t xml:space="preserve">L-0268</t>
  </si>
  <si>
    <t xml:space="preserve">Yuki Patel</t>
  </si>
  <si>
    <t xml:space="preserve">yuki.patel@postbox.example</t>
  </si>
  <si>
    <t xml:space="preserve">L-0269</t>
  </si>
  <si>
    <t xml:space="preserve">Sofia Haddad</t>
  </si>
  <si>
    <t xml:space="preserve">sofia835@codewhistleoutsourcing.example</t>
  </si>
  <si>
    <t xml:space="preserve">L-0270</t>
  </si>
  <si>
    <t xml:space="preserve">Noah Sharma</t>
  </si>
  <si>
    <t xml:space="preserve">noah.sharma@yarrowtunbank.example</t>
  </si>
  <si>
    <t xml:space="preserve">Yarrowtun Bank</t>
  </si>
  <si>
    <t xml:space="preserve">https://yarrowtunbank.example</t>
  </si>
  <si>
    <t xml:space="preserve">L-0271</t>
  </si>
  <si>
    <t xml:space="preserve">Lina Haddad</t>
  </si>
  <si>
    <t xml:space="preserve">lina.haddad@letterdrop.example</t>
  </si>
  <si>
    <t xml:space="preserve">Yarrowtun Labs</t>
  </si>
  <si>
    <t xml:space="preserve">L-0272</t>
  </si>
  <si>
    <t xml:space="preserve">Hana Okafor</t>
  </si>
  <si>
    <t xml:space="preserve">hana.okafor@plumeridgepay.example</t>
  </si>
  <si>
    <t xml:space="preserve">Plumeridge Pay</t>
  </si>
  <si>
    <t xml:space="preserve">https://plumeridgepay.example</t>
  </si>
  <si>
    <t xml:space="preserve">L-0273</t>
  </si>
  <si>
    <t xml:space="preserve">L-0274</t>
  </si>
  <si>
    <t xml:space="preserve">Fatima Ivanova</t>
  </si>
  <si>
    <t xml:space="preserve">fatima.ivanova@umberwickcapital.example</t>
  </si>
  <si>
    <t xml:space="preserve">Umberwick Capital</t>
  </si>
  <si>
    <t xml:space="preserve">https://umberwickcapital.example</t>
  </si>
  <si>
    <t xml:space="preserve">L-0275</t>
  </si>
  <si>
    <t xml:space="preserve">sofia.nguyen@pellowinmoney.example</t>
  </si>
  <si>
    <t xml:space="preserve">Pellowin Money</t>
  </si>
  <si>
    <t xml:space="preserve">https://pellowinmoney.example</t>
  </si>
  <si>
    <t xml:space="preserve">L-0276</t>
  </si>
  <si>
    <t xml:space="preserve">kenji.okafor@sallowfenncommerce.example</t>
  </si>
  <si>
    <t xml:space="preserve">Sallowfenn Commerce</t>
  </si>
  <si>
    <t xml:space="preserve">https://sallowfenncommerce.example</t>
  </si>
  <si>
    <t xml:space="preserve">L-0277</t>
  </si>
  <si>
    <t xml:space="preserve">Chloe Berg</t>
  </si>
  <si>
    <t xml:space="preserve">chloe.berg@inboxly.example</t>
  </si>
  <si>
    <t xml:space="preserve">L-0278</t>
  </si>
  <si>
    <t xml:space="preserve">Ivan Novak</t>
  </si>
  <si>
    <t xml:space="preserve">ivan.novak@nettlebriskfinance.example</t>
  </si>
  <si>
    <t xml:space="preserve">Nettlebrisk Finance</t>
  </si>
  <si>
    <t xml:space="preserve">https://nettlebriskfinance.example</t>
  </si>
  <si>
    <t xml:space="preserve">L-0279</t>
  </si>
  <si>
    <t xml:space="preserve">Aisha Tanaka</t>
  </si>
  <si>
    <t xml:space="preserve">aisha240@hypemarrowpr.example</t>
  </si>
  <si>
    <t xml:space="preserve">L-0280</t>
  </si>
  <si>
    <t xml:space="preserve">ivan.silva@freemail.example</t>
  </si>
  <si>
    <t xml:space="preserve">L-0281</t>
  </si>
  <si>
    <t xml:space="preserve">Mei Tanaka</t>
  </si>
  <si>
    <t xml:space="preserve">mei.tanaka@thornlaceysystems.example</t>
  </si>
  <si>
    <t xml:space="preserve">Thornlacey Systems</t>
  </si>
  <si>
    <t xml:space="preserve">https://thornlaceysystems.example</t>
  </si>
  <si>
    <t xml:space="preserve">L-0282</t>
  </si>
  <si>
    <t xml:space="preserve">Chloe Ivanova</t>
  </si>
  <si>
    <t xml:space="preserve">chloe.ivanova@freemail.example</t>
  </si>
  <si>
    <t xml:space="preserve">L-0283</t>
  </si>
  <si>
    <t xml:space="preserve">Mei Berg</t>
  </si>
  <si>
    <t xml:space="preserve">mei303@quickdrop.example</t>
  </si>
  <si>
    <t xml:space="preserve">L-0284</t>
  </si>
  <si>
    <t xml:space="preserve">Nadia Tanaka</t>
  </si>
  <si>
    <t xml:space="preserve">nadia.tanaka@larkspindlebank.example</t>
  </si>
  <si>
    <t xml:space="preserve">Larkspindle Bank</t>
  </si>
  <si>
    <t xml:space="preserve">https://larkspindlebank.example</t>
  </si>
  <si>
    <t xml:space="preserve">L-0285</t>
  </si>
  <si>
    <t xml:space="preserve">marco.berg@orrowmerecommerce.example</t>
  </si>
  <si>
    <t xml:space="preserve">Orrowmere Commerce</t>
  </si>
  <si>
    <t xml:space="preserve">https://orrowmerecommerce.example</t>
  </si>
  <si>
    <t xml:space="preserve">L-0286</t>
  </si>
  <si>
    <t xml:space="preserve">Arjun Sharma</t>
  </si>
  <si>
    <t xml:space="preserve">arjun970@inboxly.example</t>
  </si>
  <si>
    <t xml:space="preserve">L-0287</t>
  </si>
  <si>
    <t xml:space="preserve">L-0288</t>
  </si>
  <si>
    <t xml:space="preserve">Daniel Haddad</t>
  </si>
  <si>
    <t xml:space="preserve">daniel.haddad@glimmerfenmoney.example</t>
  </si>
  <si>
    <t xml:space="preserve">Glimmerfen Money</t>
  </si>
  <si>
    <t xml:space="preserve">https://glimmerfenmoney.example</t>
  </si>
  <si>
    <t xml:space="preserve">L-0289</t>
  </si>
  <si>
    <t xml:space="preserve">Ivan Rossi</t>
  </si>
  <si>
    <t xml:space="preserve">ivan.rossi@freemail.example</t>
  </si>
  <si>
    <t xml:space="preserve">L-0290</t>
  </si>
  <si>
    <t xml:space="preserve">ji-woo856@webmail.example</t>
  </si>
  <si>
    <t xml:space="preserve">L-0291</t>
  </si>
  <si>
    <t xml:space="preserve">Marco Muller</t>
  </si>
  <si>
    <t xml:space="preserve">tariq279@throwaway.example</t>
  </si>
  <si>
    <t xml:space="preserve">L-0292</t>
  </si>
  <si>
    <t xml:space="preserve">chloe.nguyen@kestralithpay.example</t>
  </si>
  <si>
    <t xml:space="preserve">Kestralith Pay</t>
  </si>
  <si>
    <t xml:space="preserve">https://kestralithpay.example</t>
  </si>
  <si>
    <t xml:space="preserve">L-0293</t>
  </si>
  <si>
    <t xml:space="preserve">mei.mehta@ostrivofinance.example</t>
  </si>
  <si>
    <t xml:space="preserve">Ostrivo Finance</t>
  </si>
  <si>
    <t xml:space="preserve">https://ostrivofinance.example</t>
  </si>
  <si>
    <t xml:space="preserve">L-0294</t>
  </si>
  <si>
    <t xml:space="preserve">Lina Okafor</t>
  </si>
  <si>
    <t xml:space="preserve">lina.okafor@freemail.example</t>
  </si>
  <si>
    <t xml:space="preserve">Orrowmere Wallet</t>
  </si>
  <si>
    <t xml:space="preserve">L-0295</t>
  </si>
  <si>
    <t xml:space="preserve">Ananya Kim</t>
  </si>
  <si>
    <t xml:space="preserve">ananya174@quickdrop.example</t>
  </si>
  <si>
    <t xml:space="preserve">L-0296</t>
  </si>
  <si>
    <t xml:space="preserve">ravi.tanaka@inboxly.example</t>
  </si>
  <si>
    <t xml:space="preserve">L-0297</t>
  </si>
  <si>
    <t xml:space="preserve">ji-woo291@inboxly.example</t>
  </si>
  <si>
    <t xml:space="preserve">L-0298</t>
  </si>
  <si>
    <t xml:space="preserve">Zara Haddad</t>
  </si>
  <si>
    <t xml:space="preserve">zara.haddad@webmail.example</t>
  </si>
  <si>
    <t xml:space="preserve">Thornlacey Bank</t>
  </si>
  <si>
    <t xml:space="preserve">We are launching a marketplace product and need a managed cross-border setup with go-live in Q1.</t>
  </si>
  <si>
    <t xml:space="preserve">L-0299</t>
  </si>
  <si>
    <t xml:space="preserve">Ethan Muller</t>
  </si>
  <si>
    <t xml:space="preserve">leon537@postbox.example</t>
  </si>
  <si>
    <t xml:space="preserve">L-0300</t>
  </si>
  <si>
    <t xml:space="preserve">hana.khan@webmail.example</t>
  </si>
  <si>
    <t xml:space="preserve">L-0301</t>
  </si>
  <si>
    <t xml:space="preserve">sofia.sharma@inboxly.example</t>
  </si>
  <si>
    <t xml:space="preserve">Vexmoor Systems</t>
  </si>
  <si>
    <t xml:space="preserve">L-0302</t>
  </si>
  <si>
    <t xml:space="preserve">Aisha Garcia</t>
  </si>
  <si>
    <t xml:space="preserve">aisha.garcia@webmail.example</t>
  </si>
  <si>
    <t xml:space="preserve">Dunmarrow Pay</t>
  </si>
  <si>
    <t xml:space="preserve">L-0303</t>
  </si>
  <si>
    <t xml:space="preserve">Noah Patel</t>
  </si>
  <si>
    <t xml:space="preserve">L-0304</t>
  </si>
  <si>
    <t xml:space="preserve">Omar Rossi</t>
  </si>
  <si>
    <t xml:space="preserve">chloe874@quickdrop.example</t>
  </si>
  <si>
    <t xml:space="preserve">L-0305</t>
  </si>
  <si>
    <t xml:space="preserve">Grace Tanaka</t>
  </si>
  <si>
    <t xml:space="preserve">grace.tanaka@postbox.example</t>
  </si>
  <si>
    <t xml:space="preserve">Hollowquay Capital</t>
  </si>
  <si>
    <t xml:space="preserve">L-0306</t>
  </si>
  <si>
    <t xml:space="preserve">Noah Ivanova</t>
  </si>
  <si>
    <t xml:space="preserve">noah.ivanova@webmail.example</t>
  </si>
  <si>
    <t xml:space="preserve">L-0307</t>
  </si>
  <si>
    <t xml:space="preserve">Fatima Khan</t>
  </si>
  <si>
    <t xml:space="preserve">fatima.khan@freemail.example</t>
  </si>
  <si>
    <t xml:space="preserve">L-0308</t>
  </si>
  <si>
    <t xml:space="preserve">Mateo Mehta</t>
  </si>
  <si>
    <t xml:space="preserve">sam972@tempinbox.example</t>
  </si>
  <si>
    <t xml:space="preserve">L-0309</t>
  </si>
  <si>
    <t xml:space="preserve">Sofia Lee</t>
  </si>
  <si>
    <t xml:space="preserve">sofia.lee@sallowfennpay.example</t>
  </si>
  <si>
    <t xml:space="preserve">Sallowfenn Pay</t>
  </si>
  <si>
    <t xml:space="preserve">https://sallowfennpay.example</t>
  </si>
  <si>
    <t xml:space="preserve">L-0310</t>
  </si>
  <si>
    <t xml:space="preserve">nadia.tanaka@tarnvalecommerce.example</t>
  </si>
  <si>
    <t xml:space="preserve">https://tarnvalecommerce.example</t>
  </si>
  <si>
    <t xml:space="preserve">We are launching a payroll product and need a managed card issuing setup with go-live in Q4.</t>
  </si>
  <si>
    <t xml:space="preserve">L-0311</t>
  </si>
  <si>
    <t xml:space="preserve">Felix Brown</t>
  </si>
  <si>
    <t xml:space="preserve">felix.brown@quillmoormoney.example</t>
  </si>
  <si>
    <t xml:space="preserve">https://quillmoormoney.example</t>
  </si>
  <si>
    <t xml:space="preserve">L-0312</t>
  </si>
  <si>
    <t xml:space="preserve">arjun.muller@postbox.example</t>
  </si>
  <si>
    <t xml:space="preserve">Yarrowtun Capital</t>
  </si>
  <si>
    <t xml:space="preserve">L-0313</t>
  </si>
  <si>
    <t xml:space="preserve">omar421@burnmail.example</t>
  </si>
  <si>
    <t xml:space="preserve">L-0314</t>
  </si>
  <si>
    <t xml:space="preserve">Grace Okafor</t>
  </si>
  <si>
    <t xml:space="preserve">grace601@burnmail.example</t>
  </si>
  <si>
    <t xml:space="preserve">L-0315</t>
  </si>
  <si>
    <t xml:space="preserve">Leon Chen</t>
  </si>
  <si>
    <t xml:space="preserve">leon.chen@hollowquaylabs.example</t>
  </si>
  <si>
    <t xml:space="preserve">Hollowquay Labs</t>
  </si>
  <si>
    <t xml:space="preserve">https://hollowquaylabs.example</t>
  </si>
  <si>
    <t xml:space="preserve">L-0316</t>
  </si>
  <si>
    <t xml:space="preserve">Nadia Berg</t>
  </si>
  <si>
    <t xml:space="preserve">nadia741@webmail.example</t>
  </si>
  <si>
    <t xml:space="preserve">L-0317</t>
  </si>
  <si>
    <t xml:space="preserve">lina108@codewhistleoutsourcing.example</t>
  </si>
  <si>
    <t xml:space="preserve">L-0318</t>
  </si>
  <si>
    <t xml:space="preserve">Mateo Lee</t>
  </si>
  <si>
    <t xml:space="preserve">mateo163@quickdrop.example</t>
  </si>
  <si>
    <t xml:space="preserve">L-0319</t>
  </si>
  <si>
    <t xml:space="preserve">Sofia Mehta</t>
  </si>
  <si>
    <t xml:space="preserve">sofia558@postbox.example</t>
  </si>
  <si>
    <t xml:space="preserve">L-0320</t>
  </si>
  <si>
    <t xml:space="preserve">Marco Lee</t>
  </si>
  <si>
    <t xml:space="preserve">L-0321</t>
  </si>
  <si>
    <t xml:space="preserve">Elena Haddad</t>
  </si>
  <si>
    <t xml:space="preserve">elena.haddad@webmail.example</t>
  </si>
  <si>
    <t xml:space="preserve">L-0322</t>
  </si>
  <si>
    <t xml:space="preserve">Marco Sharma</t>
  </si>
  <si>
    <t xml:space="preserve">marco.sharma@webmail.example</t>
  </si>
  <si>
    <t xml:space="preserve">L-0323</t>
  </si>
  <si>
    <t xml:space="preserve">Hana Novak</t>
  </si>
  <si>
    <t xml:space="preserve">hana.novak@tarnvalepay.example</t>
  </si>
  <si>
    <t xml:space="preserve">L-0324</t>
  </si>
  <si>
    <t xml:space="preserve">Arjun Novak</t>
  </si>
  <si>
    <t xml:space="preserve">arjun.novak@plumeridgelabs.example</t>
  </si>
  <si>
    <t xml:space="preserve">Plumeridge Labs</t>
  </si>
  <si>
    <t xml:space="preserve">https://plumeridgelabs.example</t>
  </si>
  <si>
    <t xml:space="preserve">L-0325</t>
  </si>
  <si>
    <t xml:space="preserve">ethan688@postbox.example</t>
  </si>
  <si>
    <t xml:space="preserve">L-0326</t>
  </si>
  <si>
    <t xml:space="preserve">Marco Okafor</t>
  </si>
  <si>
    <t xml:space="preserve">L-0327</t>
  </si>
  <si>
    <t xml:space="preserve">Omar Mehta</t>
  </si>
  <si>
    <t xml:space="preserve">omar.mehta@postbox.example</t>
  </si>
  <si>
    <t xml:space="preserve">L-0328</t>
  </si>
  <si>
    <t xml:space="preserve">aisha.okafor@plumeridgebank.example</t>
  </si>
  <si>
    <t xml:space="preserve">L-0329</t>
  </si>
  <si>
    <t xml:space="preserve">hana759@boostquillmedia.example</t>
  </si>
  <si>
    <t xml:space="preserve">L-0330</t>
  </si>
  <si>
    <t xml:space="preserve">Ethan Garcia</t>
  </si>
  <si>
    <t xml:space="preserve">ethan.garcia@webmail.example</t>
  </si>
  <si>
    <t xml:space="preserve">Dunmarrow Bank</t>
  </si>
  <si>
    <t xml:space="preserve">L-0331</t>
  </si>
  <si>
    <t xml:space="preserve">Ivan Haddad</t>
  </si>
  <si>
    <t xml:space="preserve">ivan.haddad@yarrowtunstudio.example</t>
  </si>
  <si>
    <t xml:space="preserve">Need a banking data API with SLA for our budgeting app, around 34M calls per day.</t>
  </si>
  <si>
    <t xml:space="preserve">L-0332</t>
  </si>
  <si>
    <t xml:space="preserve">Ethan Ivanova</t>
  </si>
  <si>
    <t xml:space="preserve">ethan567@tempinbox.example</t>
  </si>
  <si>
    <t xml:space="preserve">L-0333</t>
  </si>
  <si>
    <t xml:space="preserve">elena.tanaka@postbox.example</t>
  </si>
  <si>
    <t xml:space="preserve">L-0334</t>
  </si>
  <si>
    <t xml:space="preserve">Felix Costa</t>
  </si>
  <si>
    <t xml:space="preserve">felix.costa@letterdrop.example</t>
  </si>
  <si>
    <t xml:space="preserve">Marrowgate Money</t>
  </si>
  <si>
    <t xml:space="preserve">L-0335</t>
  </si>
  <si>
    <t xml:space="preserve">grace.brown@freemail.example</t>
  </si>
  <si>
    <t xml:space="preserve">L-0336</t>
  </si>
  <si>
    <t xml:space="preserve">ananya93@listpeakdirectory.example</t>
  </si>
  <si>
    <t xml:space="preserve">L-0337</t>
  </si>
  <si>
    <t xml:space="preserve">Grace Chen</t>
  </si>
  <si>
    <t xml:space="preserve">grace578@listpeakdirectory.example</t>
  </si>
  <si>
    <t xml:space="preserve">L-0338</t>
  </si>
  <si>
    <t xml:space="preserve">L-0339</t>
  </si>
  <si>
    <t xml:space="preserve">Fatima Okafor</t>
  </si>
  <si>
    <t xml:space="preserve">fatima441@postbox.example</t>
  </si>
  <si>
    <t xml:space="preserve">L-0340</t>
  </si>
  <si>
    <t xml:space="preserve">sofia.lee@inboxly.example</t>
  </si>
  <si>
    <t xml:space="preserve">L-0341</t>
  </si>
  <si>
    <t xml:space="preserve">sofia.mehta@orrowmerecapital.example</t>
  </si>
  <si>
    <t xml:space="preserve">L-0342</t>
  </si>
  <si>
    <t xml:space="preserve">Lina Silva</t>
  </si>
  <si>
    <t xml:space="preserve">lina.silva@marrowgatestudio.example</t>
  </si>
  <si>
    <t xml:space="preserve">Marrowgate Studio</t>
  </si>
  <si>
    <t xml:space="preserve">https://marrowgatestudio.example</t>
  </si>
  <si>
    <t xml:space="preserve">L-0343</t>
  </si>
  <si>
    <t xml:space="preserve">Nadia Lee</t>
  </si>
  <si>
    <t xml:space="preserve">nadia13@quickdrop.example</t>
  </si>
  <si>
    <t xml:space="preserve">L-0344</t>
  </si>
  <si>
    <t xml:space="preserve">sam.novak@marrowgatelabs.example</t>
  </si>
  <si>
    <t xml:space="preserve">Marrowgate Labs</t>
  </si>
  <si>
    <t xml:space="preserve">https://marrowgatelabs.example</t>
  </si>
  <si>
    <t xml:space="preserve">Need a banking data API with SLA for our budgeting app, around 27M calls per day.</t>
  </si>
  <si>
    <t xml:space="preserve">L-0345</t>
  </si>
  <si>
    <t xml:space="preserve">lucas834@quickdrop.example</t>
  </si>
  <si>
    <t xml:space="preserve">L-0346</t>
  </si>
  <si>
    <t xml:space="preserve">ethan.lee@nettlebriskmoney.example</t>
  </si>
  <si>
    <t xml:space="preserve">L-0347</t>
  </si>
  <si>
    <t xml:space="preserve">noah.garcia@letterdrop.example</t>
  </si>
  <si>
    <t xml:space="preserve">Tarnvale Money</t>
  </si>
  <si>
    <t xml:space="preserve">L-0348</t>
  </si>
  <si>
    <t xml:space="preserve">zara.garcia@vexmoorcommerce.example</t>
  </si>
  <si>
    <t xml:space="preserve">Vexmoor Commerce</t>
  </si>
  <si>
    <t xml:space="preserve">https://vexmoorcommerce.example</t>
  </si>
  <si>
    <t xml:space="preserve">L-0349</t>
  </si>
  <si>
    <t xml:space="preserve">L-0350</t>
  </si>
  <si>
    <t xml:space="preserve">Hana Silva</t>
  </si>
  <si>
    <t xml:space="preserve">hana.silva@glimmerfensystems.example</t>
  </si>
  <si>
    <t xml:space="preserve">Glimmerfen Systems</t>
  </si>
  <si>
    <t xml:space="preserve">https://glimmerfensystems.example</t>
  </si>
  <si>
    <t xml:space="preserve">L-0351</t>
  </si>
  <si>
    <t xml:space="preserve">Arjun Mehta</t>
  </si>
  <si>
    <t xml:space="preserve">arjun512@postbox.example</t>
  </si>
  <si>
    <t xml:space="preserve">L-0352</t>
  </si>
  <si>
    <t xml:space="preserve">Mei Haddad</t>
  </si>
  <si>
    <t xml:space="preserve">mei820@webmail.example</t>
  </si>
  <si>
    <t xml:space="preserve">L-0353</t>
  </si>
  <si>
    <t xml:space="preserve">Sam Nguyen</t>
  </si>
  <si>
    <t xml:space="preserve">sam.nguyen@letterdrop.example</t>
  </si>
  <si>
    <t xml:space="preserve">Quillmoor Wallet</t>
  </si>
  <si>
    <t xml:space="preserve">L-0354</t>
  </si>
  <si>
    <t xml:space="preserve">L-0355</t>
  </si>
  <si>
    <t xml:space="preserve">Leon Brown</t>
  </si>
  <si>
    <t xml:space="preserve">leon449@inboxly.example</t>
  </si>
  <si>
    <t xml:space="preserve">L-0356</t>
  </si>
  <si>
    <t xml:space="preserve">Sofia Chen</t>
  </si>
  <si>
    <t xml:space="preserve">sofia.chen@pellowinpay.example</t>
  </si>
  <si>
    <t xml:space="preserve">Pellowin Pay</t>
  </si>
  <si>
    <t xml:space="preserve">https://pellowinpay.example</t>
  </si>
  <si>
    <t xml:space="preserve">Need a banking data API with SLA for our budgeting app, around 10M calls per day.</t>
  </si>
  <si>
    <t xml:space="preserve">L-0357</t>
  </si>
  <si>
    <t xml:space="preserve">Kenji Ivanova</t>
  </si>
  <si>
    <t xml:space="preserve">kenji.ivanova@kestralithcapital.example</t>
  </si>
  <si>
    <t xml:space="preserve">L-0358</t>
  </si>
  <si>
    <t xml:space="preserve">hana341@inboxly.example</t>
  </si>
  <si>
    <t xml:space="preserve">L-0359</t>
  </si>
  <si>
    <t xml:space="preserve">kenji.tanaka@freemail.example</t>
  </si>
  <si>
    <t xml:space="preserve">Quarrytide Money</t>
  </si>
  <si>
    <t xml:space="preserve">L-0360</t>
  </si>
  <si>
    <t xml:space="preserve">grace428@burnmail.example</t>
  </si>
  <si>
    <t xml:space="preserve">L-0361</t>
  </si>
  <si>
    <t xml:space="preserve">Sam Costa</t>
  </si>
  <si>
    <t xml:space="preserve">sam720@inboxly.example</t>
  </si>
  <si>
    <t xml:space="preserve">L-0362</t>
  </si>
  <si>
    <t xml:space="preserve">chloe.kim@yarrowtunwallet.example</t>
  </si>
  <si>
    <t xml:space="preserve">https://yarrowtunwallet.example</t>
  </si>
  <si>
    <t xml:space="preserve">L-0363</t>
  </si>
  <si>
    <t xml:space="preserve">sofia873@burnmail.example</t>
  </si>
  <si>
    <t xml:space="preserve">L-0364</t>
  </si>
  <si>
    <t xml:space="preserve">Omar Tanaka</t>
  </si>
  <si>
    <t xml:space="preserve">mateo396@tempinbox.example</t>
  </si>
  <si>
    <t xml:space="preserve">L-0365</t>
  </si>
  <si>
    <t xml:space="preserve">Arjun Garcia</t>
  </si>
  <si>
    <t xml:space="preserve">arjun.garcia@postbox.example</t>
  </si>
  <si>
    <t xml:space="preserve">Zellowmark Bank</t>
  </si>
  <si>
    <t xml:space="preserve">L-0366</t>
  </si>
  <si>
    <t xml:space="preserve">Yuki Costa</t>
  </si>
  <si>
    <t xml:space="preserve">L-0367</t>
  </si>
  <si>
    <t xml:space="preserve">Fatima Berg</t>
  </si>
  <si>
    <t xml:space="preserve">fatima.berg@inboxly.example</t>
  </si>
  <si>
    <t xml:space="preserve">L-0368</t>
  </si>
  <si>
    <t xml:space="preserve">Priya Nguyen</t>
  </si>
  <si>
    <t xml:space="preserve">priya68@listpeakdirectory.example</t>
  </si>
  <si>
    <t xml:space="preserve">L-0369</t>
  </si>
  <si>
    <t xml:space="preserve">grace.haddad@letterdrop.example</t>
  </si>
  <si>
    <t xml:space="preserve">L-0370</t>
  </si>
  <si>
    <t xml:space="preserve">nadia.ivanova@umberwicksystems.example</t>
  </si>
  <si>
    <t xml:space="preserve">Umberwick Systems</t>
  </si>
  <si>
    <t xml:space="preserve">https://umberwicksystems.example</t>
  </si>
  <si>
    <t xml:space="preserve">L-0371</t>
  </si>
  <si>
    <t xml:space="preserve">L-0372</t>
  </si>
  <si>
    <t xml:space="preserve">Omar Khan</t>
  </si>
  <si>
    <t xml:space="preserve">omar.khan@wyndlefosswallet.example</t>
  </si>
  <si>
    <t xml:space="preserve">L-0373</t>
  </si>
  <si>
    <t xml:space="preserve">nadia.mehta@zellowmarkcommerce.example</t>
  </si>
  <si>
    <t xml:space="preserve">Zellowmark Commerce</t>
  </si>
  <si>
    <t xml:space="preserve">https://zellowmarkcommerce.example</t>
  </si>
  <si>
    <t xml:space="preserve">L-0374</t>
  </si>
  <si>
    <t xml:space="preserve">noah.okafor@inboxly.example</t>
  </si>
  <si>
    <t xml:space="preserve">Ferrowind Money</t>
  </si>
  <si>
    <t xml:space="preserve">L-0375</t>
  </si>
  <si>
    <t xml:space="preserve">L-0376</t>
  </si>
  <si>
    <t xml:space="preserve">Leon Nguyen</t>
  </si>
  <si>
    <t xml:space="preserve">leon.nguyen@glimmerfenpay.example</t>
  </si>
  <si>
    <t xml:space="preserve">L-0377</t>
  </si>
  <si>
    <t xml:space="preserve">Omar Sharma</t>
  </si>
  <si>
    <t xml:space="preserve">omar.sharma@webmail.example</t>
  </si>
  <si>
    <t xml:space="preserve">L-0378</t>
  </si>
  <si>
    <t xml:space="preserve">noah.patel@inboxly.example</t>
  </si>
  <si>
    <t xml:space="preserve">L-0379</t>
  </si>
  <si>
    <t xml:space="preserve">Fatima Haddad</t>
  </si>
  <si>
    <t xml:space="preserve">fatima.haddad@wyndlefosswallet.example</t>
  </si>
  <si>
    <t xml:space="preserve">L-0380</t>
  </si>
  <si>
    <t xml:space="preserve">Priya Haddad</t>
  </si>
  <si>
    <t xml:space="preserve">priya.haddad@juniperholtfinance.example</t>
  </si>
  <si>
    <t xml:space="preserve">https://juniperholtfinance.example</t>
  </si>
  <si>
    <t xml:space="preserve">L-0381</t>
  </si>
  <si>
    <t xml:space="preserve">Kenji Garcia</t>
  </si>
  <si>
    <t xml:space="preserve">kenji596@letterdrop.example</t>
  </si>
  <si>
    <t xml:space="preserve">L-0382</t>
  </si>
  <si>
    <t xml:space="preserve">ananya.kim@brindlewickpay.example</t>
  </si>
  <si>
    <t xml:space="preserve">We are launching a marketplace product and need a managed card issuing setup with go-live in Q4.</t>
  </si>
  <si>
    <t xml:space="preserve">L-0383</t>
  </si>
  <si>
    <t xml:space="preserve">ivan.tanaka@juniperholtmoney.example</t>
  </si>
  <si>
    <t xml:space="preserve">Juniperholt Money</t>
  </si>
  <si>
    <t xml:space="preserve">https://juniperholtmoney.example</t>
  </si>
  <si>
    <t xml:space="preserve">L-0384</t>
  </si>
  <si>
    <t xml:space="preserve">zara.mehta@webmail.example</t>
  </si>
  <si>
    <t xml:space="preserve">L-0385</t>
  </si>
  <si>
    <t xml:space="preserve">Fatima Sharma</t>
  </si>
  <si>
    <t xml:space="preserve">fatima.sharma@tarnvalestudio.example</t>
  </si>
  <si>
    <t xml:space="preserve">Tarnvale Studio</t>
  </si>
  <si>
    <t xml:space="preserve">https://tarnvalestudio.example</t>
  </si>
  <si>
    <t xml:space="preserve">We are launching a marketplace product and need a managed card issuing setup with go-live in Q3.</t>
  </si>
  <si>
    <t xml:space="preserve">L-0386</t>
  </si>
  <si>
    <t xml:space="preserve">hana.muller@yarrowtunpay.example</t>
  </si>
  <si>
    <t xml:space="preserve">Yarrowtun Pay</t>
  </si>
  <si>
    <t xml:space="preserve">https://yarrowtunpay.example</t>
  </si>
  <si>
    <t xml:space="preserve">L-0387</t>
  </si>
  <si>
    <t xml:space="preserve">Arjun Berg</t>
  </si>
  <si>
    <t xml:space="preserve">arjun.berg@plumeridgelabs.example</t>
  </si>
  <si>
    <t xml:space="preserve">L-0388</t>
  </si>
  <si>
    <t xml:space="preserve">Nadia Haddad</t>
  </si>
  <si>
    <t xml:space="preserve">L-0389</t>
  </si>
  <si>
    <t xml:space="preserve">elena.tanaka@juniperholtpay.example</t>
  </si>
  <si>
    <t xml:space="preserve">https://juniperholtpay.example</t>
  </si>
  <si>
    <t xml:space="preserve">L-0390</t>
  </si>
  <si>
    <t xml:space="preserve">Yuki Lee</t>
  </si>
  <si>
    <t xml:space="preserve">yuki.lee@quarrytidestudio.example</t>
  </si>
  <si>
    <t xml:space="preserve">L-0391</t>
  </si>
  <si>
    <t xml:space="preserve">Ji-woo Garcia</t>
  </si>
  <si>
    <t xml:space="preserve">ji-woo.garcia@wyndlefosspay.example</t>
  </si>
  <si>
    <t xml:space="preserve">Wyndlefoss Pay</t>
  </si>
  <si>
    <t xml:space="preserve">https://wyndlefosspay.example</t>
  </si>
  <si>
    <t xml:space="preserve">L-0392</t>
  </si>
  <si>
    <t xml:space="preserve">Priya Brown</t>
  </si>
  <si>
    <t xml:space="preserve">priya.brown@inboxly.example</t>
  </si>
  <si>
    <t xml:space="preserve">L-0393</t>
  </si>
  <si>
    <t xml:space="preserve">leon352@codewhistleoutsourcing.example</t>
  </si>
  <si>
    <t xml:space="preserve">L-0394</t>
  </si>
  <si>
    <t xml:space="preserve">priya.patel@webmail.example</t>
  </si>
  <si>
    <t xml:space="preserve">Dunmarrow Systems</t>
  </si>
  <si>
    <t xml:space="preserve">L-0395</t>
  </si>
  <si>
    <t xml:space="preserve">Ethan Nguyen</t>
  </si>
  <si>
    <t xml:space="preserve">ethan.nguyen@ostrivolabs.example</t>
  </si>
  <si>
    <t xml:space="preserve">L-0396</t>
  </si>
  <si>
    <t xml:space="preserve">kenji862@listpeakdirectory.example</t>
  </si>
  <si>
    <t xml:space="preserve">L-0397</t>
  </si>
  <si>
    <t xml:space="preserve">Priya Okafor</t>
  </si>
  <si>
    <t xml:space="preserve">priya87@freemail.example</t>
  </si>
  <si>
    <t xml:space="preserve">L-0398</t>
  </si>
  <si>
    <t xml:space="preserve">Yuki Garcia</t>
  </si>
  <si>
    <t xml:space="preserve">yuki.garcia@wyndlefosspay.example</t>
  </si>
  <si>
    <t xml:space="preserve">Need a banking data API with SLA for our budgeting app, around 48M calls per day.</t>
  </si>
  <si>
    <t xml:space="preserve">L-0399</t>
  </si>
  <si>
    <t xml:space="preserve">sofia.tanaka@vexmoorpay.example</t>
  </si>
  <si>
    <t xml:space="preserve">https://vexmoorpay.example</t>
  </si>
  <si>
    <t xml:space="preserve">Evaluating card issuing providers for our payroll app. Can we get a demo and a cost comparison?</t>
  </si>
  <si>
    <t xml:space="preserve">L-0400</t>
  </si>
  <si>
    <t xml:space="preserve">Aisha Berg</t>
  </si>
  <si>
    <t xml:space="preserve">aisha.berg@postbox.example</t>
  </si>
  <si>
    <t xml:space="preserve">L-0401</t>
  </si>
  <si>
    <t xml:space="preserve">L-0402</t>
  </si>
  <si>
    <t xml:space="preserve">Mateo Silva</t>
  </si>
  <si>
    <t xml:space="preserve">mateo.silva@juniperholtcapital.example</t>
  </si>
  <si>
    <t xml:space="preserve">Juniperholt Capital</t>
  </si>
  <si>
    <t xml:space="preserve">https://juniperholtcapital.example</t>
  </si>
  <si>
    <t xml:space="preserve">L-0403</t>
  </si>
  <si>
    <t xml:space="preserve">Aisha Ivanova</t>
  </si>
  <si>
    <t xml:space="preserve">aisha.ivanova@webmail.example</t>
  </si>
  <si>
    <t xml:space="preserve">Evaluating cross-border providers for our remittance app. Can we get a demo and a cost comparison?</t>
  </si>
  <si>
    <t xml:space="preserve">L-0404</t>
  </si>
  <si>
    <t xml:space="preserve">Noah Berg</t>
  </si>
  <si>
    <t xml:space="preserve">noah.berg@postbox.example</t>
  </si>
  <si>
    <t xml:space="preserve">L-0405</t>
  </si>
  <si>
    <t xml:space="preserve">elena.sharma@webmail.example</t>
  </si>
  <si>
    <t xml:space="preserve">Glimmerfen Wallet</t>
  </si>
  <si>
    <t xml:space="preserve">L-0406</t>
  </si>
  <si>
    <t xml:space="preserve">priya.haddad@ostrivostudio.example</t>
  </si>
  <si>
    <t xml:space="preserve">https://ostrivostudio.example</t>
  </si>
  <si>
    <t xml:space="preserve">L-0407</t>
  </si>
  <si>
    <t xml:space="preserve">sam.muller@inboxly.example</t>
  </si>
  <si>
    <t xml:space="preserve">L-0408</t>
  </si>
  <si>
    <t xml:space="preserve">Ananya Rossi</t>
  </si>
  <si>
    <t xml:space="preserve">ananya744@inboxly.example</t>
  </si>
  <si>
    <t xml:space="preserve">L-0409</t>
  </si>
  <si>
    <t xml:space="preserve">Lina Tanaka</t>
  </si>
  <si>
    <t xml:space="preserve">lina.tanaka@nettlebriskpay.example</t>
  </si>
  <si>
    <t xml:space="preserve">L-0410</t>
  </si>
  <si>
    <t xml:space="preserve">Chloe Brown</t>
  </si>
  <si>
    <t xml:space="preserve">chloe.brown@hollowquaywallet.example</t>
  </si>
  <si>
    <t xml:space="preserve">Need a banking data API with SLA for our budgeting app, around 33M calls per day.</t>
  </si>
  <si>
    <t xml:space="preserve">L-0411</t>
  </si>
  <si>
    <t xml:space="preserve">kenji675@inboxly.example</t>
  </si>
  <si>
    <t xml:space="preserve">L-0412</t>
  </si>
  <si>
    <t xml:space="preserve">arjun.okafor@nettlebriskcommerce.example</t>
  </si>
  <si>
    <t xml:space="preserve">https://nettlebriskcommerce.example</t>
  </si>
  <si>
    <t xml:space="preserve">L-0413</t>
  </si>
  <si>
    <t xml:space="preserve">ethan571@boostquillmedia.example</t>
  </si>
  <si>
    <t xml:space="preserve">L-0414</t>
  </si>
  <si>
    <t xml:space="preserve">yuki.mehta@webmail.example</t>
  </si>
  <si>
    <t xml:space="preserve">Rushbarrow Bank</t>
  </si>
  <si>
    <t xml:space="preserve">L-0415</t>
  </si>
  <si>
    <t xml:space="preserve">yuki927@quickdrop.example</t>
  </si>
  <si>
    <t xml:space="preserve">L-0416</t>
  </si>
  <si>
    <t xml:space="preserve">zara.kim@letterdrop.example</t>
  </si>
  <si>
    <t xml:space="preserve">L-0417</t>
  </si>
  <si>
    <t xml:space="preserve">lina754@inboxly.example</t>
  </si>
  <si>
    <t xml:space="preserve">L-0418</t>
  </si>
  <si>
    <t xml:space="preserve">Ethan Rossi</t>
  </si>
  <si>
    <t xml:space="preserve">ethan.rossi@postbox.example</t>
  </si>
  <si>
    <t xml:space="preserve">L-0419</t>
  </si>
  <si>
    <t xml:space="preserve">leon.chen@freemail.example</t>
  </si>
  <si>
    <t xml:space="preserve">L-0420</t>
  </si>
  <si>
    <t xml:space="preserve">lucas.okafor@postbox.example</t>
  </si>
  <si>
    <t xml:space="preserve">L-0421</t>
  </si>
  <si>
    <t xml:space="preserve">L-0422</t>
  </si>
  <si>
    <t xml:space="preserve">sofia.sharma@juniperholtwallet.example</t>
  </si>
  <si>
    <t xml:space="preserve">Need a banking data API with SLA for our budgeting app, around 30M calls per day.</t>
  </si>
  <si>
    <t xml:space="preserve">L-0423</t>
  </si>
  <si>
    <t xml:space="preserve">aisha973@quickdrop.example</t>
  </si>
  <si>
    <t xml:space="preserve">L-0424</t>
  </si>
  <si>
    <t xml:space="preserve">mateo.lee@webmail.example</t>
  </si>
  <si>
    <t xml:space="preserve">Thornlacey Finance</t>
  </si>
  <si>
    <t xml:space="preserve">L-0425</t>
  </si>
  <si>
    <t xml:space="preserve">sam839@quickdrop.example</t>
  </si>
  <si>
    <t xml:space="preserve">L-0426</t>
  </si>
  <si>
    <t xml:space="preserve">Daniel Patel</t>
  </si>
  <si>
    <t xml:space="preserve">daniel.patel@postbox.example</t>
  </si>
  <si>
    <t xml:space="preserve">L-0427</t>
  </si>
  <si>
    <t xml:space="preserve">yuki.berg@webmail.example</t>
  </si>
  <si>
    <t xml:space="preserve">Umberwick Wallet</t>
  </si>
  <si>
    <t xml:space="preserve">L-0428</t>
  </si>
  <si>
    <t xml:space="preserve">Lucas Nguyen</t>
  </si>
  <si>
    <t xml:space="preserve">lucas.nguyen@glimmerfenbank.example</t>
  </si>
  <si>
    <t xml:space="preserve">https://glimmerfenbank.example</t>
  </si>
  <si>
    <t xml:space="preserve">L-0429</t>
  </si>
  <si>
    <t xml:space="preserve">lina.tanaka@webmail.example</t>
  </si>
  <si>
    <t xml:space="preserve">L-0430</t>
  </si>
  <si>
    <t xml:space="preserve">Nadia Kim</t>
  </si>
  <si>
    <t xml:space="preserve">nadia.kim@freemail.example</t>
  </si>
  <si>
    <t xml:space="preserve">Orrowmere Money</t>
  </si>
  <si>
    <t xml:space="preserve">L-0431</t>
  </si>
  <si>
    <t xml:space="preserve">Elena Mehta</t>
  </si>
  <si>
    <t xml:space="preserve">elena.mehta@letterdrop.example</t>
  </si>
  <si>
    <t xml:space="preserve">L-0432</t>
  </si>
  <si>
    <t xml:space="preserve">mateo746@webmail.example</t>
  </si>
  <si>
    <t xml:space="preserve">L-0433</t>
  </si>
  <si>
    <t xml:space="preserve">Lucas Khan</t>
  </si>
  <si>
    <t xml:space="preserve">L-0434</t>
  </si>
  <si>
    <t xml:space="preserve">Felix Garcia</t>
  </si>
  <si>
    <t xml:space="preserve">felix102@listpeakdirectory.example</t>
  </si>
  <si>
    <t xml:space="preserve">L-0435</t>
  </si>
  <si>
    <t xml:space="preserve">lina518@burnmail.example</t>
  </si>
  <si>
    <t xml:space="preserve">L-0436</t>
  </si>
  <si>
    <t xml:space="preserve">L-0437</t>
  </si>
  <si>
    <t xml:space="preserve">Mateo Berg</t>
  </si>
  <si>
    <t xml:space="preserve">mateo.berg@freemail.example</t>
  </si>
  <si>
    <t xml:space="preserve">L-0438</t>
  </si>
  <si>
    <t xml:space="preserve">Sam Silva</t>
  </si>
  <si>
    <t xml:space="preserve">sam93@quickdrop.example</t>
  </si>
  <si>
    <t xml:space="preserve">L-0439</t>
  </si>
  <si>
    <t xml:space="preserve">lucas.berg@quarrytidewallet.example</t>
  </si>
  <si>
    <t xml:space="preserve">Quarrytide Wallet</t>
  </si>
  <si>
    <t xml:space="preserve">https://quarrytidewallet.example</t>
  </si>
  <si>
    <t xml:space="preserve">L-0440</t>
  </si>
  <si>
    <t xml:space="preserve">mateo.okafor@glimmerfenlabs.example</t>
  </si>
  <si>
    <t xml:space="preserve">Glimmerfen Labs</t>
  </si>
  <si>
    <t xml:space="preserve">https://glimmerfenlabs.example</t>
  </si>
  <si>
    <t xml:space="preserve">We are launching a remittance product and need a managed card issuing setup with go-live in Q1.</t>
  </si>
  <si>
    <t xml:space="preserve">L-0441</t>
  </si>
  <si>
    <t xml:space="preserve">yuki135@boostquillmedia.example</t>
  </si>
  <si>
    <t xml:space="preserve">L-0442</t>
  </si>
  <si>
    <t xml:space="preserve">chloe.costa@ostrivobank.example</t>
  </si>
  <si>
    <t xml:space="preserve">https://ostrivobank.example</t>
  </si>
  <si>
    <t xml:space="preserve">Need a banking data API with SLA for our budgeting app, around 25M calls per day.</t>
  </si>
  <si>
    <t xml:space="preserve">L-0443</t>
  </si>
  <si>
    <t xml:space="preserve">mei305@throwaway.example</t>
  </si>
  <si>
    <t xml:space="preserve">L-0444</t>
  </si>
  <si>
    <t xml:space="preserve">Ji-woo Silva</t>
  </si>
  <si>
    <t xml:space="preserve">ji-woo675@listpeakdirectory.example</t>
  </si>
  <si>
    <t xml:space="preserve">L-0445</t>
  </si>
  <si>
    <t xml:space="preserve">Noah Brown</t>
  </si>
  <si>
    <t xml:space="preserve">noah.brown@inboxly.example</t>
  </si>
  <si>
    <t xml:space="preserve">L-0446</t>
  </si>
  <si>
    <t xml:space="preserve">arjun286@freemail.example</t>
  </si>
  <si>
    <t xml:space="preserve">L-0447</t>
  </si>
  <si>
    <t xml:space="preserve">grace566@freemail.example</t>
  </si>
  <si>
    <t xml:space="preserve">L-0448</t>
  </si>
  <si>
    <t xml:space="preserve">Ivan Sharma</t>
  </si>
  <si>
    <t xml:space="preserve">ivan616@freemail.example</t>
  </si>
  <si>
    <t xml:space="preserve">L-0449</t>
  </si>
  <si>
    <t xml:space="preserve">Yuki Kim</t>
  </si>
  <si>
    <t xml:space="preserve">yuki.kim@inboxly.example</t>
  </si>
  <si>
    <t xml:space="preserve">L-0450</t>
  </si>
  <si>
    <t xml:space="preserve">Ivan Chen</t>
  </si>
  <si>
    <t xml:space="preserve">ivan.chen@umberwickwallet.example</t>
  </si>
  <si>
    <t xml:space="preserve">https://umberwickwallet.example</t>
  </si>
  <si>
    <t xml:space="preserve">L-0451</t>
  </si>
  <si>
    <t xml:space="preserve">arjun.nguyen@quillmoormoney.example</t>
  </si>
  <si>
    <t xml:space="preserve">L-0452</t>
  </si>
  <si>
    <t xml:space="preserve">aisha.berg@letterdrop.example</t>
  </si>
  <si>
    <t xml:space="preserve">L-0453</t>
  </si>
  <si>
    <t xml:space="preserve">sam.silva@yarrowtuncapital.example</t>
  </si>
  <si>
    <t xml:space="preserve">https://yarrowtuncapital.example</t>
  </si>
  <si>
    <t xml:space="preserve">L-0454</t>
  </si>
  <si>
    <t xml:space="preserve">L-0455</t>
  </si>
  <si>
    <t xml:space="preserve">sofia.costa@inboxly.example</t>
  </si>
  <si>
    <t xml:space="preserve">L-0456</t>
  </si>
  <si>
    <t xml:space="preserve">elena.mehta@inboxly.example</t>
  </si>
  <si>
    <t xml:space="preserve">L-0457</t>
  </si>
  <si>
    <t xml:space="preserve">fatima.haddad@freemail.example</t>
  </si>
  <si>
    <t xml:space="preserve">Zellowmark Studio</t>
  </si>
  <si>
    <t xml:space="preserve">L-0458</t>
  </si>
  <si>
    <t xml:space="preserve">tariq.berg@vexmoorbank.example</t>
  </si>
  <si>
    <t xml:space="preserve">L-0459</t>
  </si>
  <si>
    <t xml:space="preserve">Noah Novak</t>
  </si>
  <si>
    <t xml:space="preserve">noah.novak@nettlebriskstudio.example</t>
  </si>
  <si>
    <t xml:space="preserve">https://nettlebriskstudio.example</t>
  </si>
  <si>
    <t xml:space="preserve">L-0460</t>
  </si>
  <si>
    <t xml:space="preserve">Marco Rossi</t>
  </si>
  <si>
    <t xml:space="preserve">marco.rossi@freemail.example</t>
  </si>
  <si>
    <t xml:space="preserve">L-0461</t>
  </si>
  <si>
    <t xml:space="preserve">Arjun Lee</t>
  </si>
  <si>
    <t xml:space="preserve">arjun151@rankfarrowseoagency.example</t>
  </si>
  <si>
    <t xml:space="preserve">L-0462</t>
  </si>
  <si>
    <t xml:space="preserve">Lucas Lee</t>
  </si>
  <si>
    <t xml:space="preserve">lucas311@tempinbox.example</t>
  </si>
  <si>
    <t xml:space="preserve">L-0463</t>
  </si>
  <si>
    <t xml:space="preserve">Hana Rossi</t>
  </si>
  <si>
    <t xml:space="preserve">hana193@tempinbox.example</t>
  </si>
  <si>
    <t xml:space="preserve">L-0464</t>
  </si>
  <si>
    <t xml:space="preserve">Zara Ivanova</t>
  </si>
  <si>
    <t xml:space="preserve">zara.ivanova@rushbarrowlabs.example</t>
  </si>
  <si>
    <t xml:space="preserve">L-0465</t>
  </si>
  <si>
    <t xml:space="preserve">chloe420@boostquillmedia.example</t>
  </si>
  <si>
    <t xml:space="preserve">L-0466</t>
  </si>
  <si>
    <t xml:space="preserve">leon776@freemail.example</t>
  </si>
  <si>
    <t xml:space="preserve">L-0467</t>
  </si>
  <si>
    <t xml:space="preserve">Noah Tanaka</t>
  </si>
  <si>
    <t xml:space="preserve">noah.tanaka@inboxly.example</t>
  </si>
  <si>
    <t xml:space="preserve">L-0468</t>
  </si>
  <si>
    <t xml:space="preserve">Lina Novak</t>
  </si>
  <si>
    <t xml:space="preserve">lina858@throwaway.example</t>
  </si>
  <si>
    <t xml:space="preserve">L-0469</t>
  </si>
  <si>
    <t xml:space="preserve">tariq.berg@rushbarrowstudio.example</t>
  </si>
  <si>
    <t xml:space="preserve">Rushbarrow Studio</t>
  </si>
  <si>
    <t xml:space="preserve">https://rushbarrowstudio.example</t>
  </si>
  <si>
    <t xml:space="preserve">L-0470</t>
  </si>
  <si>
    <t xml:space="preserve">Elena Rossi</t>
  </si>
  <si>
    <t xml:space="preserve">elena.rossi@webmail.example</t>
  </si>
  <si>
    <t xml:space="preserve">L-0471</t>
  </si>
  <si>
    <t xml:space="preserve">Ananya Sharma</t>
  </si>
  <si>
    <t xml:space="preserve">ananya.sharma@yarrowtunlabs.example</t>
  </si>
  <si>
    <t xml:space="preserve">https://yarrowtunlabs.example</t>
  </si>
  <si>
    <t xml:space="preserve">L-0472</t>
  </si>
  <si>
    <t xml:space="preserve">Sofia Novak</t>
  </si>
  <si>
    <t xml:space="preserve">sofia.novak@thornlaceylabs.example</t>
  </si>
  <si>
    <t xml:space="preserve">Thornlacey Labs</t>
  </si>
  <si>
    <t xml:space="preserve">https://thornlaceylabs.example</t>
  </si>
  <si>
    <t xml:space="preserve">L-0473</t>
  </si>
  <si>
    <t xml:space="preserve">Daniel Kim</t>
  </si>
  <si>
    <t xml:space="preserve">fatima586@quickdrop.example</t>
  </si>
  <si>
    <t xml:space="preserve">L-0474</t>
  </si>
  <si>
    <t xml:space="preserve">Marco Novak</t>
  </si>
  <si>
    <t xml:space="preserve">marco.novak@freemail.example</t>
  </si>
  <si>
    <t xml:space="preserve">L-0475</t>
  </si>
  <si>
    <t xml:space="preserve">fatima.haddad@letterdrop.example</t>
  </si>
  <si>
    <t xml:space="preserve">L-0476</t>
  </si>
  <si>
    <t xml:space="preserve">ethan662@quickdrop.example</t>
  </si>
  <si>
    <t xml:space="preserve">L-0477</t>
  </si>
  <si>
    <t xml:space="preserve">Ji-woo Okafor</t>
  </si>
  <si>
    <t xml:space="preserve">ji-woo836@hypemarrowpr.example</t>
  </si>
  <si>
    <t xml:space="preserve">L-0478</t>
  </si>
  <si>
    <t xml:space="preserve">mei.haddad@webmail.example</t>
  </si>
  <si>
    <t xml:space="preserve">We are launching a loyalty product and need a managed cross-border setup with go-live in Q1.</t>
  </si>
  <si>
    <t xml:space="preserve">L-0479</t>
  </si>
  <si>
    <t xml:space="preserve">Arjun Silva</t>
  </si>
  <si>
    <t xml:space="preserve">arjun.silva@vexmoorbank.example</t>
  </si>
  <si>
    <t xml:space="preserve">Need a banking data API with SLA for our budgeting app, around 74M calls per day.</t>
  </si>
  <si>
    <t xml:space="preserve">L-0480</t>
  </si>
  <si>
    <t xml:space="preserve">Omar Okafor</t>
  </si>
  <si>
    <t xml:space="preserve">omar492@postbox.example</t>
  </si>
  <si>
    <t xml:space="preserve">L-0481</t>
  </si>
  <si>
    <t xml:space="preserve">Hana Garcia</t>
  </si>
  <si>
    <t xml:space="preserve">hana.garcia@freemail.example</t>
  </si>
  <si>
    <t xml:space="preserve">Orrowmere Finance</t>
  </si>
  <si>
    <t xml:space="preserve">We are launching a loyalty product and need a managed virtual accounts setup with go-live in Q4.</t>
  </si>
  <si>
    <t xml:space="preserve">L-0482</t>
  </si>
  <si>
    <t xml:space="preserve">mateo.nguyen@umberwickfinance.example</t>
  </si>
  <si>
    <t xml:space="preserve">https://umberwickfinance.example</t>
  </si>
  <si>
    <t xml:space="preserve">L-0483</t>
  </si>
  <si>
    <t xml:space="preserve">Sam Kim</t>
  </si>
  <si>
    <t xml:space="preserve">sam.kim@plumeridgelabs.example</t>
  </si>
  <si>
    <t xml:space="preserve">L-0484</t>
  </si>
  <si>
    <t xml:space="preserve">yuki.garcia@postbox.example</t>
  </si>
  <si>
    <t xml:space="preserve">L-0485</t>
  </si>
  <si>
    <t xml:space="preserve">daniel.kim@quillmoorstudio.example</t>
  </si>
  <si>
    <t xml:space="preserve">L-0486</t>
  </si>
  <si>
    <t xml:space="preserve">L-0487</t>
  </si>
  <si>
    <t xml:space="preserve">nadia.lee@ostrivolabs.example</t>
  </si>
  <si>
    <t xml:space="preserve">L-0488</t>
  </si>
  <si>
    <t xml:space="preserve">L-0489</t>
  </si>
  <si>
    <t xml:space="preserve">Aisha Haddad</t>
  </si>
  <si>
    <t xml:space="preserve">aisha.haddad@inboxly.example</t>
  </si>
  <si>
    <t xml:space="preserve">L-0490</t>
  </si>
  <si>
    <t xml:space="preserve">Kenji Sharma</t>
  </si>
  <si>
    <t xml:space="preserve">kenji413@rankfarrowseoagency.example</t>
  </si>
  <si>
    <t xml:space="preserve">L-0491</t>
  </si>
  <si>
    <t xml:space="preserve">Kenji Nguyen</t>
  </si>
  <si>
    <t xml:space="preserve">kenji.nguyen@letterdrop.example</t>
  </si>
  <si>
    <t xml:space="preserve">L-0492</t>
  </si>
  <si>
    <t xml:space="preserve">Ferrowind Pay</t>
  </si>
  <si>
    <t xml:space="preserve">L-0493</t>
  </si>
  <si>
    <t xml:space="preserve">daniel.brown@plumeridgestudio.example</t>
  </si>
  <si>
    <t xml:space="preserve">https://plumeridgestudio.example</t>
  </si>
  <si>
    <t xml:space="preserve">We are launching a payroll product and need a managed payouts setup with go-live in Q3.</t>
  </si>
  <si>
    <t xml:space="preserve">L-0494</t>
  </si>
  <si>
    <t xml:space="preserve">priya599@listpeakdirectory.example</t>
  </si>
  <si>
    <t xml:space="preserve">L-0495</t>
  </si>
  <si>
    <t xml:space="preserve">tariq.khan@juniperholtpay.example</t>
  </si>
  <si>
    <t xml:space="preserve">L-0496</t>
  </si>
  <si>
    <t xml:space="preserve">kenji.brown@rushbarrowstudio.example</t>
  </si>
  <si>
    <t xml:space="preserve">L-0497</t>
  </si>
  <si>
    <t xml:space="preserve">Marco Silva</t>
  </si>
  <si>
    <t xml:space="preserve">marco.silva@inboxly.example</t>
  </si>
  <si>
    <t xml:space="preserve">Wyndlefoss Labs</t>
  </si>
  <si>
    <t xml:space="preserve">L-0498</t>
  </si>
  <si>
    <t xml:space="preserve">noah467@webmail.example</t>
  </si>
  <si>
    <t xml:space="preserve">L-0499</t>
  </si>
  <si>
    <t xml:space="preserve">zara.okafor@ferrowindfinance.example</t>
  </si>
  <si>
    <t xml:space="preserve">Ferrowind Finance</t>
  </si>
  <si>
    <t xml:space="preserve">https://ferrowindfinance.example</t>
  </si>
  <si>
    <t xml:space="preserve">L-0500</t>
  </si>
  <si>
    <t xml:space="preserve">priya.silva@postbox.example</t>
  </si>
  <si>
    <t xml:space="preserve">L-0501</t>
  </si>
  <si>
    <t xml:space="preserve">Mei Rossi</t>
  </si>
  <si>
    <t xml:space="preserve">mei.rossi@yarrowtunlabs.example</t>
  </si>
  <si>
    <t xml:space="preserve">L-0502</t>
  </si>
  <si>
    <t xml:space="preserve">Sam Garcia</t>
  </si>
  <si>
    <t xml:space="preserve">L-0503</t>
  </si>
  <si>
    <t xml:space="preserve">chloe.patel@postbox.example</t>
  </si>
  <si>
    <t xml:space="preserve">L-0504</t>
  </si>
  <si>
    <t xml:space="preserve">kenji50@hypemarrowpr.example</t>
  </si>
  <si>
    <t xml:space="preserve">L-0505</t>
  </si>
  <si>
    <t xml:space="preserve">marco.lee@letterdrop.example</t>
  </si>
  <si>
    <t xml:space="preserve">L-0506</t>
  </si>
  <si>
    <t xml:space="preserve">elena.haddad@postbox.example</t>
  </si>
  <si>
    <t xml:space="preserve">L-0507</t>
  </si>
  <si>
    <t xml:space="preserve">marco.garcia@freemail.example</t>
  </si>
  <si>
    <t xml:space="preserve">L-0508</t>
  </si>
  <si>
    <t xml:space="preserve">Omar Lee</t>
  </si>
  <si>
    <t xml:space="preserve">omar.lee@ferrowindcapital.example</t>
  </si>
  <si>
    <t xml:space="preserve">Ferrowind Capital</t>
  </si>
  <si>
    <t xml:space="preserve">https://ferrowindcapital.example</t>
  </si>
  <si>
    <t xml:space="preserve">L-0509</t>
  </si>
  <si>
    <t xml:space="preserve">elena.mehta@postbox.example</t>
  </si>
  <si>
    <t xml:space="preserve">L-0510</t>
  </si>
  <si>
    <t xml:space="preserve">Leon Novak</t>
  </si>
  <si>
    <t xml:space="preserve">leon.novak@marrowgatesystems.example</t>
  </si>
  <si>
    <t xml:space="preserve">Marrowgate Systems</t>
  </si>
  <si>
    <t xml:space="preserve">https://marrowgatesystems.example</t>
  </si>
  <si>
    <t xml:space="preserve">L-0511</t>
  </si>
  <si>
    <t xml:space="preserve">Lucas Sharma</t>
  </si>
  <si>
    <t xml:space="preserve">lucas.sharma@freemail.example</t>
  </si>
  <si>
    <t xml:space="preserve">We are launching a payroll product and need a managed cross-border setup with go-live in Q3.</t>
  </si>
  <si>
    <t xml:space="preserve">L-0512</t>
  </si>
  <si>
    <t xml:space="preserve">Tariq Kim</t>
  </si>
  <si>
    <t xml:space="preserve">tariq.kim@webmail.example</t>
  </si>
  <si>
    <t xml:space="preserve">L-0513</t>
  </si>
  <si>
    <t xml:space="preserve">Mateo Brown</t>
  </si>
  <si>
    <t xml:space="preserve">mateo.brown@rushbarrowwallet.example</t>
  </si>
  <si>
    <t xml:space="preserve">L-0514</t>
  </si>
  <si>
    <t xml:space="preserve">leon.khan@freemail.example</t>
  </si>
  <si>
    <t xml:space="preserve">L-0515</t>
  </si>
  <si>
    <t xml:space="preserve">sofia.muller@ferrowindlabs.example</t>
  </si>
  <si>
    <t xml:space="preserve">Ferrowind Labs</t>
  </si>
  <si>
    <t xml:space="preserve">https://ferrowindlabs.example</t>
  </si>
  <si>
    <t xml:space="preserve">L-0516</t>
  </si>
  <si>
    <t xml:space="preserve">ethan.muller@freemail.example</t>
  </si>
  <si>
    <t xml:space="preserve">L-0517</t>
  </si>
  <si>
    <t xml:space="preserve">daniel.costa@quarrytidecapital.example</t>
  </si>
  <si>
    <t xml:space="preserve">Quarrytide Capital</t>
  </si>
  <si>
    <t xml:space="preserve">https://quarrytidecapital.example</t>
  </si>
  <si>
    <t xml:space="preserve">We are launching a BNPL product and need a managed card issuing setup with go-live in Q3.</t>
  </si>
  <si>
    <t xml:space="preserve">L-0518</t>
  </si>
  <si>
    <t xml:space="preserve">Chloe Okafor</t>
  </si>
  <si>
    <t xml:space="preserve">chloe.okafor@letterdrop.example</t>
  </si>
  <si>
    <t xml:space="preserve">L-0519</t>
  </si>
  <si>
    <t xml:space="preserve">Daniel Chen</t>
  </si>
  <si>
    <t xml:space="preserve">daniel.chen@letterdrop.example</t>
  </si>
  <si>
    <t xml:space="preserve">L-0520</t>
  </si>
  <si>
    <t xml:space="preserve">felix.brown@ostrivostudio.example</t>
  </si>
  <si>
    <t xml:space="preserve">L-0521</t>
  </si>
  <si>
    <t xml:space="preserve">ananya.chen@postbox.example</t>
  </si>
  <si>
    <t xml:space="preserve">Rushbarrow Money</t>
  </si>
  <si>
    <t xml:space="preserve">L-0522</t>
  </si>
  <si>
    <t xml:space="preserve">L-0523</t>
  </si>
  <si>
    <t xml:space="preserve">ananya661@webmail.example</t>
  </si>
  <si>
    <t xml:space="preserve">L-0524</t>
  </si>
  <si>
    <t xml:space="preserve">Fatima Tanaka</t>
  </si>
  <si>
    <t xml:space="preserve">fatima.tanaka@inboxly.example</t>
  </si>
  <si>
    <t xml:space="preserve">L-0525</t>
  </si>
  <si>
    <t xml:space="preserve">Aisha Patel</t>
  </si>
  <si>
    <t xml:space="preserve">aisha.patel@inboxly.example</t>
  </si>
  <si>
    <t xml:space="preserve">L-0526</t>
  </si>
  <si>
    <t xml:space="preserve">nadia.lee@webmail.example</t>
  </si>
  <si>
    <t xml:space="preserve">L-0527</t>
  </si>
  <si>
    <t xml:space="preserve">Arjun Brown</t>
  </si>
  <si>
    <t xml:space="preserve">arjun.brown@inboxly.example</t>
  </si>
  <si>
    <t xml:space="preserve">Thornlacey Money</t>
  </si>
  <si>
    <t xml:space="preserve">L-0528</t>
  </si>
  <si>
    <t xml:space="preserve">L-0529</t>
  </si>
  <si>
    <t xml:space="preserve">arjun.sharma@tarnvalelabs.example</t>
  </si>
  <si>
    <t xml:space="preserve">Tarnvale Labs</t>
  </si>
  <si>
    <t xml:space="preserve">https://tarnvalelabs.example</t>
  </si>
  <si>
    <t xml:space="preserve">L-0530</t>
  </si>
  <si>
    <t xml:space="preserve">omar651@listpeakdirectory.example</t>
  </si>
  <si>
    <t xml:space="preserve">L-0531</t>
  </si>
  <si>
    <t xml:space="preserve">Ivan Lee</t>
  </si>
  <si>
    <t xml:space="preserve">ivan911@burnmail.example</t>
  </si>
  <si>
    <t xml:space="preserve">L-0532</t>
  </si>
  <si>
    <t xml:space="preserve">Sam Brown</t>
  </si>
  <si>
    <t xml:space="preserve">sam803@throwaway.example</t>
  </si>
  <si>
    <t xml:space="preserve">L-0533</t>
  </si>
  <si>
    <t xml:space="preserve">daniel.brown@inboxly.example</t>
  </si>
  <si>
    <t xml:space="preserve">L-0534</t>
  </si>
  <si>
    <t xml:space="preserve">felix.garcia@freemail.example</t>
  </si>
  <si>
    <t xml:space="preserve">L-0535</t>
  </si>
  <si>
    <t xml:space="preserve">L-0536</t>
  </si>
  <si>
    <t xml:space="preserve">Leon Mehta</t>
  </si>
  <si>
    <t xml:space="preserve">leon.mehta@webmail.example</t>
  </si>
  <si>
    <t xml:space="preserve">L-0537</t>
  </si>
  <si>
    <t xml:space="preserve">ananya.patel@marrowgatesystems.example</t>
  </si>
  <si>
    <t xml:space="preserve">L-0538</t>
  </si>
  <si>
    <t xml:space="preserve">L-0539</t>
  </si>
  <si>
    <t xml:space="preserve">Tariq Nguyen</t>
  </si>
  <si>
    <t xml:space="preserve">tariq397@freemail.example</t>
  </si>
  <si>
    <t xml:space="preserve">L-0540</t>
  </si>
  <si>
    <t xml:space="preserve">sofia.muller@freemail.example</t>
  </si>
  <si>
    <t xml:space="preserve">L-0541</t>
  </si>
  <si>
    <t xml:space="preserve">Kenji Muller</t>
  </si>
  <si>
    <t xml:space="preserve">L-0542</t>
  </si>
  <si>
    <t xml:space="preserve">arjun391@postbox.example</t>
  </si>
  <si>
    <t xml:space="preserve">L-0543</t>
  </si>
  <si>
    <t xml:space="preserve">lina.berg@webmail.example</t>
  </si>
  <si>
    <t xml:space="preserve">L-0544</t>
  </si>
  <si>
    <t xml:space="preserve">noah.mehta@freemail.example</t>
  </si>
  <si>
    <t xml:space="preserve">L-0545</t>
  </si>
  <si>
    <t xml:space="preserve">lucas.haddad@freemail.example</t>
  </si>
  <si>
    <t xml:space="preserve">L-0546</t>
  </si>
  <si>
    <t xml:space="preserve">Marco Mehta</t>
  </si>
  <si>
    <t xml:space="preserve">marco135@inboxly.example</t>
  </si>
  <si>
    <t xml:space="preserve">L-0547</t>
  </si>
  <si>
    <t xml:space="preserve">Ravi Costa</t>
  </si>
  <si>
    <t xml:space="preserve">ravi.costa@inboxly.example</t>
  </si>
  <si>
    <t xml:space="preserve">L-0548</t>
  </si>
  <si>
    <t xml:space="preserve">mei.okafor@inboxly.example</t>
  </si>
  <si>
    <t xml:space="preserve">L-0549</t>
  </si>
  <si>
    <t xml:space="preserve">kenji.brown@quarrytidefinance.example</t>
  </si>
  <si>
    <t xml:space="preserve">L-0550</t>
  </si>
  <si>
    <t xml:space="preserve">ravi.mehta@ferrowindcapital.example</t>
  </si>
  <si>
    <t xml:space="preserve">L-0551</t>
  </si>
  <si>
    <t xml:space="preserve">Ethan Mehta</t>
  </si>
  <si>
    <t xml:space="preserve">L-0552</t>
  </si>
  <si>
    <t xml:space="preserve">chloe.muller@inboxly.example</t>
  </si>
  <si>
    <t xml:space="preserve">L-0553</t>
  </si>
  <si>
    <t xml:space="preserve">Sofia Garcia</t>
  </si>
  <si>
    <t xml:space="preserve">L-0554</t>
  </si>
  <si>
    <t xml:space="preserve">L-0555</t>
  </si>
  <si>
    <t xml:space="preserve">Ravi Patel</t>
  </si>
  <si>
    <t xml:space="preserve">ravi.patel@webmail.example</t>
  </si>
  <si>
    <t xml:space="preserve">L-0556</t>
  </si>
  <si>
    <t xml:space="preserve">yuki312@inboxly.example</t>
  </si>
  <si>
    <t xml:space="preserve">L-0557</t>
  </si>
  <si>
    <t xml:space="preserve">L-0558</t>
  </si>
  <si>
    <t xml:space="preserve">aisha.rossi@umberwickpay.example</t>
  </si>
  <si>
    <t xml:space="preserve">Need a banking data API with SLA for our budgeting app, around 59M calls per day.</t>
  </si>
  <si>
    <t xml:space="preserve">L-0559</t>
  </si>
  <si>
    <t xml:space="preserve">nadia.khan@tarnvalecapital.example</t>
  </si>
  <si>
    <t xml:space="preserve">https://tarnvalecapital.example</t>
  </si>
  <si>
    <t xml:space="preserve">L-0560</t>
  </si>
  <si>
    <t xml:space="preserve">Ananya Costa</t>
  </si>
  <si>
    <t xml:space="preserve">ananya186@letterdrop.example</t>
  </si>
  <si>
    <t xml:space="preserve">L-0561</t>
  </si>
  <si>
    <t xml:space="preserve">Ivan Khan</t>
  </si>
  <si>
    <t xml:space="preserve">L-0562</t>
  </si>
  <si>
    <t xml:space="preserve">yuki.kim@rushbarrowpay.example</t>
  </si>
  <si>
    <t xml:space="preserve">L-0563</t>
  </si>
  <si>
    <t xml:space="preserve">L-0564</t>
  </si>
  <si>
    <t xml:space="preserve">ethan.haddad@juniperholtcommerce.example</t>
  </si>
  <si>
    <t xml:space="preserve">L-0565</t>
  </si>
  <si>
    <t xml:space="preserve">chloe512@letterdrop.example</t>
  </si>
  <si>
    <t xml:space="preserve">L-0566</t>
  </si>
  <si>
    <t xml:space="preserve">Daniel Garcia</t>
  </si>
  <si>
    <t xml:space="preserve">daniel.garcia@postbox.example</t>
  </si>
  <si>
    <t xml:space="preserve">L-0567</t>
  </si>
  <si>
    <t xml:space="preserve">Elena Lee</t>
  </si>
  <si>
    <t xml:space="preserve">elena869@inboxly.example</t>
  </si>
  <si>
    <t xml:space="preserve">L-0568</t>
  </si>
  <si>
    <t xml:space="preserve">ivan.okafor@letterdrop.example</t>
  </si>
  <si>
    <t xml:space="preserve">Nettlebrisk Wallet</t>
  </si>
  <si>
    <t xml:space="preserve">L-0569</t>
  </si>
  <si>
    <t xml:space="preserve">L-0570</t>
  </si>
  <si>
    <t xml:space="preserve">Leon Rossi</t>
  </si>
  <si>
    <t xml:space="preserve">leon.rossi@hollowquaywallet.example</t>
  </si>
  <si>
    <t xml:space="preserve">L-0571</t>
  </si>
  <si>
    <t xml:space="preserve">omar.haddad@postbox.example</t>
  </si>
  <si>
    <t xml:space="preserve">L-0572</t>
  </si>
  <si>
    <t xml:space="preserve">tariq678@burnmail.example</t>
  </si>
  <si>
    <t xml:space="preserve">L-0573</t>
  </si>
  <si>
    <t xml:space="preserve">Yuki Tanaka</t>
  </si>
  <si>
    <t xml:space="preserve">yuki551@tempinbox.example</t>
  </si>
  <si>
    <t xml:space="preserve">L-0574</t>
  </si>
  <si>
    <t xml:space="preserve">chloe.muller@sallowfenncommerce.example</t>
  </si>
  <si>
    <t xml:space="preserve">L-0575</t>
  </si>
  <si>
    <t xml:space="preserve">yuki.mehta@orrowmerefinance.example</t>
  </si>
  <si>
    <t xml:space="preserve">https://orrowmerefinance.example</t>
  </si>
  <si>
    <t xml:space="preserve">L-0576</t>
  </si>
  <si>
    <t xml:space="preserve">elena.berg@nettlebrisksystems.example</t>
  </si>
  <si>
    <t xml:space="preserve">L-0577</t>
  </si>
  <si>
    <t xml:space="preserve">priya551@codewhistleoutsourcing.example</t>
  </si>
  <si>
    <t xml:space="preserve">L-0578</t>
  </si>
  <si>
    <t xml:space="preserve">Omar Patel</t>
  </si>
  <si>
    <t xml:space="preserve">omar.patel@quarrytidelabs.example</t>
  </si>
  <si>
    <t xml:space="preserve">L-0579</t>
  </si>
  <si>
    <t xml:space="preserve">Daniel Silva</t>
  </si>
  <si>
    <t xml:space="preserve">daniel.silva@nettlebrisksystems.example</t>
  </si>
  <si>
    <t xml:space="preserve">L-0580</t>
  </si>
  <si>
    <t xml:space="preserve">chloe.patel@letterdrop.example</t>
  </si>
  <si>
    <t xml:space="preserve">L-0581</t>
  </si>
  <si>
    <t xml:space="preserve">marco.berg@quarrytidestudio.example</t>
  </si>
  <si>
    <t xml:space="preserve">L-0582</t>
  </si>
  <si>
    <t xml:space="preserve">Daniel Mehta</t>
  </si>
  <si>
    <t xml:space="preserve">daniel639@letterdrop.example</t>
  </si>
  <si>
    <t xml:space="preserve">L-0583</t>
  </si>
  <si>
    <t xml:space="preserve">Ananya Muller</t>
  </si>
  <si>
    <t xml:space="preserve">ananya.muller@juniperholtwallet.example</t>
  </si>
  <si>
    <t xml:space="preserve">L-0584</t>
  </si>
  <si>
    <t xml:space="preserve">Sofia Ivanova</t>
  </si>
  <si>
    <t xml:space="preserve">sofia.ivanova@postbox.example</t>
  </si>
  <si>
    <t xml:space="preserve">L-0585</t>
  </si>
  <si>
    <t xml:space="preserve">Omar Costa</t>
  </si>
  <si>
    <t xml:space="preserve">omar.costa@ostrivopay.example</t>
  </si>
  <si>
    <t xml:space="preserve">L-0586</t>
  </si>
  <si>
    <t xml:space="preserve">Tariq Patel</t>
  </si>
  <si>
    <t xml:space="preserve">tariq.patel@hollowquayfinance.example</t>
  </si>
  <si>
    <t xml:space="preserve">https://hollowquayfinance.example</t>
  </si>
  <si>
    <t xml:space="preserve">L-0587</t>
  </si>
  <si>
    <t xml:space="preserve">felix.rossi@inboxly.example</t>
  </si>
  <si>
    <t xml:space="preserve">L-0588</t>
  </si>
  <si>
    <t xml:space="preserve">L-0589</t>
  </si>
  <si>
    <t xml:space="preserve">marco.costa@umberwicksystems.example</t>
  </si>
  <si>
    <t xml:space="preserve">L-0590</t>
  </si>
  <si>
    <t xml:space="preserve">Aisha Mehta</t>
  </si>
  <si>
    <t xml:space="preserve">aisha.mehta@hollowquaycapital.example</t>
  </si>
  <si>
    <t xml:space="preserve">https://hollowquaycapital.example</t>
  </si>
  <si>
    <t xml:space="preserve">L-0591</t>
  </si>
  <si>
    <t xml:space="preserve">Ananya Tanaka</t>
  </si>
  <si>
    <t xml:space="preserve">ananya17@inboxly.example</t>
  </si>
  <si>
    <t xml:space="preserve">L-0592</t>
  </si>
  <si>
    <t xml:space="preserve">Fatima Silva</t>
  </si>
  <si>
    <t xml:space="preserve">fatima.silva@dunmarrowfinance.example</t>
  </si>
  <si>
    <t xml:space="preserve">L-0593</t>
  </si>
  <si>
    <t xml:space="preserve">Ivan Nguyen</t>
  </si>
  <si>
    <t xml:space="preserve">ivan.nguyen@webmail.example</t>
  </si>
  <si>
    <t xml:space="preserve">L-0594</t>
  </si>
  <si>
    <t xml:space="preserve">Kenji Haddad</t>
  </si>
  <si>
    <t xml:space="preserve">kenji33@webmail.example</t>
  </si>
  <si>
    <t xml:space="preserve">L-0595</t>
  </si>
  <si>
    <t xml:space="preserve">Felix Lee</t>
  </si>
  <si>
    <t xml:space="preserve">felix721@hypemarrowpr.example</t>
  </si>
  <si>
    <t xml:space="preserve">L-0596</t>
  </si>
  <si>
    <t xml:space="preserve">Lina Garcia</t>
  </si>
  <si>
    <t xml:space="preserve">lina561@quickdrop.example</t>
  </si>
  <si>
    <t xml:space="preserve">L-0597</t>
  </si>
  <si>
    <t xml:space="preserve">Daniel Rossi</t>
  </si>
  <si>
    <t xml:space="preserve">daniel.rossi@letterdrop.example</t>
  </si>
  <si>
    <t xml:space="preserve">L-0598</t>
  </si>
  <si>
    <t xml:space="preserve">chloe.mehta@postbox.example</t>
  </si>
  <si>
    <t xml:space="preserve">Pellowin Wallet</t>
  </si>
  <si>
    <t xml:space="preserve">L-0599</t>
  </si>
  <si>
    <t xml:space="preserve">ivan.rossi@orrowmerewallet.example</t>
  </si>
  <si>
    <t xml:space="preserve">https://orrowmerewallet.example</t>
  </si>
  <si>
    <t xml:space="preserve">L-0600</t>
  </si>
  <si>
    <t xml:space="preserve">Hana Haddad</t>
  </si>
  <si>
    <t xml:space="preserve">hana.haddad@freemail.example</t>
  </si>
  <si>
    <t xml:space="preserve">L-0601</t>
  </si>
  <si>
    <t xml:space="preserve">lina.mehta@freemail.example</t>
  </si>
  <si>
    <t xml:space="preserve">L-0602</t>
  </si>
  <si>
    <t xml:space="preserve">ethan.okafor@ostrivofinance.example</t>
  </si>
  <si>
    <t xml:space="preserve">L-0603</t>
  </si>
  <si>
    <t xml:space="preserve">nadia.lee@inboxly.example</t>
  </si>
  <si>
    <t xml:space="preserve">Marrowgate Capital</t>
  </si>
  <si>
    <t xml:space="preserve">L-0604</t>
  </si>
  <si>
    <t xml:space="preserve">ananya.tanaka@nettlebriskfinance.example</t>
  </si>
  <si>
    <t xml:space="preserve">L-0605</t>
  </si>
  <si>
    <t xml:space="preserve">leon.rossi@pellowinpay.example</t>
  </si>
  <si>
    <t xml:space="preserve">L-0606</t>
  </si>
  <si>
    <t xml:space="preserve">Mei Costa</t>
  </si>
  <si>
    <t xml:space="preserve">mei395@burnmail.example</t>
  </si>
  <si>
    <t xml:space="preserve">L-0607</t>
  </si>
  <si>
    <t xml:space="preserve">Daniel Sharma</t>
  </si>
  <si>
    <t xml:space="preserve">daniel.sharma@thornlaceywallet.example</t>
  </si>
  <si>
    <t xml:space="preserve">https://thornlaceywallet.example</t>
  </si>
  <si>
    <t xml:space="preserve">Need a banking data API with SLA for our budgeting app, around 37M calls per day.</t>
  </si>
  <si>
    <t xml:space="preserve">L-0608</t>
  </si>
  <si>
    <t xml:space="preserve">yuki.patel@larkspindlewallet.example</t>
  </si>
  <si>
    <t xml:space="preserve">L-0609</t>
  </si>
  <si>
    <t xml:space="preserve">Mateo Tanaka</t>
  </si>
  <si>
    <t xml:space="preserve">mateo879@inboxly.example</t>
  </si>
  <si>
    <t xml:space="preserve">L-0610</t>
  </si>
  <si>
    <t xml:space="preserve">Felix Nguyen</t>
  </si>
  <si>
    <t xml:space="preserve">felix606@webmail.example</t>
  </si>
  <si>
    <t xml:space="preserve">L-0611</t>
  </si>
  <si>
    <t xml:space="preserve">noah.berg@yarrowtunmoney.example</t>
  </si>
  <si>
    <t xml:space="preserve">Need a banking data API with SLA for our budgeting app, around 56M calls per day.</t>
  </si>
  <si>
    <t xml:space="preserve">L-0612</t>
  </si>
  <si>
    <t xml:space="preserve">ivan.novak@yarrowtunfinance.example</t>
  </si>
  <si>
    <t xml:space="preserve">Yarrowtun Finance</t>
  </si>
  <si>
    <t xml:space="preserve">https://yarrowtunfinance.example</t>
  </si>
  <si>
    <t xml:space="preserve">L-0613</t>
  </si>
  <si>
    <t xml:space="preserve">lina.mehta@letterdrop.example</t>
  </si>
  <si>
    <t xml:space="preserve">L-0614</t>
  </si>
  <si>
    <t xml:space="preserve">Aisha Nguyen</t>
  </si>
  <si>
    <t xml:space="preserve">aisha.nguyen@yarrowtunsystems.example</t>
  </si>
  <si>
    <t xml:space="preserve">Yarrowtun Systems</t>
  </si>
  <si>
    <t xml:space="preserve">https://yarrowtunsystems.example</t>
  </si>
  <si>
    <t xml:space="preserve">L-0615</t>
  </si>
  <si>
    <t xml:space="preserve">Grace Ivanova</t>
  </si>
  <si>
    <t xml:space="preserve">L-0616</t>
  </si>
  <si>
    <t xml:space="preserve">Arjun Chen</t>
  </si>
  <si>
    <t xml:space="preserve">arjun.chen@inboxly.example</t>
  </si>
  <si>
    <t xml:space="preserve">Brindlewick Finance</t>
  </si>
  <si>
    <t xml:space="preserve">L-0617</t>
  </si>
  <si>
    <t xml:space="preserve">Tariq Novak</t>
  </si>
  <si>
    <t xml:space="preserve">tariq.novak@postbox.example</t>
  </si>
  <si>
    <t xml:space="preserve">L-0618</t>
  </si>
  <si>
    <t xml:space="preserve">ananya.sharma@umberwickwallet.example</t>
  </si>
  <si>
    <t xml:space="preserve">Need a banking data API with SLA for our budgeting app, around 64M calls per day.</t>
  </si>
  <si>
    <t xml:space="preserve">L-0619</t>
  </si>
  <si>
    <t xml:space="preserve">L-0620</t>
  </si>
  <si>
    <t xml:space="preserve">sofia.khan@postbox.example</t>
  </si>
  <si>
    <t xml:space="preserve">L-0621</t>
  </si>
  <si>
    <t xml:space="preserve">Sam Okafor</t>
  </si>
  <si>
    <t xml:space="preserve">sam257@quickdrop.example</t>
  </si>
  <si>
    <t xml:space="preserve">L-0622</t>
  </si>
  <si>
    <t xml:space="preserve">Ananya Berg</t>
  </si>
  <si>
    <t xml:space="preserve">L-0623</t>
  </si>
  <si>
    <t xml:space="preserve">Aisha Brown</t>
  </si>
  <si>
    <t xml:space="preserve">aisha.brown@pellowincapital.example</t>
  </si>
  <si>
    <t xml:space="preserve">Pellowin Capital</t>
  </si>
  <si>
    <t xml:space="preserve">https://pellowincapital.example</t>
  </si>
  <si>
    <t xml:space="preserve">L-0624</t>
  </si>
  <si>
    <t xml:space="preserve">yuki.lee@postbox.example</t>
  </si>
  <si>
    <t xml:space="preserve">L-0625</t>
  </si>
  <si>
    <t xml:space="preserve">felix.brown@yarrowtunbank.example</t>
  </si>
  <si>
    <t xml:space="preserve">L-0626</t>
  </si>
  <si>
    <t xml:space="preserve">Zara Khan</t>
  </si>
  <si>
    <t xml:space="preserve">zara.khan@letterdrop.example</t>
  </si>
  <si>
    <t xml:space="preserve">Glimmerfen Capital</t>
  </si>
  <si>
    <t xml:space="preserve">L-0627</t>
  </si>
  <si>
    <t xml:space="preserve">Daniel Berg</t>
  </si>
  <si>
    <t xml:space="preserve">daniel.berg@letterdrop.example</t>
  </si>
  <si>
    <t xml:space="preserve">L-0628</t>
  </si>
  <si>
    <t xml:space="preserve">Yuki Silva</t>
  </si>
  <si>
    <t xml:space="preserve">yuki.silva@inboxly.example</t>
  </si>
  <si>
    <t xml:space="preserve">L-0629</t>
  </si>
  <si>
    <t xml:space="preserve">mei.novak@freemail.example</t>
  </si>
  <si>
    <t xml:space="preserve">L-0630</t>
  </si>
  <si>
    <t xml:space="preserve">Noah Khan</t>
  </si>
  <si>
    <t xml:space="preserve">noah919@freemail.example</t>
  </si>
  <si>
    <t xml:space="preserve">L-0631</t>
  </si>
  <si>
    <t xml:space="preserve">ji-woo587@throwaway.example</t>
  </si>
  <si>
    <t xml:space="preserve">L-0632</t>
  </si>
  <si>
    <t xml:space="preserve">Grace Mehta</t>
  </si>
  <si>
    <t xml:space="preserve">grace.mehta@pellowinmoney.example</t>
  </si>
  <si>
    <t xml:space="preserve">L-0633</t>
  </si>
  <si>
    <t xml:space="preserve">hana532@codewhistleoutsourcing.example</t>
  </si>
  <si>
    <t xml:space="preserve">L-0634</t>
  </si>
  <si>
    <t xml:space="preserve">daniel.garcia@webmail.example</t>
  </si>
  <si>
    <t xml:space="preserve">L-0635</t>
  </si>
  <si>
    <t xml:space="preserve">kenji.tanaka@brindlewicklabs.example</t>
  </si>
  <si>
    <t xml:space="preserve">Brindlewick Labs</t>
  </si>
  <si>
    <t xml:space="preserve">https://brindlewicklabs.example</t>
  </si>
  <si>
    <t xml:space="preserve">L-0636</t>
  </si>
  <si>
    <t xml:space="preserve">grace.okafor@postbox.example</t>
  </si>
  <si>
    <t xml:space="preserve">L-0637</t>
  </si>
  <si>
    <t xml:space="preserve">fatima.tanaka@thornlaceybank.example</t>
  </si>
  <si>
    <t xml:space="preserve">https://thornlaceybank.example</t>
  </si>
  <si>
    <t xml:space="preserve">L-0638</t>
  </si>
  <si>
    <t xml:space="preserve">Lina Khan</t>
  </si>
  <si>
    <t xml:space="preserve">lina.khan@quillmoorwallet.example</t>
  </si>
  <si>
    <t xml:space="preserve">https://quillmoorwallet.example</t>
  </si>
  <si>
    <t xml:space="preserve">L-0639</t>
  </si>
  <si>
    <t xml:space="preserve">sam234@rankfarrowseoagency.example</t>
  </si>
  <si>
    <t xml:space="preserve">L-0640</t>
  </si>
  <si>
    <t xml:space="preserve">Ji-woo Lee</t>
  </si>
  <si>
    <t xml:space="preserve">ji-woo.lee@pellowincapital.example</t>
  </si>
  <si>
    <t xml:space="preserve">L-0641</t>
  </si>
  <si>
    <t xml:space="preserve">Leon Berg</t>
  </si>
  <si>
    <t xml:space="preserve">leon.berg@letterdrop.example</t>
  </si>
  <si>
    <t xml:space="preserve">L-0642</t>
  </si>
  <si>
    <t xml:space="preserve">Zara Patel</t>
  </si>
  <si>
    <t xml:space="preserve">zara968@letterdrop.example</t>
  </si>
  <si>
    <t xml:space="preserve">L-0643</t>
  </si>
  <si>
    <t xml:space="preserve">ananya.berg@inboxly.example</t>
  </si>
  <si>
    <t xml:space="preserve">L-0644</t>
  </si>
  <si>
    <t xml:space="preserve">daniel935@tempinbox.example</t>
  </si>
  <si>
    <t xml:space="preserve">L-0645</t>
  </si>
  <si>
    <t xml:space="preserve">mei.okafor@larkspindlelabs.example</t>
  </si>
  <si>
    <t xml:space="preserve">https://larkspindlelabs.example</t>
  </si>
  <si>
    <t xml:space="preserve">L-0646</t>
  </si>
  <si>
    <t xml:space="preserve">Mateo Chen</t>
  </si>
  <si>
    <t xml:space="preserve">mateo777@letterdrop.example</t>
  </si>
  <si>
    <t xml:space="preserve">L-0647</t>
  </si>
  <si>
    <t xml:space="preserve">Sofia Okafor</t>
  </si>
  <si>
    <t xml:space="preserve">sofia.okafor@marrowgatecapital.example</t>
  </si>
  <si>
    <t xml:space="preserve">https://marrowgatecapital.example</t>
  </si>
  <si>
    <t xml:space="preserve">L-0648</t>
  </si>
  <si>
    <t xml:space="preserve">sofia625@webmail.example</t>
  </si>
  <si>
    <t xml:space="preserve">L-0649</t>
  </si>
  <si>
    <t xml:space="preserve">lina.haddad@freemail.example</t>
  </si>
  <si>
    <t xml:space="preserve">L-0650</t>
  </si>
  <si>
    <t xml:space="preserve">Mei Ivanova</t>
  </si>
  <si>
    <t xml:space="preserve">mei.ivanova@freemail.example</t>
  </si>
  <si>
    <t xml:space="preserve">L-0651</t>
  </si>
  <si>
    <t xml:space="preserve">sofia712@letterdrop.example</t>
  </si>
  <si>
    <t xml:space="preserve">L-0652</t>
  </si>
  <si>
    <t xml:space="preserve">Yuki Rossi</t>
  </si>
  <si>
    <t xml:space="preserve">yuki.rossi@letterdrop.example</t>
  </si>
  <si>
    <t xml:space="preserve">L-0653</t>
  </si>
  <si>
    <t xml:space="preserve">mateo.chen@marrowgatelabs.example</t>
  </si>
  <si>
    <t xml:space="preserve">L-0654</t>
  </si>
  <si>
    <t xml:space="preserve">yuki.rossi@ferrowindsystems.example</t>
  </si>
  <si>
    <t xml:space="preserve">Ferrowind Systems</t>
  </si>
  <si>
    <t xml:space="preserve">https://ferrowindsystems.example</t>
  </si>
  <si>
    <t xml:space="preserve">L-0655</t>
  </si>
  <si>
    <t xml:space="preserve">tariq.novak@letterdrop.example</t>
  </si>
  <si>
    <t xml:space="preserve">L-0656</t>
  </si>
  <si>
    <t xml:space="preserve">elena.lee@postbox.example</t>
  </si>
  <si>
    <t xml:space="preserve">L-0657</t>
  </si>
  <si>
    <t xml:space="preserve">Zara Chen</t>
  </si>
  <si>
    <t xml:space="preserve">zara.chen@zellowmarklabs.example</t>
  </si>
  <si>
    <t xml:space="preserve">https://zellowmarklabs.example</t>
  </si>
  <si>
    <t xml:space="preserve">We are launching a payroll product and need a managed payouts setup with go-live in Q4.</t>
  </si>
  <si>
    <t xml:space="preserve">L-0658</t>
  </si>
  <si>
    <t xml:space="preserve">leon.mehta@postbox.example</t>
  </si>
  <si>
    <t xml:space="preserve">L-0659</t>
  </si>
  <si>
    <t xml:space="preserve">kenji.costa@freemail.example</t>
  </si>
  <si>
    <t xml:space="preserve">L-0660</t>
  </si>
  <si>
    <t xml:space="preserve">grace.ivanova@plumeridgecapital.example</t>
  </si>
  <si>
    <t xml:space="preserve">L-0661</t>
  </si>
  <si>
    <t xml:space="preserve">Marco Nguyen</t>
  </si>
  <si>
    <t xml:space="preserve">marco.nguyen@postbox.example</t>
  </si>
  <si>
    <t xml:space="preserve">L-0662</t>
  </si>
  <si>
    <t xml:space="preserve">Tariq Silva</t>
  </si>
  <si>
    <t xml:space="preserve">tariq.silva@webmail.example</t>
  </si>
  <si>
    <t xml:space="preserve">L-0663</t>
  </si>
  <si>
    <t xml:space="preserve">Priya Berg</t>
  </si>
  <si>
    <t xml:space="preserve">priya.berg@webmail.example</t>
  </si>
  <si>
    <t xml:space="preserve">Quillmoor Bank</t>
  </si>
  <si>
    <t xml:space="preserve">L-0664</t>
  </si>
  <si>
    <t xml:space="preserve">Lucas Rossi</t>
  </si>
  <si>
    <t xml:space="preserve">lucas.rossi@letterdrop.example</t>
  </si>
  <si>
    <t xml:space="preserve">Umberwick Commerce</t>
  </si>
  <si>
    <t xml:space="preserve">We are launching a marketplace product and need a managed payouts setup with go-live in Q1.</t>
  </si>
  <si>
    <t xml:space="preserve">L-0665</t>
  </si>
  <si>
    <t xml:space="preserve">sofia.silva@postbox.example</t>
  </si>
  <si>
    <t xml:space="preserve">L-0666</t>
  </si>
  <si>
    <t xml:space="preserve">ravi.muller@postbox.example</t>
  </si>
  <si>
    <t xml:space="preserve">Vexmoor Money</t>
  </si>
  <si>
    <t xml:space="preserve">L-0667</t>
  </si>
  <si>
    <t xml:space="preserve">grace.rossi@hollowquaypay.example</t>
  </si>
  <si>
    <t xml:space="preserve">Hollowquay Pay</t>
  </si>
  <si>
    <t xml:space="preserve">https://hollowquaypay.example</t>
  </si>
  <si>
    <t xml:space="preserve">L-0668</t>
  </si>
  <si>
    <t xml:space="preserve">lina.nguyen@thornlaceyfinance.example</t>
  </si>
  <si>
    <t xml:space="preserve">https://thornlaceyfinance.example</t>
  </si>
  <si>
    <t xml:space="preserve">L-0669</t>
  </si>
  <si>
    <t xml:space="preserve">Hana Costa</t>
  </si>
  <si>
    <t xml:space="preserve">hana.costa@rushbarrowpay.example</t>
  </si>
  <si>
    <t xml:space="preserve">L-0670</t>
  </si>
  <si>
    <t xml:space="preserve">ethan.berg@letterdrop.example</t>
  </si>
  <si>
    <t xml:space="preserve">L-0671</t>
  </si>
  <si>
    <t xml:space="preserve">Hana Patel</t>
  </si>
  <si>
    <t xml:space="preserve">hana570@freemail.example</t>
  </si>
  <si>
    <t xml:space="preserve">L-0672</t>
  </si>
  <si>
    <t xml:space="preserve">aisha.okafor@kestralithmoney.example</t>
  </si>
  <si>
    <t xml:space="preserve">https://kestralithmoney.example</t>
  </si>
  <si>
    <t xml:space="preserve">We are launching a marketplace product and need a managed cross-border setup with go-live in Q4.</t>
  </si>
  <si>
    <t xml:space="preserve">L-0673</t>
  </si>
  <si>
    <t xml:space="preserve">grace461@letterdrop.example</t>
  </si>
  <si>
    <t xml:space="preserve">L-0674</t>
  </si>
  <si>
    <t xml:space="preserve">L-0675</t>
  </si>
  <si>
    <t xml:space="preserve">Ananya Nguyen</t>
  </si>
  <si>
    <t xml:space="preserve">ananya.nguyen@quillmoorbank.example</t>
  </si>
  <si>
    <t xml:space="preserve">https://quillmoorbank.example</t>
  </si>
  <si>
    <t xml:space="preserve">L-0676</t>
  </si>
  <si>
    <t xml:space="preserve">elena.haddad@sallowfennpay.example</t>
  </si>
  <si>
    <t xml:space="preserve">L-0677</t>
  </si>
  <si>
    <t xml:space="preserve">ananya.tanaka@kestralithpay.example</t>
  </si>
  <si>
    <t xml:space="preserve">L-0678</t>
  </si>
  <si>
    <t xml:space="preserve">ivan.nguyen@tarnvalelabs.example</t>
  </si>
  <si>
    <t xml:space="preserve">L-0679</t>
  </si>
  <si>
    <t xml:space="preserve">ananya.rossi@umberwickpay.example</t>
  </si>
  <si>
    <t xml:space="preserve">Need a banking data API with SLA for our budgeting app, around 14M calls per day.</t>
  </si>
  <si>
    <t xml:space="preserve">L-0680</t>
  </si>
  <si>
    <t xml:space="preserve">kenji277@boostquillmedia.example</t>
  </si>
  <si>
    <t xml:space="preserve">L-0681</t>
  </si>
  <si>
    <t xml:space="preserve">ji-woo159@hypemarrowpr.example</t>
  </si>
  <si>
    <t xml:space="preserve">L-0682</t>
  </si>
  <si>
    <t xml:space="preserve">fatima.garcia@pellowincommerce.example</t>
  </si>
  <si>
    <t xml:space="preserve">L-0683</t>
  </si>
  <si>
    <t xml:space="preserve">L-0684</t>
  </si>
  <si>
    <t xml:space="preserve">noah.lee@freemail.example</t>
  </si>
  <si>
    <t xml:space="preserve">L-0685</t>
  </si>
  <si>
    <t xml:space="preserve">grace.patel@webmail.example</t>
  </si>
  <si>
    <t xml:space="preserve">L-0686</t>
  </si>
  <si>
    <t xml:space="preserve">Sam Haddad</t>
  </si>
  <si>
    <t xml:space="preserve">sam.haddad@tarnvalelabs.example</t>
  </si>
  <si>
    <t xml:space="preserve">Need a banking data API with SLA for our budgeting app, around 46M calls per day.</t>
  </si>
  <si>
    <t xml:space="preserve">L-0687</t>
  </si>
  <si>
    <t xml:space="preserve">tariq675@inboxly.example</t>
  </si>
  <si>
    <t xml:space="preserve">L-0688</t>
  </si>
  <si>
    <t xml:space="preserve">Mateo Patel</t>
  </si>
  <si>
    <t xml:space="preserve">L-0689</t>
  </si>
  <si>
    <t xml:space="preserve">Kenji Chen</t>
  </si>
  <si>
    <t xml:space="preserve">kenji.chen@hollowquaystudio.example</t>
  </si>
  <si>
    <t xml:space="preserve">Hollowquay Studio</t>
  </si>
  <si>
    <t xml:space="preserve">https://hollowquaystudio.example</t>
  </si>
  <si>
    <t xml:space="preserve">Need a banking data API with SLA for our budgeting app, around 11M calls per day.</t>
  </si>
  <si>
    <t xml:space="preserve">L-0690</t>
  </si>
  <si>
    <t xml:space="preserve">noah.tanaka@freemail.example</t>
  </si>
  <si>
    <t xml:space="preserve">L-0691</t>
  </si>
  <si>
    <t xml:space="preserve">chloe.lee@larkspindlepay.example</t>
  </si>
  <si>
    <t xml:space="preserve">L-0692</t>
  </si>
  <si>
    <t xml:space="preserve">priya102@inboxly.example</t>
  </si>
  <si>
    <t xml:space="preserve">L-0693</t>
  </si>
  <si>
    <t xml:space="preserve">aisha.berg@inboxly.example</t>
  </si>
  <si>
    <t xml:space="preserve">L-0694</t>
  </si>
  <si>
    <t xml:space="preserve">zara.kim@freemail.example</t>
  </si>
  <si>
    <t xml:space="preserve">L-0695</t>
  </si>
  <si>
    <t xml:space="preserve">grace.haddad@tarnvalestudio.example</t>
  </si>
  <si>
    <t xml:space="preserve">L-0696</t>
  </si>
  <si>
    <t xml:space="preserve">ethan.sharma@wyndlefosssystems.example</t>
  </si>
  <si>
    <t xml:space="preserve">L-0697</t>
  </si>
  <si>
    <t xml:space="preserve">aisha889@codewhistleoutsourcing.example</t>
  </si>
  <si>
    <t xml:space="preserve">L-0698</t>
  </si>
  <si>
    <t xml:space="preserve">Arjun Ivanova</t>
  </si>
  <si>
    <t xml:space="preserve">arjun.ivanova@rushbarrowstudio.example</t>
  </si>
  <si>
    <t xml:space="preserve">L-0699</t>
  </si>
  <si>
    <t xml:space="preserve">mateo.silva@webmail.example</t>
  </si>
  <si>
    <t xml:space="preserve">L-0700</t>
  </si>
  <si>
    <t xml:space="preserve">lina.muller@marrowgatecommerce.example</t>
  </si>
  <si>
    <t xml:space="preserve">Marrowgate Commerce</t>
  </si>
  <si>
    <t xml:space="preserve">https://marrowgatecommerce.example</t>
  </si>
  <si>
    <t xml:space="preserve">L-0701</t>
  </si>
  <si>
    <t xml:space="preserve">daniel.kim@webmail.example</t>
  </si>
  <si>
    <t xml:space="preserve">L-0702</t>
  </si>
  <si>
    <t xml:space="preserve">Omar Kim</t>
  </si>
  <si>
    <t xml:space="preserve">omar771@freemail.example</t>
  </si>
  <si>
    <t xml:space="preserve">L-0703</t>
  </si>
  <si>
    <t xml:space="preserve">Elena Kim</t>
  </si>
  <si>
    <t xml:space="preserve">elena.kim@umberwickcommerce.example</t>
  </si>
  <si>
    <t xml:space="preserve">https://umberwickcommerce.example</t>
  </si>
  <si>
    <t xml:space="preserve">L-0704</t>
  </si>
  <si>
    <t xml:space="preserve">fatima.khan@ostrivostudio.example</t>
  </si>
  <si>
    <t xml:space="preserve">L-0705</t>
  </si>
  <si>
    <t xml:space="preserve">marco.haddad@webmail.example</t>
  </si>
  <si>
    <t xml:space="preserve">L-0706</t>
  </si>
  <si>
    <t xml:space="preserve">ananya268@burnmail.example</t>
  </si>
  <si>
    <t xml:space="preserve">L-0707</t>
  </si>
  <si>
    <t xml:space="preserve">hana861@codewhistleoutsourcing.example</t>
  </si>
  <si>
    <t xml:space="preserve">L-0708</t>
  </si>
  <si>
    <t xml:space="preserve">elena180@burnmail.example</t>
  </si>
  <si>
    <t xml:space="preserve">L-0709</t>
  </si>
  <si>
    <t xml:space="preserve">L-0710</t>
  </si>
  <si>
    <t xml:space="preserve">Zara Sharma</t>
  </si>
  <si>
    <t xml:space="preserve">zara30@boostquillmedia.example</t>
  </si>
  <si>
    <t xml:space="preserve">L-0711</t>
  </si>
  <si>
    <t xml:space="preserve">aisha.lee@postbox.example</t>
  </si>
  <si>
    <t xml:space="preserve">L-0712</t>
  </si>
  <si>
    <t xml:space="preserve">nadia.garcia@letterdrop.example</t>
  </si>
  <si>
    <t xml:space="preserve">L-0713</t>
  </si>
  <si>
    <t xml:space="preserve">L-0714</t>
  </si>
  <si>
    <t xml:space="preserve">Yuki Okafor</t>
  </si>
  <si>
    <t xml:space="preserve">yuki.okafor@tarnvalewallet.example</t>
  </si>
  <si>
    <t xml:space="preserve">L-0715</t>
  </si>
  <si>
    <t xml:space="preserve">Ji-woo Sharma</t>
  </si>
  <si>
    <t xml:space="preserve">ji-woo281@freemail.example</t>
  </si>
  <si>
    <t xml:space="preserve">L-0716</t>
  </si>
  <si>
    <t xml:space="preserve">sofia.muller@glimmerfenpay.example</t>
  </si>
  <si>
    <t xml:space="preserve">Need a banking data API with SLA for our budgeting app, around 12M calls per day.</t>
  </si>
  <si>
    <t xml:space="preserve">L-0717</t>
  </si>
  <si>
    <t xml:space="preserve">Ji-woo Mehta</t>
  </si>
  <si>
    <t xml:space="preserve">L-0718</t>
  </si>
  <si>
    <t xml:space="preserve">ji-woo.sharma@postbox.example</t>
  </si>
  <si>
    <t xml:space="preserve">L-0719</t>
  </si>
  <si>
    <t xml:space="preserve">Lucas Mehta</t>
  </si>
  <si>
    <t xml:space="preserve">lucas.mehta@freemail.example</t>
  </si>
  <si>
    <t xml:space="preserve">L-0720</t>
  </si>
  <si>
    <t xml:space="preserve">Mei Nguyen</t>
  </si>
  <si>
    <t xml:space="preserve">mei.nguyen@letterdrop.example</t>
  </si>
  <si>
    <t xml:space="preserve">L-0721</t>
  </si>
  <si>
    <t xml:space="preserve">Kenji Berg</t>
  </si>
  <si>
    <t xml:space="preserve">kenji.berg@freemail.example</t>
  </si>
  <si>
    <t xml:space="preserve">L-0722</t>
  </si>
  <si>
    <t xml:space="preserve">Nadia Rossi</t>
  </si>
  <si>
    <t xml:space="preserve">nadia.rossi@sallowfennsystems.example</t>
  </si>
  <si>
    <t xml:space="preserve">L-0723</t>
  </si>
  <si>
    <t xml:space="preserve">arjun.mehta@postbox.example</t>
  </si>
  <si>
    <t xml:space="preserve">L-0724</t>
  </si>
  <si>
    <t xml:space="preserve">Lucas Kim</t>
  </si>
  <si>
    <t xml:space="preserve">lucas.kim@plumeridgesystems.example</t>
  </si>
  <si>
    <t xml:space="preserve">L-0725</t>
  </si>
  <si>
    <t xml:space="preserve">L-0726</t>
  </si>
  <si>
    <t xml:space="preserve">Arjun Haddad</t>
  </si>
  <si>
    <t xml:space="preserve">L-0727</t>
  </si>
  <si>
    <t xml:space="preserve">daniel.kim@freemail.example</t>
  </si>
  <si>
    <t xml:space="preserve">Larkspindle Studio</t>
  </si>
  <si>
    <t xml:space="preserve">L-0728</t>
  </si>
  <si>
    <t xml:space="preserve">grace.chen@freemail.example</t>
  </si>
  <si>
    <t xml:space="preserve">L-0729</t>
  </si>
  <si>
    <t xml:space="preserve">Omar Brown</t>
  </si>
  <si>
    <t xml:space="preserve">L-0730</t>
  </si>
  <si>
    <t xml:space="preserve">noah801@webmail.example</t>
  </si>
  <si>
    <t xml:space="preserve">L-0731</t>
  </si>
  <si>
    <t xml:space="preserve">mateo.haddad@postbox.example</t>
  </si>
  <si>
    <t xml:space="preserve">L-0732</t>
  </si>
  <si>
    <t xml:space="preserve">ravi714@hypemarrowpr.example</t>
  </si>
  <si>
    <t xml:space="preserve">L-0733</t>
  </si>
  <si>
    <t xml:space="preserve">daniel.khan@letterdrop.example</t>
  </si>
  <si>
    <t xml:space="preserve">Need a banking data API with SLA for our budgeting app, around 53M calls per day.</t>
  </si>
  <si>
    <t xml:space="preserve">L-0734</t>
  </si>
  <si>
    <t xml:space="preserve">Ravi Berg</t>
  </si>
  <si>
    <t xml:space="preserve">L-0735</t>
  </si>
  <si>
    <t xml:space="preserve">Felix Tanaka</t>
  </si>
  <si>
    <t xml:space="preserve">felix612@codewhistleoutsourcing.example</t>
  </si>
  <si>
    <t xml:space="preserve">L-0736</t>
  </si>
  <si>
    <t xml:space="preserve">L-0737</t>
  </si>
  <si>
    <t xml:space="preserve">lina.haddad@quarrytidecapital.example</t>
  </si>
  <si>
    <t xml:space="preserve">L-0738</t>
  </si>
  <si>
    <t xml:space="preserve">L-0739</t>
  </si>
  <si>
    <t xml:space="preserve">omar.lee@freemail.example</t>
  </si>
  <si>
    <t xml:space="preserve">L-0740</t>
  </si>
  <si>
    <t xml:space="preserve">kenji.khan@marrowgatestudio.example</t>
  </si>
  <si>
    <t xml:space="preserve">L-0741</t>
  </si>
  <si>
    <t xml:space="preserve">arjun.sharma@postbox.example</t>
  </si>
  <si>
    <t xml:space="preserve">Quarrytide Systems</t>
  </si>
  <si>
    <t xml:space="preserve">L-0742</t>
  </si>
  <si>
    <t xml:space="preserve">omar.haddad@pellowinbank.example</t>
  </si>
  <si>
    <t xml:space="preserve">Pellowin Bank</t>
  </si>
  <si>
    <t xml:space="preserve">https://pellowinbank.example</t>
  </si>
  <si>
    <t xml:space="preserve">L-0743</t>
  </si>
  <si>
    <t xml:space="preserve">Nadia Okafor</t>
  </si>
  <si>
    <t xml:space="preserve">nadia749@letterdrop.example</t>
  </si>
  <si>
    <t xml:space="preserve">L-0744</t>
  </si>
  <si>
    <t xml:space="preserve">sofia542@quickdrop.example</t>
  </si>
  <si>
    <t xml:space="preserve">L-0745</t>
  </si>
  <si>
    <t xml:space="preserve">Grace Khan</t>
  </si>
  <si>
    <t xml:space="preserve">grace.khan@freemail.example</t>
  </si>
  <si>
    <t xml:space="preserve">Juniperholt Studio</t>
  </si>
  <si>
    <t xml:space="preserve">L-0746</t>
  </si>
  <si>
    <t xml:space="preserve">Kenji Silva</t>
  </si>
  <si>
    <t xml:space="preserve">kenji.silva@inboxly.example</t>
  </si>
  <si>
    <t xml:space="preserve">L-0747</t>
  </si>
  <si>
    <t xml:space="preserve">marco.novak@letterdrop.example</t>
  </si>
  <si>
    <t xml:space="preserve">L-0748</t>
  </si>
  <si>
    <t xml:space="preserve">Yuki Ivanova</t>
  </si>
  <si>
    <t xml:space="preserve">yuki.ivanova@inboxly.example</t>
  </si>
  <si>
    <t xml:space="preserve">L-0749</t>
  </si>
  <si>
    <t xml:space="preserve">ravi706@webmail.example</t>
  </si>
  <si>
    <t xml:space="preserve">L-0750</t>
  </si>
  <si>
    <t xml:space="preserve">Omar Silva</t>
  </si>
  <si>
    <t xml:space="preserve">omar.silva@freemail.example</t>
  </si>
  <si>
    <t xml:space="preserve">L-0751</t>
  </si>
  <si>
    <t xml:space="preserve">nadia.ivanova@plumeridgefinance.example</t>
  </si>
  <si>
    <t xml:space="preserve">L-0752</t>
  </si>
  <si>
    <t xml:space="preserve">L-0753</t>
  </si>
  <si>
    <t xml:space="preserve">zara726@tempinbox.example</t>
  </si>
  <si>
    <t xml:space="preserve">L-0754</t>
  </si>
  <si>
    <t xml:space="preserve">ananya.nguyen@hollowquaybank.example</t>
  </si>
  <si>
    <t xml:space="preserve">Hollowquay Bank</t>
  </si>
  <si>
    <t xml:space="preserve">https://hollowquaybank.example</t>
  </si>
  <si>
    <t xml:space="preserve">L-0755</t>
  </si>
  <si>
    <t xml:space="preserve">lucas.berg@postbox.example</t>
  </si>
  <si>
    <t xml:space="preserve">L-0756</t>
  </si>
  <si>
    <t xml:space="preserve">Sofia Patel</t>
  </si>
  <si>
    <t xml:space="preserve">sofia.patel@ostrivocommerce.example</t>
  </si>
  <si>
    <t xml:space="preserve">Ostrivo Commerce</t>
  </si>
  <si>
    <t xml:space="preserve">https://ostrivocommerce.example</t>
  </si>
  <si>
    <t xml:space="preserve">L-0757</t>
  </si>
  <si>
    <t xml:space="preserve">L-0758</t>
  </si>
  <si>
    <t xml:space="preserve">L-0759</t>
  </si>
  <si>
    <t xml:space="preserve">fatima.tanaka@quarrytidefinance.example</t>
  </si>
  <si>
    <t xml:space="preserve">Evaluating payouts providers for our remittance app. Can we get a demo and a cost comparison?</t>
  </si>
  <si>
    <t xml:space="preserve">L-0760</t>
  </si>
  <si>
    <t xml:space="preserve">arjun.costa@yarrowtunlabs.example</t>
  </si>
  <si>
    <t xml:space="preserve">L-0761</t>
  </si>
  <si>
    <t xml:space="preserve">L-0762</t>
  </si>
  <si>
    <t xml:space="preserve">Mateo Costa</t>
  </si>
  <si>
    <t xml:space="preserve">mateo823@codewhistleoutsourcing.example</t>
  </si>
  <si>
    <t xml:space="preserve">L-0763</t>
  </si>
  <si>
    <t xml:space="preserve">priya.berg@freemail.example</t>
  </si>
  <si>
    <t xml:space="preserve">Sallowfenn Wallet</t>
  </si>
  <si>
    <t xml:space="preserve">L-0764</t>
  </si>
  <si>
    <t xml:space="preserve">L-0765</t>
  </si>
  <si>
    <t xml:space="preserve">ethan.lee@sallowfennstudio.example</t>
  </si>
  <si>
    <t xml:space="preserve">https://sallowfennstudio.example</t>
  </si>
  <si>
    <t xml:space="preserve">L-0766</t>
  </si>
  <si>
    <t xml:space="preserve">ivan.sharma@letterdrop.example</t>
  </si>
  <si>
    <t xml:space="preserve">L-0767</t>
  </si>
  <si>
    <t xml:space="preserve">lina.novak@marrowgatepay.example</t>
  </si>
  <si>
    <t xml:space="preserve">L-0768</t>
  </si>
  <si>
    <t xml:space="preserve">ananya.berg@postbox.example</t>
  </si>
  <si>
    <t xml:space="preserve">L-0769</t>
  </si>
  <si>
    <t xml:space="preserve">aisha.brown@freemail.example</t>
  </si>
  <si>
    <t xml:space="preserve">We are launching a payroll product and need a managed card issuing setup with go-live in Q2.</t>
  </si>
  <si>
    <t xml:space="preserve">L-0770</t>
  </si>
  <si>
    <t xml:space="preserve">Hana Kim</t>
  </si>
  <si>
    <t xml:space="preserve">hana.kim@zellowmarkwallet.example</t>
  </si>
  <si>
    <t xml:space="preserve">Zellowmark Wallet</t>
  </si>
  <si>
    <t xml:space="preserve">https://zellowmarkwallet.example</t>
  </si>
  <si>
    <t xml:space="preserve">L-0771</t>
  </si>
  <si>
    <t xml:space="preserve">tariq.khan@rushbarrowcapital.example</t>
  </si>
  <si>
    <t xml:space="preserve">L-0772</t>
  </si>
  <si>
    <t xml:space="preserve">L-0773</t>
  </si>
  <si>
    <t xml:space="preserve">ravi.haddad@postbox.example</t>
  </si>
  <si>
    <t xml:space="preserve">L-0774</t>
  </si>
  <si>
    <t xml:space="preserve">hana803@vanishmail.example</t>
  </si>
  <si>
    <t xml:space="preserve">L-0775</t>
  </si>
  <si>
    <t xml:space="preserve">priya.silva@freemail.example</t>
  </si>
  <si>
    <t xml:space="preserve">L-0776</t>
  </si>
  <si>
    <t xml:space="preserve">mei.silva@freemail.example</t>
  </si>
  <si>
    <t xml:space="preserve">L-0777</t>
  </si>
  <si>
    <t xml:space="preserve">sam.brown@rushbarrowfinance.example</t>
  </si>
  <si>
    <t xml:space="preserve">We are launching a remittance product and need a managed virtual accounts setup with go-live in Q2.</t>
  </si>
  <si>
    <t xml:space="preserve">L-0778</t>
  </si>
  <si>
    <t xml:space="preserve">marco.sharma@sallowfennwallet.example</t>
  </si>
  <si>
    <t xml:space="preserve">https://sallowfennwallet.example</t>
  </si>
  <si>
    <t xml:space="preserve">L-0779</t>
  </si>
  <si>
    <t xml:space="preserve">L-0780</t>
  </si>
  <si>
    <t xml:space="preserve">L-0781</t>
  </si>
  <si>
    <t xml:space="preserve">ji-woo.chen@ostrivocommerce.example</t>
  </si>
  <si>
    <t xml:space="preserve">L-0782</t>
  </si>
  <si>
    <t xml:space="preserve">Grace Kim</t>
  </si>
  <si>
    <t xml:space="preserve">grace424@throwaway.example</t>
  </si>
  <si>
    <t xml:space="preserve">L-0783</t>
  </si>
  <si>
    <t xml:space="preserve">marco568@codewhistleoutsourcing.example</t>
  </si>
  <si>
    <t xml:space="preserve">L-0784</t>
  </si>
  <si>
    <t xml:space="preserve">marco25@inboxly.example</t>
  </si>
  <si>
    <t xml:space="preserve">L-0785</t>
  </si>
  <si>
    <t xml:space="preserve">nadia.kim@brindlewickmoney.example</t>
  </si>
  <si>
    <t xml:space="preserve">L-0786</t>
  </si>
  <si>
    <t xml:space="preserve">Ji-woo Novak</t>
  </si>
  <si>
    <t xml:space="preserve">ji-woo.novak@inboxly.example</t>
  </si>
  <si>
    <t xml:space="preserve">L-0787</t>
  </si>
  <si>
    <t xml:space="preserve">hana.kim@zellowmarklabs.example</t>
  </si>
  <si>
    <t xml:space="preserve">L-0788</t>
  </si>
  <si>
    <t xml:space="preserve">L-0789</t>
  </si>
  <si>
    <t xml:space="preserve">daniel.costa@postbox.example</t>
  </si>
  <si>
    <t xml:space="preserve">L-0790</t>
  </si>
  <si>
    <t xml:space="preserve">arjun237@tempinbox.example</t>
  </si>
  <si>
    <t xml:space="preserve">L-0791</t>
  </si>
  <si>
    <t xml:space="preserve">sam.berg@freemail.example</t>
  </si>
  <si>
    <t xml:space="preserve">L-0792</t>
  </si>
  <si>
    <t xml:space="preserve">sofia169@inboxly.example</t>
  </si>
  <si>
    <t xml:space="preserve">L-0793</t>
  </si>
  <si>
    <t xml:space="preserve">lina923@codewhistleoutsourcing.example</t>
  </si>
  <si>
    <t xml:space="preserve">L-0794</t>
  </si>
  <si>
    <t xml:space="preserve">arjun.novak@webmail.example</t>
  </si>
  <si>
    <t xml:space="preserve">L-0795</t>
  </si>
  <si>
    <t xml:space="preserve">Arjun Khan</t>
  </si>
  <si>
    <t xml:space="preserve">arjun40@rankfarrowseoagency.example</t>
  </si>
  <si>
    <t xml:space="preserve">L-0796</t>
  </si>
  <si>
    <t xml:space="preserve">omar.haddad@freemail.example</t>
  </si>
  <si>
    <t xml:space="preserve">L-0797</t>
  </si>
  <si>
    <t xml:space="preserve">lucas817@webmail.example</t>
  </si>
  <si>
    <t xml:space="preserve">L-0798</t>
  </si>
  <si>
    <t xml:space="preserve">ji-woo.nguyen@letterdrop.example</t>
  </si>
  <si>
    <t xml:space="preserve">L-0799</t>
  </si>
  <si>
    <t xml:space="preserve">L-0800</t>
  </si>
  <si>
    <t xml:space="preserve">zara.nguyen@ferrowindcapital.example</t>
  </si>
  <si>
    <t xml:space="preserve">Phase 0 Audit and Baselines (dummy data)</t>
  </si>
  <si>
    <t xml:space="preserve">All figures are formulas on the Leads tab. Qualified+ = Qualified + Won + Lost. Resolved genuine = Unqualified + Qualified + Won + Lost.</t>
  </si>
  <si>
    <t xml:space="preserve">Headline</t>
  </si>
  <si>
    <t xml:space="preserve">Total leads</t>
  </si>
  <si>
    <t xml:space="preserve">Tagged as Spam</t>
  </si>
  <si>
    <t xml:space="preserve">Spam share of tagged leads</t>
  </si>
  <si>
    <t xml:space="preserve">Never tagged (no status)</t>
  </si>
  <si>
    <t xml:space="preserve">Share never tagged</t>
  </si>
  <si>
    <t xml:space="preserve">Reached Qualified+</t>
  </si>
  <si>
    <t xml:space="preserve">Qualification rate of resolved genuine leads</t>
  </si>
  <si>
    <t xml:space="preserve">Win rate of closed opportunities (Won / (Won + Lost))</t>
  </si>
  <si>
    <t xml:space="preserve">Won deal value (USD)</t>
  </si>
  <si>
    <t xml:space="preserve">Avg first response, all leads (hrs)</t>
  </si>
  <si>
    <t xml:space="preserve">Avg first response, leads that became Qualified+ (hrs)</t>
  </si>
  <si>
    <t xml:space="preserve">Qualified+ leads answered within 2 hrs</t>
  </si>
  <si>
    <t xml:space="preserve">Minutes spent per spam lead (assumption)</t>
  </si>
  <si>
    <t xml:space="preserve">Est. sales hours spent on tagged spam</t>
  </si>
  <si>
    <t xml:space="preserve">By source</t>
  </si>
  <si>
    <t xml:space="preserve">Leads</t>
  </si>
  <si>
    <t xml:space="preserve">Tagged Spam</t>
  </si>
  <si>
    <t xml:space="preserve">Spam % of tagged</t>
  </si>
  <si>
    <t xml:space="preserve">Never tagged %</t>
  </si>
  <si>
    <t xml:space="preserve">Qualified+</t>
  </si>
  <si>
    <t xml:space="preserve">Qualification rate</t>
  </si>
  <si>
    <t xml:space="preserve">Won value (USD)</t>
  </si>
  <si>
    <t xml:space="preserve">Total</t>
  </si>
  <si>
    <t xml:space="preserve">By month (logging gap check)</t>
  </si>
  <si>
    <t xml:space="preserve">Month</t>
  </si>
  <si>
    <t xml:space="preserve">Never tagged</t>
  </si>
  <si>
    <t xml:space="preserve">By email type (signal strength check)</t>
  </si>
  <si>
    <t xml:space="preserve">Email type</t>
  </si>
  <si>
    <t xml:space="preserve">By product interest</t>
  </si>
  <si>
    <t xml:space="preserve">Product interest</t>
  </si>
  <si>
    <t xml:space="preserve">Spam Rules v1 (evaluated on tagged leads only). Free-email and duplicate rules switched off after v0 showed low precision</t>
  </si>
  <si>
    <t xml:space="preserve">Spam threshold (rule score at or above = Likely Spam)</t>
  </si>
  <si>
    <t xml:space="preserve">Rule</t>
  </si>
  <si>
    <t xml:space="preserve">Flag column</t>
  </si>
  <si>
    <t xml:space="preserve">Leads flagged</t>
  </si>
  <si>
    <t xml:space="preserve">Flagged &amp; tagged Spam</t>
  </si>
  <si>
    <t xml:space="preserve">Flagged &amp; tagged Genuine</t>
  </si>
  <si>
    <t xml:space="preserve">Precision</t>
  </si>
  <si>
    <t xml:space="preserve">Recall (of tagged Spam)</t>
  </si>
  <si>
    <t xml:space="preserve">Use in verdict (1 = on, 0 = off)</t>
  </si>
  <si>
    <t xml:space="preserve">Disposable email domain</t>
  </si>
  <si>
    <t xml:space="preserve">Q</t>
  </si>
  <si>
    <t xml:space="preserve">Vendor / scam keyword in message</t>
  </si>
  <si>
    <t xml:space="preserve">R</t>
  </si>
  <si>
    <t xml:space="preserve">Free email and no company</t>
  </si>
  <si>
    <t xml:space="preserve">S</t>
  </si>
  <si>
    <t xml:space="preserve">Very short message (under 15 chars)</t>
  </si>
  <si>
    <t xml:space="preserve">T</t>
  </si>
  <si>
    <t xml:space="preserve">Duplicate email</t>
  </si>
  <si>
    <t xml:space="preserve">U</t>
  </si>
  <si>
    <t xml:space="preserve">Combined verdict = Likely Spam</t>
  </si>
  <si>
    <t xml:space="preserve">W</t>
  </si>
  <si>
    <t xml:space="preserve">Untagged leads the rules would quarantine</t>
  </si>
  <si>
    <t xml:space="preserve">Genuine leads wrongly flagged, as share of all flagged tagged leads (PRD guardrail under 2%)</t>
  </si>
  <si>
    <t xml:space="preserve">Reading this: precision = of flagged tagged leads, how many were really spam. Recall = share of all tagged spam the rule catches.</t>
  </si>
  <si>
    <t xml:space="preserve">A good spam gate needs very high precision first, because a quarantined good lead is the costliest mistake.</t>
  </si>
  <si>
    <t xml:space="preserve">Keyword list (edit freely, used by Flag: Vendor/Scam Keyword)</t>
  </si>
  <si>
    <t xml:space="preserve">Keyword</t>
  </si>
  <si>
    <t xml:space="preserve">backlink</t>
  </si>
  <si>
    <t xml:space="preserve">guest post</t>
  </si>
  <si>
    <t xml:space="preserve">listing</t>
  </si>
  <si>
    <t xml:space="preserve">investment opportunity</t>
  </si>
  <si>
    <t xml:space="preserve">returns</t>
  </si>
  <si>
    <t xml:space="preserve">cashback reward</t>
  </si>
  <si>
    <t xml:space="preserve">telegram members</t>
  </si>
  <si>
    <t xml:space="preserve">followers</t>
  </si>
  <si>
    <t xml:space="preserve">influencer</t>
  </si>
  <si>
    <t xml:space="preserve">dev agency</t>
  </si>
  <si>
    <t xml:space="preserve">low rates</t>
  </si>
  <si>
    <t xml:space="preserve">seo</t>
  </si>
  <si>
    <t xml:space="preserve">claim your</t>
  </si>
  <si>
    <t xml:space="preserve">guaranteed</t>
  </si>
  <si>
    <t xml:space="preserve">Phase 2 Scoring Model (transparent points, draft weights to review with sales)</t>
  </si>
  <si>
    <t xml:space="preserve">Only leads that pass the spam gate get a score. Edit any blue-on-yellow cell and every score, bucket and result below updates.</t>
  </si>
  <si>
    <t xml:space="preserve">Points</t>
  </si>
  <si>
    <t xml:space="preserve">Engagement, intent and buckets</t>
  </si>
  <si>
    <t xml:space="preserve">Pages visited, high engagement threshold</t>
  </si>
  <si>
    <t xml:space="preserve">Points for high engagement</t>
  </si>
  <si>
    <t xml:space="preserve">Buying-intent keywords</t>
  </si>
  <si>
    <t xml:space="preserve">Negative-intent keywords</t>
  </si>
  <si>
    <t xml:space="preserve">Pages visited, medium engagement threshold</t>
  </si>
  <si>
    <t xml:space="preserve">timeline</t>
  </si>
  <si>
    <t xml:space="preserve">student</t>
  </si>
  <si>
    <t xml:space="preserve">Points for medium engagement</t>
  </si>
  <si>
    <t xml:space="preserve">go-live</t>
  </si>
  <si>
    <t xml:space="preserve">hiring</t>
  </si>
  <si>
    <t xml:space="preserve">Points if message shows buying intent</t>
  </si>
  <si>
    <t xml:space="preserve">pricing</t>
  </si>
  <si>
    <t xml:space="preserve">thesis</t>
  </si>
  <si>
    <t xml:space="preserve">Points if message shows negative intent</t>
  </si>
  <si>
    <t xml:space="preserve">quote</t>
  </si>
  <si>
    <t xml:space="preserve">learn</t>
  </si>
  <si>
    <t xml:space="preserve">Scores below the Warm minimum fall into Nurture.</t>
  </si>
  <si>
    <t xml:space="preserve">demo</t>
  </si>
  <si>
    <t xml:space="preserve">free account</t>
  </si>
  <si>
    <t xml:space="preserve">Hot bucket, minimum score</t>
  </si>
  <si>
    <t xml:space="preserve">raised</t>
  </si>
  <si>
    <t xml:space="preserve">personal</t>
  </si>
  <si>
    <t xml:space="preserve">Warm bucket, minimum score</t>
  </si>
  <si>
    <t xml:space="preserve">sla</t>
  </si>
  <si>
    <t xml:space="preserve">exploring</t>
  </si>
  <si>
    <t xml:space="preserve">migrating</t>
  </si>
  <si>
    <t xml:space="preserve">openings</t>
  </si>
  <si>
    <t xml:space="preserve">launch</t>
  </si>
  <si>
    <t xml:space="preserve">sandbox</t>
  </si>
  <si>
    <t xml:space="preserve">Keep lists free of blank cells inside the range, a blank matches every message.</t>
  </si>
  <si>
    <t xml:space="preserve">Results on tagged leads (how well the buckets separate)</t>
  </si>
  <si>
    <t xml:space="preserve">Resolved (tagged outcome)</t>
  </si>
  <si>
    <t xml:space="preserve">Share of all Qualified+</t>
  </si>
  <si>
    <t xml:space="preserve">Hot</t>
  </si>
  <si>
    <t xml:space="preserve">Warm</t>
  </si>
  <si>
    <t xml:space="preserve">Nurture</t>
  </si>
  <si>
    <t xml:space="preserve">PRD primary metric check</t>
  </si>
  <si>
    <t xml:space="preserve">Score at the 80th percentile of scored leads (top 20% cut-off)</t>
  </si>
  <si>
    <t xml:space="preserve">Share of all Qualified+ leads that sit in the top 20% of scores (target at least 50%)</t>
  </si>
  <si>
    <t xml:space="preserve">Qualified+ leads caught by the spam gate (should be 0)</t>
  </si>
  <si>
    <t xml:space="preserve">Caution. These weights were drafted from the same dummy data they are tested on, so results are optimistic. With real data, set weights with sales, then test on a later time period.</t>
  </si>
  <si>
    <t xml:space="preserve">Phase 3 Conversion Model (logistic regression, weights learned from outcomes)</t>
  </si>
  <si>
    <t xml:space="preserve">Weights below come from train_model.py. Paste new weights here after each retrain and every probability in Leads column AG updates.</t>
  </si>
  <si>
    <t xml:space="preserve">Learned weights</t>
  </si>
  <si>
    <t xml:space="preserve">Intercept (starting point)</t>
  </si>
  <si>
    <t xml:space="preserve">Weight</t>
  </si>
  <si>
    <t xml:space="preserve">Product group</t>
  </si>
  <si>
    <t xml:space="preserve">Payments</t>
  </si>
  <si>
    <t xml:space="preserve">Lending</t>
  </si>
  <si>
    <t xml:space="preserve">Other signal</t>
  </si>
  <si>
    <t xml:space="preserve">Per page visited (capped at 15)</t>
  </si>
  <si>
    <t xml:space="preserve">Buying intent in message</t>
  </si>
  <si>
    <t xml:space="preserve">Negative intent in message</t>
  </si>
  <si>
    <t xml:space="preserve">Intent keywords are the same lists as the Scoring Model tab.</t>
  </si>
  <si>
    <t xml:space="preserve">Out-of-time test (trained on Oct 2025 to Jun 2026, tested on Jul to Sep 2026)</t>
  </si>
  <si>
    <t xml:space="preserve">Measure</t>
  </si>
  <si>
    <t xml:space="preserve">Phase 3 model</t>
  </si>
  <si>
    <t xml:space="preserve">Phase 2 points</t>
  </si>
  <si>
    <t xml:space="preserve">Ranking quality, AUC (1.0 = perfect, 0.5 = random)</t>
  </si>
  <si>
    <t xml:space="preserve">Share of qualified leads in top 20% of scores</t>
  </si>
  <si>
    <t xml:space="preserve">Probability error, Brier score (lower is better)</t>
  </si>
  <si>
    <t xml:space="preserve">n/a</t>
  </si>
  <si>
    <t xml:space="preserve">Brier score if we guessed the average rate for everyone</t>
  </si>
  <si>
    <t xml:space="preserve">Test set is small (83 resolved leads, 245 for training). Values computed by train_model.py, not live formulas.</t>
  </si>
  <si>
    <t xml:space="preserve">Calibration check on all resolved leads (live, in-sample)</t>
  </si>
  <si>
    <t xml:space="preserve">Predicted probability band</t>
  </si>
  <si>
    <t xml:space="preserve">Low</t>
  </si>
  <si>
    <t xml:space="preserve">High</t>
  </si>
  <si>
    <t xml:space="preserve">Resolved leads</t>
  </si>
  <si>
    <t xml:space="preserve">Avg predicted</t>
  </si>
  <si>
    <t xml:space="preserve">Actual qualified rate</t>
  </si>
  <si>
    <t xml:space="preserve">0% to 20%</t>
  </si>
  <si>
    <t xml:space="preserve">20% to 40%</t>
  </si>
  <si>
    <t xml:space="preserve">40% to 60%</t>
  </si>
  <si>
    <t xml:space="preserve">60% to 80%</t>
  </si>
  <si>
    <t xml:space="preserve">80% to 100%</t>
  </si>
  <si>
    <t xml:space="preserve">Well calibrated means Avg predicted and Actual qualified rate are close in each band. Bands with few leads are noisy.</t>
  </si>
  <si>
    <t xml:space="preserve">Manual Label</t>
  </si>
  <si>
    <t xml:space="preserve">Notes</t>
  </si>
  <si>
    <t xml:space="preserve">True Label</t>
  </si>
  <si>
    <t xml:space="preserve">Match</t>
  </si>
  <si>
    <t xml:space="preserve">Labeled so far</t>
  </si>
  <si>
    <t xml:space="preserve">Genuine - will not qualify</t>
  </si>
  <si>
    <t xml:space="preserve">Accuracy</t>
  </si>
  <si>
    <t xml:space="preserve">Genuine - will qualify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</si>
</sst>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\ hh:mm"/>
    <numFmt numFmtId="166" formatCode="\$#,##0"/>
    <numFmt numFmtId="167" formatCode="0.0%"/>
    <numFmt numFmtId="168" formatCode="0"/>
    <numFmt numFmtId="169" formatCode="0.0"/>
    <numFmt numFmtId="170" formatCode="mmm\ yyyy"/>
    <numFmt numFmtId="171" formatCode="0.000"/>
    <numFmt numFmtId="172" formatCode="0%"/>
    <numFmt numFmtId="173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385723"/>
        <bgColor rgb="FF33330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85723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5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7"/>
    <col collapsed="false" customWidth="true" hidden="false" outlineLevel="0" max="3" min="3" style="1" width="20"/>
    <col collapsed="false" customWidth="true" hidden="false" outlineLevel="0" max="4" min="4" style="1" width="17"/>
    <col collapsed="false" customWidth="true" hidden="false" outlineLevel="0" max="5" min="5" style="1" width="30"/>
    <col collapsed="false" customWidth="true" hidden="false" outlineLevel="0" max="6" min="6" style="1" width="11"/>
    <col collapsed="false" customWidth="true" hidden="false" outlineLevel="0" max="7" min="7" style="1" width="20"/>
    <col collapsed="false" customWidth="true" hidden="false" outlineLevel="0" max="8" min="8" style="1" width="26"/>
    <col collapsed="false" customWidth="true" hidden="false" outlineLevel="0" max="9" min="9" style="1" width="12"/>
    <col collapsed="false" customWidth="true" hidden="false" outlineLevel="0" max="10" min="10" style="1" width="22"/>
    <col collapsed="false" customWidth="true" hidden="false" outlineLevel="0" max="11" min="11" style="1" width="60"/>
    <col collapsed="false" customWidth="true" hidden="false" outlineLevel="0" max="12" min="12" style="1" width="9"/>
    <col collapsed="false" customWidth="true" hidden="false" outlineLevel="0" max="14" min="13" style="1" width="11"/>
    <col collapsed="false" customWidth="true" hidden="false" outlineLevel="0" max="16" min="15" style="1" width="12"/>
    <col collapsed="false" customWidth="true" hidden="false" outlineLevel="0" max="21" min="17" style="1" width="11"/>
    <col collapsed="false" customWidth="true" hidden="false" outlineLevel="0" max="22" min="22" style="1" width="8"/>
    <col collapsed="false" customWidth="true" hidden="false" outlineLevel="0" max="23" min="23" style="1" width="12"/>
    <col collapsed="false" customWidth="true" hidden="false" outlineLevel="0" max="26" min="24" style="1" width="9"/>
    <col collapsed="false" customWidth="true" hidden="false" outlineLevel="0" max="27" min="27" style="1" width="11"/>
    <col collapsed="false" customWidth="true" hidden="false" outlineLevel="0" max="30" min="28" style="1" width="9"/>
    <col collapsed="false" customWidth="true" hidden="false" outlineLevel="0" max="31" min="31" style="1" width="10"/>
    <col collapsed="false" customWidth="true" hidden="false" outlineLevel="0" max="32" min="32" style="1" width="48"/>
    <col collapsed="false" customWidth="true" hidden="false" outlineLevel="0" max="33" min="33" style="1" width="12"/>
    <col collapsed="false" customWidth="true" hidden="false" outlineLevel="0" max="34" min="34" style="1" width="16"/>
  </cols>
  <sheetData>
    <row r="1" customFormat="false" ht="4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7" t="s">
        <v>39</v>
      </c>
      <c r="Y1" s="7" t="s">
        <v>40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8" t="s">
        <v>48</v>
      </c>
      <c r="AH1" s="8" t="s">
        <v>49</v>
      </c>
    </row>
    <row r="2" customFormat="false" ht="15" hidden="false" customHeight="true" outlineLevel="0" collapsed="false">
      <c r="A2" s="3" t="s">
        <v>50</v>
      </c>
      <c r="B2" s="9" t="n">
        <v>45931.6555555556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/>
      <c r="I2" s="3" t="s">
        <v>56</v>
      </c>
      <c r="J2" s="3" t="s">
        <v>57</v>
      </c>
      <c r="K2" s="3" t="s">
        <v>58</v>
      </c>
      <c r="L2" s="3" t="n">
        <v>3</v>
      </c>
      <c r="M2" s="3" t="n">
        <v>26</v>
      </c>
      <c r="N2" s="3" t="s">
        <v>59</v>
      </c>
      <c r="O2" s="3"/>
      <c r="P2" s="10"/>
      <c r="Q2" s="3" t="n">
        <f aca="false">IF(F2="Disposable",1,0)</f>
        <v>0</v>
      </c>
      <c r="R2" s="3" t="n">
        <f aca="false">IF(SUMPRODUCT(--ISNUMBER(SEARCH('Spam Rules'!$A$22:$A$35,K2)))&gt;0,1,0)</f>
        <v>0</v>
      </c>
      <c r="S2" s="3" t="n">
        <f aca="false">IF(AND(F2="Free",G2=""),1,0)</f>
        <v>0</v>
      </c>
      <c r="T2" s="3" t="n">
        <f aca="false">IF(LEN(TRIM(K2))&lt;15,1,0)</f>
        <v>0</v>
      </c>
      <c r="U2" s="3" t="n">
        <f aca="false">IF(COUNTIF($E$2:$E$801,E2)&gt;1,1,0)</f>
        <v>0</v>
      </c>
      <c r="V2" s="3" t="n">
        <f aca="false">Q2*'Spam Rules'!$H$6+R2*'Spam Rules'!$H$7+S2*'Spam Rules'!$H$8+T2*'Spam Rules'!$H$9+U2*'Spam Rules'!$H$10</f>
        <v>0</v>
      </c>
      <c r="W2" s="3" t="str">
        <f aca="false">IF(V2&gt;='Spam Rules'!$B$3,"Likely Spam","Genuine")</f>
        <v>Genuine</v>
      </c>
      <c r="X2" s="3" t="n">
        <f aca="false">IFERROR(INDEX('Scoring Model'!$B$5:$B$11,MATCH(C2,'Scoring Model'!$A$5:$A$11,0)),0)</f>
        <v>10</v>
      </c>
      <c r="Y2" s="3" t="n">
        <f aca="false">IFERROR(INDEX('Scoring Model'!$E$5:$E$7,MATCH(F2,'Scoring Model'!$D$5:$D$7,0)),0)</f>
        <v>0</v>
      </c>
      <c r="Z2" s="3" t="n">
        <f aca="false">IFERROR(INDEX('Scoring Model'!$H$5:$H$13,MATCH(J2,'Scoring Model'!$G$5:$G$13,0)),0)</f>
        <v>15</v>
      </c>
      <c r="AA2" s="3" t="n">
        <f aca="false">IF(L2&gt;='Scoring Model'!$B$14,'Scoring Model'!$B$15,IF(L2&gt;='Scoring Model'!$B$16,'Scoring Model'!$B$17,0))</f>
        <v>0</v>
      </c>
      <c r="AB2" s="3" t="n">
        <f aca="false">IF(SUMPRODUCT(--ISNUMBER(SEARCH('Scoring Model'!$D$16:$D$25,K2)))&gt;0,'Scoring Model'!$B$18,0)</f>
        <v>15</v>
      </c>
      <c r="AC2" s="3" t="n">
        <f aca="false">IF(SUMPRODUCT(--ISNUMBER(SEARCH('Scoring Model'!$G$16:$G$23,K2)))&gt;0,'Scoring Model'!$B$19,0)</f>
        <v>0</v>
      </c>
      <c r="AD2" s="3" t="n">
        <f aca="false">IF(W2="Likely Spam","",SUM(X2:AC2))</f>
        <v>40</v>
      </c>
      <c r="AE2" s="3" t="str">
        <f aca="false">IF(W2="Likely Spam","Spam",IF(AD2&gt;='Scoring Model'!$B$21,"Hot",IF(AD2&gt;='Scoring Model'!$B$22,"Warm","Nurture")))</f>
        <v>Nurture</v>
      </c>
      <c r="AF2" s="3" t="str">
        <f aca="false">IF(W2="Likely Spam","Flagged by spam rules",TRIM(IF(X2&gt;=20,"Strong source. ","")&amp;IF(Y2&gt;0,"Company email. ","")&amp;IF(Z2&gt;=15,"High-value product. ","")&amp;IF(AA2&gt;='Scoring Model'!$B$15,"High engagement. ","")&amp;IF(AB2&gt;0,"Buying intent in message. ","")&amp;IF(AC2&lt;0,"Negative intent in message. ","")))</f>
        <v>High-value product. Buying intent in message.</v>
      </c>
      <c r="AG2" s="11" t="n">
        <f aca="false">IF(W2="Likely Spam","",1/(1+EXP(-('Conversion Model'!$B$5+IFERROR(INDEX('Conversion Model'!$B$8:$B$14,MATCH(C2,'Conversion Model'!$A$8:$A$14,0)),0)+IFERROR(INDEX('Conversion Model'!$E$8:$E$9,MATCH(F2,'Conversion Model'!$D$8:$D$9,0)),0)+IFERROR(INDEX('Conversion Model'!$H$8:$H$12,MATCH(IF(LEFT(J2,8)="Payments","Payments",IF(LEFT(J2,7)="Lending","Lending",J2)),'Conversion Model'!$G$8:$G$12,0)),0)+MIN(L2,15)*'Conversion Model'!$B$17+IF(SUMPRODUCT(--ISNUMBER(SEARCH('Scoring Model'!$D$16:$D$25,K2)))&gt;0,'Conversion Model'!$B$18,0)+IF(SUMPRODUCT(--ISNUMBER(SEARCH('Scoring Model'!$G$16:$G$23,K2)))&gt;0,'Conversion Model'!$B$19,0)))))</f>
        <v>0.154465265083535</v>
      </c>
      <c r="AH2" s="3" t="str">
        <f aca="false">IF(OR(O2="Qualified",O2="Won",O2="Lost"),1,IF(O2="Unqualified",0,""))</f>
        <v/>
      </c>
    </row>
    <row r="3" customFormat="false" ht="15" hidden="false" customHeight="true" outlineLevel="0" collapsed="false">
      <c r="A3" s="3" t="s">
        <v>60</v>
      </c>
      <c r="B3" s="9" t="n">
        <v>45931.7666666667</v>
      </c>
      <c r="C3" s="3" t="s">
        <v>51</v>
      </c>
      <c r="D3" s="3" t="s">
        <v>61</v>
      </c>
      <c r="E3" s="3" t="s">
        <v>62</v>
      </c>
      <c r="F3" s="3" t="s">
        <v>63</v>
      </c>
      <c r="G3" s="3"/>
      <c r="H3" s="3"/>
      <c r="I3" s="3" t="s">
        <v>64</v>
      </c>
      <c r="J3" s="3" t="s">
        <v>65</v>
      </c>
      <c r="K3" s="3" t="s">
        <v>66</v>
      </c>
      <c r="L3" s="3" t="n">
        <v>1</v>
      </c>
      <c r="M3" s="3"/>
      <c r="N3" s="3" t="s">
        <v>67</v>
      </c>
      <c r="O3" s="3" t="s">
        <v>68</v>
      </c>
      <c r="P3" s="10"/>
      <c r="Q3" s="3" t="n">
        <f aca="false">IF(F3="Disposable",1,0)</f>
        <v>1</v>
      </c>
      <c r="R3" s="3" t="n">
        <f aca="false">IF(SUMPRODUCT(--ISNUMBER(SEARCH('Spam Rules'!$A$22:$A$35,K3)))&gt;0,1,0)</f>
        <v>1</v>
      </c>
      <c r="S3" s="3" t="n">
        <f aca="false">IF(AND(F3="Free",G3=""),1,0)</f>
        <v>0</v>
      </c>
      <c r="T3" s="3" t="n">
        <f aca="false">IF(LEN(TRIM(K3))&lt;15,1,0)</f>
        <v>0</v>
      </c>
      <c r="U3" s="3" t="n">
        <f aca="false">IF(COUNTIF($E$2:$E$801,E3)&gt;1,1,0)</f>
        <v>1</v>
      </c>
      <c r="V3" s="3" t="n">
        <f aca="false">Q3*'Spam Rules'!$H$6+R3*'Spam Rules'!$H$7+S3*'Spam Rules'!$H$8+T3*'Spam Rules'!$H$9+U3*'Spam Rules'!$H$10</f>
        <v>2</v>
      </c>
      <c r="W3" s="3" t="str">
        <f aca="false">IF(V3&gt;='Spam Rules'!$B$3,"Likely Spam","Genuine")</f>
        <v>Likely Spam</v>
      </c>
      <c r="X3" s="3" t="n">
        <f aca="false">IFERROR(INDEX('Scoring Model'!$B$5:$B$11,MATCH(C3,'Scoring Model'!$A$5:$A$11,0)),0)</f>
        <v>10</v>
      </c>
      <c r="Y3" s="3" t="n">
        <f aca="false">IFERROR(INDEX('Scoring Model'!$E$5:$E$7,MATCH(F3,'Scoring Model'!$D$5:$D$7,0)),0)</f>
        <v>0</v>
      </c>
      <c r="Z3" s="3" t="n">
        <f aca="false">IFERROR(INDEX('Scoring Model'!$H$5:$H$13,MATCH(J3,'Scoring Model'!$G$5:$G$13,0)),0)</f>
        <v>0</v>
      </c>
      <c r="AA3" s="3" t="n">
        <f aca="false">IF(L3&gt;='Scoring Model'!$B$14,'Scoring Model'!$B$15,IF(L3&gt;='Scoring Model'!$B$16,'Scoring Model'!$B$17,0))</f>
        <v>0</v>
      </c>
      <c r="AB3" s="3" t="n">
        <f aca="false">IF(SUMPRODUCT(--ISNUMBER(SEARCH('Scoring Model'!$D$16:$D$25,K3)))&gt;0,'Scoring Model'!$B$18,0)</f>
        <v>0</v>
      </c>
      <c r="AC3" s="3" t="n">
        <f aca="false">IF(SUMPRODUCT(--ISNUMBER(SEARCH('Scoring Model'!$G$16:$G$23,K3)))&gt;0,'Scoring Model'!$B$19,0)</f>
        <v>0</v>
      </c>
      <c r="AD3" s="3" t="str">
        <f aca="false">IF(W3="Likely Spam","",SUM(X3:AC3))</f>
        <v/>
      </c>
      <c r="AE3" s="3" t="str">
        <f aca="false">IF(W3="Likely Spam","Spam",IF(AD3&gt;='Scoring Model'!$B$21,"Hot",IF(AD3&gt;='Scoring Model'!$B$22,"Warm","Nurture")))</f>
        <v>Spam</v>
      </c>
      <c r="AF3" s="3" t="str">
        <f aca="false">IF(W3="Likely Spam","Flagged by spam rules",TRIM(IF(X3&gt;=20,"Strong source. ","")&amp;IF(Y3&gt;0,"Company email. ","")&amp;IF(Z3&gt;=15,"High-value product. ","")&amp;IF(AA3&gt;='Scoring Model'!$B$15,"High engagement. ","")&amp;IF(AB3&gt;0,"Buying intent in message. ","")&amp;IF(AC3&lt;0,"Negative intent in message. ","")))</f>
        <v>Flagged by spam rules</v>
      </c>
      <c r="AG3" s="11" t="str">
        <f aca="false">IF(W3="Likely Spam","",1/(1+EXP(-('Conversion Model'!$B$5+IFERROR(INDEX('Conversion Model'!$B$8:$B$14,MATCH(C3,'Conversion Model'!$A$8:$A$14,0)),0)+IFERROR(INDEX('Conversion Model'!$E$8:$E$9,MATCH(F3,'Conversion Model'!$D$8:$D$9,0)),0)+IFERROR(INDEX('Conversion Model'!$H$8:$H$12,MATCH(IF(LEFT(J3,8)="Payments","Payments",IF(LEFT(J3,7)="Lending","Lending",J3)),'Conversion Model'!$G$8:$G$12,0)),0)+MIN(L3,15)*'Conversion Model'!$B$17+IF(SUMPRODUCT(--ISNUMBER(SEARCH('Scoring Model'!$D$16:$D$25,K3)))&gt;0,'Conversion Model'!$B$18,0)+IF(SUMPRODUCT(--ISNUMBER(SEARCH('Scoring Model'!$G$16:$G$23,K3)))&gt;0,'Conversion Model'!$B$19,0)))))</f>
        <v/>
      </c>
      <c r="AH3" s="3" t="str">
        <f aca="false">IF(OR(O3="Qualified",O3="Won",O3="Lost"),1,IF(O3="Unqualified",0,""))</f>
        <v/>
      </c>
    </row>
    <row r="4" customFormat="false" ht="15" hidden="false" customHeight="true" outlineLevel="0" collapsed="false">
      <c r="A4" s="3" t="s">
        <v>69</v>
      </c>
      <c r="B4" s="9" t="n">
        <v>45931.9263888889</v>
      </c>
      <c r="C4" s="3" t="s">
        <v>51</v>
      </c>
      <c r="D4" s="3" t="s">
        <v>70</v>
      </c>
      <c r="E4" s="3" t="s">
        <v>71</v>
      </c>
      <c r="F4" s="3" t="s">
        <v>54</v>
      </c>
      <c r="G4" s="3" t="s">
        <v>72</v>
      </c>
      <c r="H4" s="3"/>
      <c r="I4" s="3" t="s">
        <v>73</v>
      </c>
      <c r="J4" s="3" t="s">
        <v>65</v>
      </c>
      <c r="K4" s="3" t="s">
        <v>74</v>
      </c>
      <c r="L4" s="3" t="n">
        <v>2</v>
      </c>
      <c r="M4" s="3" t="n">
        <v>1.5</v>
      </c>
      <c r="N4" s="3" t="s">
        <v>59</v>
      </c>
      <c r="O4" s="3"/>
      <c r="P4" s="10"/>
      <c r="Q4" s="3" t="n">
        <f aca="false">IF(F4="Disposable",1,0)</f>
        <v>0</v>
      </c>
      <c r="R4" s="3" t="n">
        <f aca="false">IF(SUMPRODUCT(--ISNUMBER(SEARCH('Spam Rules'!$A$22:$A$35,K4)))&gt;0,1,0)</f>
        <v>0</v>
      </c>
      <c r="S4" s="3" t="n">
        <f aca="false">IF(AND(F4="Free",G4=""),1,0)</f>
        <v>0</v>
      </c>
      <c r="T4" s="3" t="n">
        <f aca="false">IF(LEN(TRIM(K4))&lt;15,1,0)</f>
        <v>0</v>
      </c>
      <c r="U4" s="3" t="n">
        <f aca="false">IF(COUNTIF($E$2:$E$801,E4)&gt;1,1,0)</f>
        <v>0</v>
      </c>
      <c r="V4" s="3" t="n">
        <f aca="false">Q4*'Spam Rules'!$H$6+R4*'Spam Rules'!$H$7+S4*'Spam Rules'!$H$8+T4*'Spam Rules'!$H$9+U4*'Spam Rules'!$H$10</f>
        <v>0</v>
      </c>
      <c r="W4" s="3" t="str">
        <f aca="false">IF(V4&gt;='Spam Rules'!$B$3,"Likely Spam","Genuine")</f>
        <v>Genuine</v>
      </c>
      <c r="X4" s="3" t="n">
        <f aca="false">IFERROR(INDEX('Scoring Model'!$B$5:$B$11,MATCH(C4,'Scoring Model'!$A$5:$A$11,0)),0)</f>
        <v>10</v>
      </c>
      <c r="Y4" s="3" t="n">
        <f aca="false">IFERROR(INDEX('Scoring Model'!$E$5:$E$7,MATCH(F4,'Scoring Model'!$D$5:$D$7,0)),0)</f>
        <v>0</v>
      </c>
      <c r="Z4" s="3" t="n">
        <f aca="false">IFERROR(INDEX('Scoring Model'!$H$5:$H$13,MATCH(J4,'Scoring Model'!$G$5:$G$13,0)),0)</f>
        <v>0</v>
      </c>
      <c r="AA4" s="3" t="n">
        <f aca="false">IF(L4&gt;='Scoring Model'!$B$14,'Scoring Model'!$B$15,IF(L4&gt;='Scoring Model'!$B$16,'Scoring Model'!$B$17,0))</f>
        <v>0</v>
      </c>
      <c r="AB4" s="3" t="n">
        <f aca="false">IF(SUMPRODUCT(--ISNUMBER(SEARCH('Scoring Model'!$D$16:$D$25,K4)))&gt;0,'Scoring Model'!$B$18,0)</f>
        <v>0</v>
      </c>
      <c r="AC4" s="3" t="n">
        <f aca="false">IF(SUMPRODUCT(--ISNUMBER(SEARCH('Scoring Model'!$G$16:$G$23,K4)))&gt;0,'Scoring Model'!$B$19,0)</f>
        <v>-30</v>
      </c>
      <c r="AD4" s="3" t="n">
        <f aca="false">IF(W4="Likely Spam","",SUM(X4:AC4))</f>
        <v>-20</v>
      </c>
      <c r="AE4" s="3" t="str">
        <f aca="false">IF(W4="Likely Spam","Spam",IF(AD4&gt;='Scoring Model'!$B$21,"Hot",IF(AD4&gt;='Scoring Model'!$B$22,"Warm","Nurture")))</f>
        <v>Nurture</v>
      </c>
      <c r="AF4" s="3" t="str">
        <f aca="false">IF(W4="Likely Spam","Flagged by spam rules",TRIM(IF(X4&gt;=20,"Strong source. ","")&amp;IF(Y4&gt;0,"Company email. ","")&amp;IF(Z4&gt;=15,"High-value product. ","")&amp;IF(AA4&gt;='Scoring Model'!$B$15,"High engagement. ","")&amp;IF(AB4&gt;0,"Buying intent in message. ","")&amp;IF(AC4&lt;0,"Negative intent in message. ","")))</f>
        <v>Negative intent in message.</v>
      </c>
      <c r="AG4" s="11" t="n">
        <f aca="false">IF(W4="Likely Spam","",1/(1+EXP(-('Conversion Model'!$B$5+IFERROR(INDEX('Conversion Model'!$B$8:$B$14,MATCH(C4,'Conversion Model'!$A$8:$A$14,0)),0)+IFERROR(INDEX('Conversion Model'!$E$8:$E$9,MATCH(F4,'Conversion Model'!$D$8:$D$9,0)),0)+IFERROR(INDEX('Conversion Model'!$H$8:$H$12,MATCH(IF(LEFT(J4,8)="Payments","Payments",IF(LEFT(J4,7)="Lending","Lending",J4)),'Conversion Model'!$G$8:$G$12,0)),0)+MIN(L4,15)*'Conversion Model'!$B$17+IF(SUMPRODUCT(--ISNUMBER(SEARCH('Scoring Model'!$D$16:$D$25,K4)))&gt;0,'Conversion Model'!$B$18,0)+IF(SUMPRODUCT(--ISNUMBER(SEARCH('Scoring Model'!$G$16:$G$23,K4)))&gt;0,'Conversion Model'!$B$19,0)))))</f>
        <v>0.00206615004004548</v>
      </c>
      <c r="AH4" s="3" t="str">
        <f aca="false">IF(OR(O4="Qualified",O4="Won",O4="Lost"),1,IF(O4="Unqualified",0,""))</f>
        <v/>
      </c>
    </row>
    <row r="5" customFormat="false" ht="15" hidden="false" customHeight="true" outlineLevel="0" collapsed="false">
      <c r="A5" s="3" t="s">
        <v>75</v>
      </c>
      <c r="B5" s="9" t="n">
        <v>45934.1854166667</v>
      </c>
      <c r="C5" s="3" t="s">
        <v>76</v>
      </c>
      <c r="D5" s="3" t="s">
        <v>77</v>
      </c>
      <c r="E5" s="3" t="s">
        <v>78</v>
      </c>
      <c r="F5" s="3" t="s">
        <v>54</v>
      </c>
      <c r="G5" s="3" t="s">
        <v>79</v>
      </c>
      <c r="H5" s="3"/>
      <c r="I5" s="3" t="s">
        <v>80</v>
      </c>
      <c r="J5" s="3" t="s">
        <v>81</v>
      </c>
      <c r="K5" s="3" t="s">
        <v>82</v>
      </c>
      <c r="L5" s="3" t="n">
        <v>1</v>
      </c>
      <c r="M5" s="3" t="n">
        <v>10.7</v>
      </c>
      <c r="N5" s="3" t="s">
        <v>67</v>
      </c>
      <c r="O5" s="3"/>
      <c r="P5" s="10"/>
      <c r="Q5" s="3" t="n">
        <f aca="false">IF(F5="Disposable",1,0)</f>
        <v>0</v>
      </c>
      <c r="R5" s="3" t="n">
        <f aca="false">IF(SUMPRODUCT(--ISNUMBER(SEARCH('Spam Rules'!$A$22:$A$35,K5)))&gt;0,1,0)</f>
        <v>1</v>
      </c>
      <c r="S5" s="3" t="n">
        <f aca="false">IF(AND(F5="Free",G5=""),1,0)</f>
        <v>0</v>
      </c>
      <c r="T5" s="3" t="n">
        <f aca="false">IF(LEN(TRIM(K5))&lt;15,1,0)</f>
        <v>0</v>
      </c>
      <c r="U5" s="3" t="n">
        <f aca="false">IF(COUNTIF($E$2:$E$801,E5)&gt;1,1,0)</f>
        <v>0</v>
      </c>
      <c r="V5" s="3" t="n">
        <f aca="false">Q5*'Spam Rules'!$H$6+R5*'Spam Rules'!$H$7+S5*'Spam Rules'!$H$8+T5*'Spam Rules'!$H$9+U5*'Spam Rules'!$H$10</f>
        <v>1</v>
      </c>
      <c r="W5" s="3" t="str">
        <f aca="false">IF(V5&gt;='Spam Rules'!$B$3,"Likely Spam","Genuine")</f>
        <v>Likely Spam</v>
      </c>
      <c r="X5" s="3" t="n">
        <f aca="false">IFERROR(INDEX('Scoring Model'!$B$5:$B$11,MATCH(C5,'Scoring Model'!$A$5:$A$11,0)),0)</f>
        <v>0</v>
      </c>
      <c r="Y5" s="3" t="n">
        <f aca="false">IFERROR(INDEX('Scoring Model'!$E$5:$E$7,MATCH(F5,'Scoring Model'!$D$5:$D$7,0)),0)</f>
        <v>0</v>
      </c>
      <c r="Z5" s="3" t="n">
        <f aca="false">IFERROR(INDEX('Scoring Model'!$H$5:$H$13,MATCH(J5,'Scoring Model'!$G$5:$G$13,0)),0)</f>
        <v>5</v>
      </c>
      <c r="AA5" s="3" t="n">
        <f aca="false">IF(L5&gt;='Scoring Model'!$B$14,'Scoring Model'!$B$15,IF(L5&gt;='Scoring Model'!$B$16,'Scoring Model'!$B$17,0))</f>
        <v>0</v>
      </c>
      <c r="AB5" s="3" t="n">
        <f aca="false">IF(SUMPRODUCT(--ISNUMBER(SEARCH('Scoring Model'!$D$16:$D$25,K5)))&gt;0,'Scoring Model'!$B$18,0)</f>
        <v>0</v>
      </c>
      <c r="AC5" s="3" t="n">
        <f aca="false">IF(SUMPRODUCT(--ISNUMBER(SEARCH('Scoring Model'!$G$16:$G$23,K5)))&gt;0,'Scoring Model'!$B$19,0)</f>
        <v>0</v>
      </c>
      <c r="AD5" s="3" t="str">
        <f aca="false">IF(W5="Likely Spam","",SUM(X5:AC5))</f>
        <v/>
      </c>
      <c r="AE5" s="3" t="str">
        <f aca="false">IF(W5="Likely Spam","Spam",IF(AD5&gt;='Scoring Model'!$B$21,"Hot",IF(AD5&gt;='Scoring Model'!$B$22,"Warm","Nurture")))</f>
        <v>Spam</v>
      </c>
      <c r="AF5" s="3" t="str">
        <f aca="false">IF(W5="Likely Spam","Flagged by spam rules",TRIM(IF(X5&gt;=20,"Strong source. ","")&amp;IF(Y5&gt;0,"Company email. ","")&amp;IF(Z5&gt;=15,"High-value product. ","")&amp;IF(AA5&gt;='Scoring Model'!$B$15,"High engagement. ","")&amp;IF(AB5&gt;0,"Buying intent in message. ","")&amp;IF(AC5&lt;0,"Negative intent in message. ","")))</f>
        <v>Flagged by spam rules</v>
      </c>
      <c r="AG5" s="11" t="str">
        <f aca="false">IF(W5="Likely Spam","",1/(1+EXP(-('Conversion Model'!$B$5+IFERROR(INDEX('Conversion Model'!$B$8:$B$14,MATCH(C5,'Conversion Model'!$A$8:$A$14,0)),0)+IFERROR(INDEX('Conversion Model'!$E$8:$E$9,MATCH(F5,'Conversion Model'!$D$8:$D$9,0)),0)+IFERROR(INDEX('Conversion Model'!$H$8:$H$12,MATCH(IF(LEFT(J5,8)="Payments","Payments",IF(LEFT(J5,7)="Lending","Lending",J5)),'Conversion Model'!$G$8:$G$12,0)),0)+MIN(L5,15)*'Conversion Model'!$B$17+IF(SUMPRODUCT(--ISNUMBER(SEARCH('Scoring Model'!$D$16:$D$25,K5)))&gt;0,'Conversion Model'!$B$18,0)+IF(SUMPRODUCT(--ISNUMBER(SEARCH('Scoring Model'!$G$16:$G$23,K5)))&gt;0,'Conversion Model'!$B$19,0)))))</f>
        <v/>
      </c>
      <c r="AH5" s="3" t="str">
        <f aca="false">IF(OR(O5="Qualified",O5="Won",O5="Lost"),1,IF(O5="Unqualified",0,""))</f>
        <v/>
      </c>
    </row>
    <row r="6" customFormat="false" ht="15" hidden="false" customHeight="true" outlineLevel="0" collapsed="false">
      <c r="A6" s="3" t="s">
        <v>83</v>
      </c>
      <c r="B6" s="9" t="n">
        <v>45934.6611111111</v>
      </c>
      <c r="C6" s="3" t="s">
        <v>76</v>
      </c>
      <c r="D6" s="3" t="s">
        <v>84</v>
      </c>
      <c r="E6" s="3" t="s">
        <v>85</v>
      </c>
      <c r="F6" s="3" t="s">
        <v>22</v>
      </c>
      <c r="G6" s="3" t="s">
        <v>86</v>
      </c>
      <c r="H6" s="3" t="s">
        <v>87</v>
      </c>
      <c r="I6" s="3" t="s">
        <v>88</v>
      </c>
      <c r="J6" s="3" t="s">
        <v>65</v>
      </c>
      <c r="K6" s="3" t="s">
        <v>89</v>
      </c>
      <c r="L6" s="3" t="n">
        <v>2</v>
      </c>
      <c r="M6" s="3" t="n">
        <v>24.1</v>
      </c>
      <c r="N6" s="3" t="s">
        <v>67</v>
      </c>
      <c r="O6" s="3" t="s">
        <v>68</v>
      </c>
      <c r="P6" s="10"/>
      <c r="Q6" s="3" t="n">
        <f aca="false">IF(F6="Disposable",1,0)</f>
        <v>0</v>
      </c>
      <c r="R6" s="3" t="n">
        <f aca="false">IF(SUMPRODUCT(--ISNUMBER(SEARCH('Spam Rules'!$A$22:$A$35,K6)))&gt;0,1,0)</f>
        <v>1</v>
      </c>
      <c r="S6" s="3" t="n">
        <f aca="false">IF(AND(F6="Free",G6=""),1,0)</f>
        <v>0</v>
      </c>
      <c r="T6" s="3" t="n">
        <f aca="false">IF(LEN(TRIM(K6))&lt;15,1,0)</f>
        <v>0</v>
      </c>
      <c r="U6" s="3" t="n">
        <f aca="false">IF(COUNTIF($E$2:$E$801,E6)&gt;1,1,0)</f>
        <v>0</v>
      </c>
      <c r="V6" s="3" t="n">
        <f aca="false">Q6*'Spam Rules'!$H$6+R6*'Spam Rules'!$H$7+S6*'Spam Rules'!$H$8+T6*'Spam Rules'!$H$9+U6*'Spam Rules'!$H$10</f>
        <v>1</v>
      </c>
      <c r="W6" s="3" t="str">
        <f aca="false">IF(V6&gt;='Spam Rules'!$B$3,"Likely Spam","Genuine")</f>
        <v>Likely Spam</v>
      </c>
      <c r="X6" s="3" t="n">
        <f aca="false">IFERROR(INDEX('Scoring Model'!$B$5:$B$11,MATCH(C6,'Scoring Model'!$A$5:$A$11,0)),0)</f>
        <v>0</v>
      </c>
      <c r="Y6" s="3" t="n">
        <f aca="false">IFERROR(INDEX('Scoring Model'!$E$5:$E$7,MATCH(F6,'Scoring Model'!$D$5:$D$7,0)),0)</f>
        <v>20</v>
      </c>
      <c r="Z6" s="3" t="n">
        <f aca="false">IFERROR(INDEX('Scoring Model'!$H$5:$H$13,MATCH(J6,'Scoring Model'!$G$5:$G$13,0)),0)</f>
        <v>0</v>
      </c>
      <c r="AA6" s="3" t="n">
        <f aca="false">IF(L6&gt;='Scoring Model'!$B$14,'Scoring Model'!$B$15,IF(L6&gt;='Scoring Model'!$B$16,'Scoring Model'!$B$17,0))</f>
        <v>0</v>
      </c>
      <c r="AB6" s="3" t="n">
        <f aca="false">IF(SUMPRODUCT(--ISNUMBER(SEARCH('Scoring Model'!$D$16:$D$25,K6)))&gt;0,'Scoring Model'!$B$18,0)</f>
        <v>0</v>
      </c>
      <c r="AC6" s="3" t="n">
        <f aca="false">IF(SUMPRODUCT(--ISNUMBER(SEARCH('Scoring Model'!$G$16:$G$23,K6)))&gt;0,'Scoring Model'!$B$19,0)</f>
        <v>0</v>
      </c>
      <c r="AD6" s="3" t="str">
        <f aca="false">IF(W6="Likely Spam","",SUM(X6:AC6))</f>
        <v/>
      </c>
      <c r="AE6" s="3" t="str">
        <f aca="false">IF(W6="Likely Spam","Spam",IF(AD6&gt;='Scoring Model'!$B$21,"Hot",IF(AD6&gt;='Scoring Model'!$B$22,"Warm","Nurture")))</f>
        <v>Spam</v>
      </c>
      <c r="AF6" s="3" t="str">
        <f aca="false">IF(W6="Likely Spam","Flagged by spam rules",TRIM(IF(X6&gt;=20,"Strong source. ","")&amp;IF(Y6&gt;0,"Company email. ","")&amp;IF(Z6&gt;=15,"High-value product. ","")&amp;IF(AA6&gt;='Scoring Model'!$B$15,"High engagement. ","")&amp;IF(AB6&gt;0,"Buying intent in message. ","")&amp;IF(AC6&lt;0,"Negative intent in message. ","")))</f>
        <v>Flagged by spam rules</v>
      </c>
      <c r="AG6" s="11" t="str">
        <f aca="false">IF(W6="Likely Spam","",1/(1+EXP(-('Conversion Model'!$B$5+IFERROR(INDEX('Conversion Model'!$B$8:$B$14,MATCH(C6,'Conversion Model'!$A$8:$A$14,0)),0)+IFERROR(INDEX('Conversion Model'!$E$8:$E$9,MATCH(F6,'Conversion Model'!$D$8:$D$9,0)),0)+IFERROR(INDEX('Conversion Model'!$H$8:$H$12,MATCH(IF(LEFT(J6,8)="Payments","Payments",IF(LEFT(J6,7)="Lending","Lending",J6)),'Conversion Model'!$G$8:$G$12,0)),0)+MIN(L6,15)*'Conversion Model'!$B$17+IF(SUMPRODUCT(--ISNUMBER(SEARCH('Scoring Model'!$D$16:$D$25,K6)))&gt;0,'Conversion Model'!$B$18,0)+IF(SUMPRODUCT(--ISNUMBER(SEARCH('Scoring Model'!$G$16:$G$23,K6)))&gt;0,'Conversion Model'!$B$19,0)))))</f>
        <v/>
      </c>
      <c r="AH6" s="3" t="str">
        <f aca="false">IF(OR(O6="Qualified",O6="Won",O6="Lost"),1,IF(O6="Unqualified",0,""))</f>
        <v/>
      </c>
    </row>
    <row r="7" customFormat="false" ht="15" hidden="false" customHeight="true" outlineLevel="0" collapsed="false">
      <c r="A7" s="3" t="s">
        <v>90</v>
      </c>
      <c r="B7" s="9" t="n">
        <v>45935.0118055556</v>
      </c>
      <c r="C7" s="3" t="s">
        <v>91</v>
      </c>
      <c r="D7" s="3" t="s">
        <v>92</v>
      </c>
      <c r="E7" s="3" t="s">
        <v>93</v>
      </c>
      <c r="F7" s="3" t="s">
        <v>63</v>
      </c>
      <c r="G7" s="3"/>
      <c r="H7" s="3"/>
      <c r="I7" s="3" t="s">
        <v>94</v>
      </c>
      <c r="J7" s="3" t="s">
        <v>65</v>
      </c>
      <c r="K7" s="3" t="s">
        <v>95</v>
      </c>
      <c r="L7" s="3" t="n">
        <v>2</v>
      </c>
      <c r="M7" s="3" t="n">
        <v>99.9</v>
      </c>
      <c r="N7" s="3" t="s">
        <v>96</v>
      </c>
      <c r="O7" s="3"/>
      <c r="P7" s="10"/>
      <c r="Q7" s="3" t="n">
        <f aca="false">IF(F7="Disposable",1,0)</f>
        <v>1</v>
      </c>
      <c r="R7" s="3" t="n">
        <f aca="false">IF(SUMPRODUCT(--ISNUMBER(SEARCH('Spam Rules'!$A$22:$A$35,K7)))&gt;0,1,0)</f>
        <v>1</v>
      </c>
      <c r="S7" s="3" t="n">
        <f aca="false">IF(AND(F7="Free",G7=""),1,0)</f>
        <v>0</v>
      </c>
      <c r="T7" s="3" t="n">
        <f aca="false">IF(LEN(TRIM(K7))&lt;15,1,0)</f>
        <v>0</v>
      </c>
      <c r="U7" s="3" t="n">
        <f aca="false">IF(COUNTIF($E$2:$E$801,E7)&gt;1,1,0)</f>
        <v>1</v>
      </c>
      <c r="V7" s="3" t="n">
        <f aca="false">Q7*'Spam Rules'!$H$6+R7*'Spam Rules'!$H$7+S7*'Spam Rules'!$H$8+T7*'Spam Rules'!$H$9+U7*'Spam Rules'!$H$10</f>
        <v>2</v>
      </c>
      <c r="W7" s="3" t="str">
        <f aca="false">IF(V7&gt;='Spam Rules'!$B$3,"Likely Spam","Genuine")</f>
        <v>Likely Spam</v>
      </c>
      <c r="X7" s="3" t="n">
        <f aca="false">IFERROR(INDEX('Scoring Model'!$B$5:$B$11,MATCH(C7,'Scoring Model'!$A$5:$A$11,0)),0)</f>
        <v>5</v>
      </c>
      <c r="Y7" s="3" t="n">
        <f aca="false">IFERROR(INDEX('Scoring Model'!$E$5:$E$7,MATCH(F7,'Scoring Model'!$D$5:$D$7,0)),0)</f>
        <v>0</v>
      </c>
      <c r="Z7" s="3" t="n">
        <f aca="false">IFERROR(INDEX('Scoring Model'!$H$5:$H$13,MATCH(J7,'Scoring Model'!$G$5:$G$13,0)),0)</f>
        <v>0</v>
      </c>
      <c r="AA7" s="3" t="n">
        <f aca="false">IF(L7&gt;='Scoring Model'!$B$14,'Scoring Model'!$B$15,IF(L7&gt;='Scoring Model'!$B$16,'Scoring Model'!$B$17,0))</f>
        <v>0</v>
      </c>
      <c r="AB7" s="3" t="n">
        <f aca="false">IF(SUMPRODUCT(--ISNUMBER(SEARCH('Scoring Model'!$D$16:$D$25,K7)))&gt;0,'Scoring Model'!$B$18,0)</f>
        <v>0</v>
      </c>
      <c r="AC7" s="3" t="n">
        <f aca="false">IF(SUMPRODUCT(--ISNUMBER(SEARCH('Scoring Model'!$G$16:$G$23,K7)))&gt;0,'Scoring Model'!$B$19,0)</f>
        <v>0</v>
      </c>
      <c r="AD7" s="3" t="str">
        <f aca="false">IF(W7="Likely Spam","",SUM(X7:AC7))</f>
        <v/>
      </c>
      <c r="AE7" s="3" t="str">
        <f aca="false">IF(W7="Likely Spam","Spam",IF(AD7&gt;='Scoring Model'!$B$21,"Hot",IF(AD7&gt;='Scoring Model'!$B$22,"Warm","Nurture")))</f>
        <v>Spam</v>
      </c>
      <c r="AF7" s="3" t="str">
        <f aca="false">IF(W7="Likely Spam","Flagged by spam rules",TRIM(IF(X7&gt;=20,"Strong source. ","")&amp;IF(Y7&gt;0,"Company email. ","")&amp;IF(Z7&gt;=15,"High-value product. ","")&amp;IF(AA7&gt;='Scoring Model'!$B$15,"High engagement. ","")&amp;IF(AB7&gt;0,"Buying intent in message. ","")&amp;IF(AC7&lt;0,"Negative intent in message. ","")))</f>
        <v>Flagged by spam rules</v>
      </c>
      <c r="AG7" s="11" t="str">
        <f aca="false">IF(W7="Likely Spam","",1/(1+EXP(-('Conversion Model'!$B$5+IFERROR(INDEX('Conversion Model'!$B$8:$B$14,MATCH(C7,'Conversion Model'!$A$8:$A$14,0)),0)+IFERROR(INDEX('Conversion Model'!$E$8:$E$9,MATCH(F7,'Conversion Model'!$D$8:$D$9,0)),0)+IFERROR(INDEX('Conversion Model'!$H$8:$H$12,MATCH(IF(LEFT(J7,8)="Payments","Payments",IF(LEFT(J7,7)="Lending","Lending",J7)),'Conversion Model'!$G$8:$G$12,0)),0)+MIN(L7,15)*'Conversion Model'!$B$17+IF(SUMPRODUCT(--ISNUMBER(SEARCH('Scoring Model'!$D$16:$D$25,K7)))&gt;0,'Conversion Model'!$B$18,0)+IF(SUMPRODUCT(--ISNUMBER(SEARCH('Scoring Model'!$G$16:$G$23,K7)))&gt;0,'Conversion Model'!$B$19,0)))))</f>
        <v/>
      </c>
      <c r="AH7" s="3" t="str">
        <f aca="false">IF(OR(O7="Qualified",O7="Won",O7="Lost"),1,IF(O7="Unqualified",0,""))</f>
        <v/>
      </c>
    </row>
    <row r="8" customFormat="false" ht="15" hidden="false" customHeight="true" outlineLevel="0" collapsed="false">
      <c r="A8" s="3" t="s">
        <v>97</v>
      </c>
      <c r="B8" s="9" t="n">
        <v>45935.1534722222</v>
      </c>
      <c r="C8" s="3" t="s">
        <v>91</v>
      </c>
      <c r="D8" s="3" t="s">
        <v>98</v>
      </c>
      <c r="E8" s="3" t="s">
        <v>99</v>
      </c>
      <c r="F8" s="3" t="s">
        <v>54</v>
      </c>
      <c r="G8" s="3" t="s">
        <v>100</v>
      </c>
      <c r="H8" s="3"/>
      <c r="I8" s="3" t="s">
        <v>94</v>
      </c>
      <c r="J8" s="3" t="s">
        <v>65</v>
      </c>
      <c r="K8" s="3" t="s">
        <v>101</v>
      </c>
      <c r="L8" s="3" t="n">
        <v>4</v>
      </c>
      <c r="M8" s="3" t="n">
        <v>8.4</v>
      </c>
      <c r="N8" s="3" t="s">
        <v>59</v>
      </c>
      <c r="O8" s="3"/>
      <c r="P8" s="10"/>
      <c r="Q8" s="3" t="n">
        <f aca="false">IF(F8="Disposable",1,0)</f>
        <v>0</v>
      </c>
      <c r="R8" s="3" t="n">
        <f aca="false">IF(SUMPRODUCT(--ISNUMBER(SEARCH('Spam Rules'!$A$22:$A$35,K8)))&gt;0,1,0)</f>
        <v>0</v>
      </c>
      <c r="S8" s="3" t="n">
        <f aca="false">IF(AND(F8="Free",G8=""),1,0)</f>
        <v>0</v>
      </c>
      <c r="T8" s="3" t="n">
        <f aca="false">IF(LEN(TRIM(K8))&lt;15,1,0)</f>
        <v>0</v>
      </c>
      <c r="U8" s="3" t="n">
        <f aca="false">IF(COUNTIF($E$2:$E$801,E8)&gt;1,1,0)</f>
        <v>0</v>
      </c>
      <c r="V8" s="3" t="n">
        <f aca="false">Q8*'Spam Rules'!$H$6+R8*'Spam Rules'!$H$7+S8*'Spam Rules'!$H$8+T8*'Spam Rules'!$H$9+U8*'Spam Rules'!$H$10</f>
        <v>0</v>
      </c>
      <c r="W8" s="3" t="str">
        <f aca="false">IF(V8&gt;='Spam Rules'!$B$3,"Likely Spam","Genuine")</f>
        <v>Genuine</v>
      </c>
      <c r="X8" s="3" t="n">
        <f aca="false">IFERROR(INDEX('Scoring Model'!$B$5:$B$11,MATCH(C8,'Scoring Model'!$A$5:$A$11,0)),0)</f>
        <v>5</v>
      </c>
      <c r="Y8" s="3" t="n">
        <f aca="false">IFERROR(INDEX('Scoring Model'!$E$5:$E$7,MATCH(F8,'Scoring Model'!$D$5:$D$7,0)),0)</f>
        <v>0</v>
      </c>
      <c r="Z8" s="3" t="n">
        <f aca="false">IFERROR(INDEX('Scoring Model'!$H$5:$H$13,MATCH(J8,'Scoring Model'!$G$5:$G$13,0)),0)</f>
        <v>0</v>
      </c>
      <c r="AA8" s="3" t="n">
        <f aca="false">IF(L8&gt;='Scoring Model'!$B$14,'Scoring Model'!$B$15,IF(L8&gt;='Scoring Model'!$B$16,'Scoring Model'!$B$17,0))</f>
        <v>8</v>
      </c>
      <c r="AB8" s="3" t="n">
        <f aca="false">IF(SUMPRODUCT(--ISNUMBER(SEARCH('Scoring Model'!$D$16:$D$25,K8)))&gt;0,'Scoring Model'!$B$18,0)</f>
        <v>0</v>
      </c>
      <c r="AC8" s="3" t="n">
        <f aca="false">IF(SUMPRODUCT(--ISNUMBER(SEARCH('Scoring Model'!$G$16:$G$23,K8)))&gt;0,'Scoring Model'!$B$19,0)</f>
        <v>-30</v>
      </c>
      <c r="AD8" s="3" t="n">
        <f aca="false">IF(W8="Likely Spam","",SUM(X8:AC8))</f>
        <v>-17</v>
      </c>
      <c r="AE8" s="3" t="str">
        <f aca="false">IF(W8="Likely Spam","Spam",IF(AD8&gt;='Scoring Model'!$B$21,"Hot",IF(AD8&gt;='Scoring Model'!$B$22,"Warm","Nurture")))</f>
        <v>Nurture</v>
      </c>
      <c r="AF8" s="3" t="str">
        <f aca="false">IF(W8="Likely Spam","Flagged by spam rules",TRIM(IF(X8&gt;=20,"Strong source. ","")&amp;IF(Y8&gt;0,"Company email. ","")&amp;IF(Z8&gt;=15,"High-value product. ","")&amp;IF(AA8&gt;='Scoring Model'!$B$15,"High engagement. ","")&amp;IF(AB8&gt;0,"Buying intent in message. ","")&amp;IF(AC8&lt;0,"Negative intent in message. ","")))</f>
        <v>Negative intent in message.</v>
      </c>
      <c r="AG8" s="11" t="n">
        <f aca="false">IF(W8="Likely Spam","",1/(1+EXP(-('Conversion Model'!$B$5+IFERROR(INDEX('Conversion Model'!$B$8:$B$14,MATCH(C8,'Conversion Model'!$A$8:$A$14,0)),0)+IFERROR(INDEX('Conversion Model'!$E$8:$E$9,MATCH(F8,'Conversion Model'!$D$8:$D$9,0)),0)+IFERROR(INDEX('Conversion Model'!$H$8:$H$12,MATCH(IF(LEFT(J8,8)="Payments","Payments",IF(LEFT(J8,7)="Lending","Lending",J8)),'Conversion Model'!$G$8:$G$12,0)),0)+MIN(L8,15)*'Conversion Model'!$B$17+IF(SUMPRODUCT(--ISNUMBER(SEARCH('Scoring Model'!$D$16:$D$25,K8)))&gt;0,'Conversion Model'!$B$18,0)+IF(SUMPRODUCT(--ISNUMBER(SEARCH('Scoring Model'!$G$16:$G$23,K8)))&gt;0,'Conversion Model'!$B$19,0)))))</f>
        <v>0.00748010669552435</v>
      </c>
      <c r="AH8" s="3" t="str">
        <f aca="false">IF(OR(O8="Qualified",O8="Won",O8="Lost"),1,IF(O8="Unqualified",0,""))</f>
        <v/>
      </c>
    </row>
    <row r="9" customFormat="false" ht="15" hidden="false" customHeight="true" outlineLevel="0" collapsed="false">
      <c r="A9" s="3" t="s">
        <v>102</v>
      </c>
      <c r="B9" s="9" t="n">
        <v>45935.3076388889</v>
      </c>
      <c r="C9" s="3" t="s">
        <v>51</v>
      </c>
      <c r="D9" s="3" t="s">
        <v>103</v>
      </c>
      <c r="E9" s="3" t="s">
        <v>104</v>
      </c>
      <c r="F9" s="3" t="s">
        <v>22</v>
      </c>
      <c r="G9" s="3" t="s">
        <v>105</v>
      </c>
      <c r="H9" s="3" t="s">
        <v>106</v>
      </c>
      <c r="I9" s="3" t="s">
        <v>107</v>
      </c>
      <c r="J9" s="3" t="s">
        <v>108</v>
      </c>
      <c r="K9" s="3" t="s">
        <v>109</v>
      </c>
      <c r="L9" s="3" t="n">
        <v>9</v>
      </c>
      <c r="M9" s="3" t="n">
        <v>88</v>
      </c>
      <c r="N9" s="3" t="s">
        <v>67</v>
      </c>
      <c r="O9" s="3" t="s">
        <v>110</v>
      </c>
      <c r="P9" s="10"/>
      <c r="Q9" s="3" t="n">
        <f aca="false">IF(F9="Disposable",1,0)</f>
        <v>0</v>
      </c>
      <c r="R9" s="3" t="n">
        <f aca="false">IF(SUMPRODUCT(--ISNUMBER(SEARCH('Spam Rules'!$A$22:$A$35,K9)))&gt;0,1,0)</f>
        <v>0</v>
      </c>
      <c r="S9" s="3" t="n">
        <f aca="false">IF(AND(F9="Free",G9=""),1,0)</f>
        <v>0</v>
      </c>
      <c r="T9" s="3" t="n">
        <f aca="false">IF(LEN(TRIM(K9))&lt;15,1,0)</f>
        <v>0</v>
      </c>
      <c r="U9" s="3" t="n">
        <f aca="false">IF(COUNTIF($E$2:$E$801,E9)&gt;1,1,0)</f>
        <v>0</v>
      </c>
      <c r="V9" s="3" t="n">
        <f aca="false">Q9*'Spam Rules'!$H$6+R9*'Spam Rules'!$H$7+S9*'Spam Rules'!$H$8+T9*'Spam Rules'!$H$9+U9*'Spam Rules'!$H$10</f>
        <v>0</v>
      </c>
      <c r="W9" s="3" t="str">
        <f aca="false">IF(V9&gt;='Spam Rules'!$B$3,"Likely Spam","Genuine")</f>
        <v>Genuine</v>
      </c>
      <c r="X9" s="3" t="n">
        <f aca="false">IFERROR(INDEX('Scoring Model'!$B$5:$B$11,MATCH(C9,'Scoring Model'!$A$5:$A$11,0)),0)</f>
        <v>10</v>
      </c>
      <c r="Y9" s="3" t="n">
        <f aca="false">IFERROR(INDEX('Scoring Model'!$E$5:$E$7,MATCH(F9,'Scoring Model'!$D$5:$D$7,0)),0)</f>
        <v>20</v>
      </c>
      <c r="Z9" s="3" t="n">
        <f aca="false">IFERROR(INDEX('Scoring Model'!$H$5:$H$13,MATCH(J9,'Scoring Model'!$G$5:$G$13,0)),0)</f>
        <v>15</v>
      </c>
      <c r="AA9" s="3" t="n">
        <f aca="false">IF(L9&gt;='Scoring Model'!$B$14,'Scoring Model'!$B$15,IF(L9&gt;='Scoring Model'!$B$16,'Scoring Model'!$B$17,0))</f>
        <v>15</v>
      </c>
      <c r="AB9" s="3" t="n">
        <f aca="false">IF(SUMPRODUCT(--ISNUMBER(SEARCH('Scoring Model'!$D$16:$D$25,K9)))&gt;0,'Scoring Model'!$B$18,0)</f>
        <v>15</v>
      </c>
      <c r="AC9" s="3" t="n">
        <f aca="false">IF(SUMPRODUCT(--ISNUMBER(SEARCH('Scoring Model'!$G$16:$G$23,K9)))&gt;0,'Scoring Model'!$B$19,0)</f>
        <v>0</v>
      </c>
      <c r="AD9" s="3" t="n">
        <f aca="false">IF(W9="Likely Spam","",SUM(X9:AC9))</f>
        <v>75</v>
      </c>
      <c r="AE9" s="3" t="str">
        <f aca="false">IF(W9="Likely Spam","Spam",IF(AD9&gt;='Scoring Model'!$B$21,"Hot",IF(AD9&gt;='Scoring Model'!$B$22,"Warm","Nurture")))</f>
        <v>Hot</v>
      </c>
      <c r="AF9" s="3" t="str">
        <f aca="false">IF(W9="Likely Spam","Flagged by spam rules",TRIM(IF(X9&gt;=20,"Strong source. ","")&amp;IF(Y9&gt;0,"Company email. ","")&amp;IF(Z9&gt;=15,"High-value product. ","")&amp;IF(AA9&gt;='Scoring Model'!$B$15,"High engagement. ","")&amp;IF(AB9&gt;0,"Buying intent in message. ","")&amp;IF(AC9&lt;0,"Negative intent in message. ","")))</f>
        <v>Company email. High-value product. High engagement. Buying intent in message.</v>
      </c>
      <c r="AG9" s="11" t="n">
        <f aca="false">IF(W9="Likely Spam","",1/(1+EXP(-('Conversion Model'!$B$5+IFERROR(INDEX('Conversion Model'!$B$8:$B$14,MATCH(C9,'Conversion Model'!$A$8:$A$14,0)),0)+IFERROR(INDEX('Conversion Model'!$E$8:$E$9,MATCH(F9,'Conversion Model'!$D$8:$D$9,0)),0)+IFERROR(INDEX('Conversion Model'!$H$8:$H$12,MATCH(IF(LEFT(J9,8)="Payments","Payments",IF(LEFT(J9,7)="Lending","Lending",J9)),'Conversion Model'!$G$8:$G$12,0)),0)+MIN(L9,15)*'Conversion Model'!$B$17+IF(SUMPRODUCT(--ISNUMBER(SEARCH('Scoring Model'!$D$16:$D$25,K9)))&gt;0,'Conversion Model'!$B$18,0)+IF(SUMPRODUCT(--ISNUMBER(SEARCH('Scoring Model'!$G$16:$G$23,K9)))&gt;0,'Conversion Model'!$B$19,0)))))</f>
        <v>0.98188973302063</v>
      </c>
      <c r="AH9" s="3" t="n">
        <f aca="false">IF(OR(O9="Qualified",O9="Won",O9="Lost"),1,IF(O9="Unqualified",0,""))</f>
        <v>1</v>
      </c>
    </row>
    <row r="10" customFormat="false" ht="15" hidden="false" customHeight="true" outlineLevel="0" collapsed="false">
      <c r="A10" s="3" t="s">
        <v>111</v>
      </c>
      <c r="B10" s="9" t="n">
        <v>45935.3763888889</v>
      </c>
      <c r="C10" s="3" t="s">
        <v>112</v>
      </c>
      <c r="D10" s="3" t="s">
        <v>113</v>
      </c>
      <c r="E10" s="3" t="s">
        <v>114</v>
      </c>
      <c r="F10" s="3" t="s">
        <v>54</v>
      </c>
      <c r="G10" s="3" t="s">
        <v>115</v>
      </c>
      <c r="H10" s="3"/>
      <c r="I10" s="3" t="s">
        <v>116</v>
      </c>
      <c r="J10" s="3" t="s">
        <v>117</v>
      </c>
      <c r="K10" s="3" t="s">
        <v>118</v>
      </c>
      <c r="L10" s="3" t="n">
        <v>3</v>
      </c>
      <c r="M10" s="3" t="n">
        <v>3.6</v>
      </c>
      <c r="N10" s="3" t="s">
        <v>96</v>
      </c>
      <c r="O10" s="3"/>
      <c r="P10" s="10"/>
      <c r="Q10" s="3" t="n">
        <f aca="false">IF(F10="Disposable",1,0)</f>
        <v>0</v>
      </c>
      <c r="R10" s="3" t="n">
        <f aca="false">IF(SUMPRODUCT(--ISNUMBER(SEARCH('Spam Rules'!$A$22:$A$35,K10)))&gt;0,1,0)</f>
        <v>0</v>
      </c>
      <c r="S10" s="3" t="n">
        <f aca="false">IF(AND(F10="Free",G10=""),1,0)</f>
        <v>0</v>
      </c>
      <c r="T10" s="3" t="n">
        <f aca="false">IF(LEN(TRIM(K10))&lt;15,1,0)</f>
        <v>0</v>
      </c>
      <c r="U10" s="3" t="n">
        <f aca="false">IF(COUNTIF($E$2:$E$801,E10)&gt;1,1,0)</f>
        <v>0</v>
      </c>
      <c r="V10" s="3" t="n">
        <f aca="false">Q10*'Spam Rules'!$H$6+R10*'Spam Rules'!$H$7+S10*'Spam Rules'!$H$8+T10*'Spam Rules'!$H$9+U10*'Spam Rules'!$H$10</f>
        <v>0</v>
      </c>
      <c r="W10" s="3" t="str">
        <f aca="false">IF(V10&gt;='Spam Rules'!$B$3,"Likely Spam","Genuine")</f>
        <v>Genuine</v>
      </c>
      <c r="X10" s="3" t="n">
        <f aca="false">IFERROR(INDEX('Scoring Model'!$B$5:$B$11,MATCH(C10,'Scoring Model'!$A$5:$A$11,0)),0)</f>
        <v>15</v>
      </c>
      <c r="Y10" s="3" t="n">
        <f aca="false">IFERROR(INDEX('Scoring Model'!$E$5:$E$7,MATCH(F10,'Scoring Model'!$D$5:$D$7,0)),0)</f>
        <v>0</v>
      </c>
      <c r="Z10" s="3" t="n">
        <f aca="false">IFERROR(INDEX('Scoring Model'!$H$5:$H$13,MATCH(J10,'Scoring Model'!$G$5:$G$13,0)),0)</f>
        <v>15</v>
      </c>
      <c r="AA10" s="3" t="n">
        <f aca="false">IF(L10&gt;='Scoring Model'!$B$14,'Scoring Model'!$B$15,IF(L10&gt;='Scoring Model'!$B$16,'Scoring Model'!$B$17,0))</f>
        <v>0</v>
      </c>
      <c r="AB10" s="3" t="n">
        <f aca="false">IF(SUMPRODUCT(--ISNUMBER(SEARCH('Scoring Model'!$D$16:$D$25,K10)))&gt;0,'Scoring Model'!$B$18,0)</f>
        <v>15</v>
      </c>
      <c r="AC10" s="3" t="n">
        <f aca="false">IF(SUMPRODUCT(--ISNUMBER(SEARCH('Scoring Model'!$G$16:$G$23,K10)))&gt;0,'Scoring Model'!$B$19,0)</f>
        <v>0</v>
      </c>
      <c r="AD10" s="3" t="n">
        <f aca="false">IF(W10="Likely Spam","",SUM(X10:AC10))</f>
        <v>45</v>
      </c>
      <c r="AE10" s="3" t="str">
        <f aca="false">IF(W10="Likely Spam","Spam",IF(AD10&gt;='Scoring Model'!$B$21,"Hot",IF(AD10&gt;='Scoring Model'!$B$22,"Warm","Nurture")))</f>
        <v>Warm</v>
      </c>
      <c r="AF10" s="3" t="str">
        <f aca="false">IF(W10="Likely Spam","Flagged by spam rules",TRIM(IF(X10&gt;=20,"Strong source. ","")&amp;IF(Y10&gt;0,"Company email. ","")&amp;IF(Z10&gt;=15,"High-value product. ","")&amp;IF(AA10&gt;='Scoring Model'!$B$15,"High engagement. ","")&amp;IF(AB10&gt;0,"Buying intent in message. ","")&amp;IF(AC10&lt;0,"Negative intent in message. ","")))</f>
        <v>High-value product. Buying intent in message.</v>
      </c>
      <c r="AG10" s="11" t="n">
        <f aca="false">IF(W10="Likely Spam","",1/(1+EXP(-('Conversion Model'!$B$5+IFERROR(INDEX('Conversion Model'!$B$8:$B$14,MATCH(C10,'Conversion Model'!$A$8:$A$14,0)),0)+IFERROR(INDEX('Conversion Model'!$E$8:$E$9,MATCH(F10,'Conversion Model'!$D$8:$D$9,0)),0)+IFERROR(INDEX('Conversion Model'!$H$8:$H$12,MATCH(IF(LEFT(J10,8)="Payments","Payments",IF(LEFT(J10,7)="Lending","Lending",J10)),'Conversion Model'!$G$8:$G$12,0)),0)+MIN(L10,15)*'Conversion Model'!$B$17+IF(SUMPRODUCT(--ISNUMBER(SEARCH('Scoring Model'!$D$16:$D$25,K10)))&gt;0,'Conversion Model'!$B$18,0)+IF(SUMPRODUCT(--ISNUMBER(SEARCH('Scoring Model'!$G$16:$G$23,K10)))&gt;0,'Conversion Model'!$B$19,0)))))</f>
        <v>0.324317569447872</v>
      </c>
      <c r="AH10" s="3" t="str">
        <f aca="false">IF(OR(O10="Qualified",O10="Won",O10="Lost"),1,IF(O10="Unqualified",0,""))</f>
        <v/>
      </c>
    </row>
    <row r="11" customFormat="false" ht="15" hidden="false" customHeight="true" outlineLevel="0" collapsed="false">
      <c r="A11" s="3" t="s">
        <v>119</v>
      </c>
      <c r="B11" s="9" t="n">
        <v>45935.8270833333</v>
      </c>
      <c r="C11" s="3" t="s">
        <v>51</v>
      </c>
      <c r="D11" s="3" t="s">
        <v>120</v>
      </c>
      <c r="E11" s="3" t="s">
        <v>121</v>
      </c>
      <c r="F11" s="3" t="s">
        <v>63</v>
      </c>
      <c r="G11" s="3"/>
      <c r="H11" s="3"/>
      <c r="I11" s="3" t="s">
        <v>116</v>
      </c>
      <c r="J11" s="3" t="s">
        <v>122</v>
      </c>
      <c r="K11" s="3" t="s">
        <v>66</v>
      </c>
      <c r="L11" s="3" t="n">
        <v>1</v>
      </c>
      <c r="M11" s="3"/>
      <c r="N11" s="3" t="s">
        <v>67</v>
      </c>
      <c r="O11" s="3" t="s">
        <v>68</v>
      </c>
      <c r="P11" s="10"/>
      <c r="Q11" s="3" t="n">
        <f aca="false">IF(F11="Disposable",1,0)</f>
        <v>1</v>
      </c>
      <c r="R11" s="3" t="n">
        <f aca="false">IF(SUMPRODUCT(--ISNUMBER(SEARCH('Spam Rules'!$A$22:$A$35,K11)))&gt;0,1,0)</f>
        <v>1</v>
      </c>
      <c r="S11" s="3" t="n">
        <f aca="false">IF(AND(F11="Free",G11=""),1,0)</f>
        <v>0</v>
      </c>
      <c r="T11" s="3" t="n">
        <f aca="false">IF(LEN(TRIM(K11))&lt;15,1,0)</f>
        <v>0</v>
      </c>
      <c r="U11" s="3" t="n">
        <f aca="false">IF(COUNTIF($E$2:$E$801,E11)&gt;1,1,0)</f>
        <v>1</v>
      </c>
      <c r="V11" s="3" t="n">
        <f aca="false">Q11*'Spam Rules'!$H$6+R11*'Spam Rules'!$H$7+S11*'Spam Rules'!$H$8+T11*'Spam Rules'!$H$9+U11*'Spam Rules'!$H$10</f>
        <v>2</v>
      </c>
      <c r="W11" s="3" t="str">
        <f aca="false">IF(V11&gt;='Spam Rules'!$B$3,"Likely Spam","Genuine")</f>
        <v>Likely Spam</v>
      </c>
      <c r="X11" s="3" t="n">
        <f aca="false">IFERROR(INDEX('Scoring Model'!$B$5:$B$11,MATCH(C11,'Scoring Model'!$A$5:$A$11,0)),0)</f>
        <v>10</v>
      </c>
      <c r="Y11" s="3" t="n">
        <f aca="false">IFERROR(INDEX('Scoring Model'!$E$5:$E$7,MATCH(F11,'Scoring Model'!$D$5:$D$7,0)),0)</f>
        <v>0</v>
      </c>
      <c r="Z11" s="3" t="n">
        <f aca="false">IFERROR(INDEX('Scoring Model'!$H$5:$H$13,MATCH(J11,'Scoring Model'!$G$5:$G$13,0)),0)</f>
        <v>15</v>
      </c>
      <c r="AA11" s="3" t="n">
        <f aca="false">IF(L11&gt;='Scoring Model'!$B$14,'Scoring Model'!$B$15,IF(L11&gt;='Scoring Model'!$B$16,'Scoring Model'!$B$17,0))</f>
        <v>0</v>
      </c>
      <c r="AB11" s="3" t="n">
        <f aca="false">IF(SUMPRODUCT(--ISNUMBER(SEARCH('Scoring Model'!$D$16:$D$25,K11)))&gt;0,'Scoring Model'!$B$18,0)</f>
        <v>0</v>
      </c>
      <c r="AC11" s="3" t="n">
        <f aca="false">IF(SUMPRODUCT(--ISNUMBER(SEARCH('Scoring Model'!$G$16:$G$23,K11)))&gt;0,'Scoring Model'!$B$19,0)</f>
        <v>0</v>
      </c>
      <c r="AD11" s="3" t="str">
        <f aca="false">IF(W11="Likely Spam","",SUM(X11:AC11))</f>
        <v/>
      </c>
      <c r="AE11" s="3" t="str">
        <f aca="false">IF(W11="Likely Spam","Spam",IF(AD11&gt;='Scoring Model'!$B$21,"Hot",IF(AD11&gt;='Scoring Model'!$B$22,"Warm","Nurture")))</f>
        <v>Spam</v>
      </c>
      <c r="AF11" s="3" t="str">
        <f aca="false">IF(W11="Likely Spam","Flagged by spam rules",TRIM(IF(X11&gt;=20,"Strong source. ","")&amp;IF(Y11&gt;0,"Company email. ","")&amp;IF(Z11&gt;=15,"High-value product. ","")&amp;IF(AA11&gt;='Scoring Model'!$B$15,"High engagement. ","")&amp;IF(AB11&gt;0,"Buying intent in message. ","")&amp;IF(AC11&lt;0,"Negative intent in message. ","")))</f>
        <v>Flagged by spam rules</v>
      </c>
      <c r="AG11" s="11" t="str">
        <f aca="false">IF(W11="Likely Spam","",1/(1+EXP(-('Conversion Model'!$B$5+IFERROR(INDEX('Conversion Model'!$B$8:$B$14,MATCH(C11,'Conversion Model'!$A$8:$A$14,0)),0)+IFERROR(INDEX('Conversion Model'!$E$8:$E$9,MATCH(F11,'Conversion Model'!$D$8:$D$9,0)),0)+IFERROR(INDEX('Conversion Model'!$H$8:$H$12,MATCH(IF(LEFT(J11,8)="Payments","Payments",IF(LEFT(J11,7)="Lending","Lending",J11)),'Conversion Model'!$G$8:$G$12,0)),0)+MIN(L11,15)*'Conversion Model'!$B$17+IF(SUMPRODUCT(--ISNUMBER(SEARCH('Scoring Model'!$D$16:$D$25,K11)))&gt;0,'Conversion Model'!$B$18,0)+IF(SUMPRODUCT(--ISNUMBER(SEARCH('Scoring Model'!$G$16:$G$23,K11)))&gt;0,'Conversion Model'!$B$19,0)))))</f>
        <v/>
      </c>
      <c r="AH11" s="3" t="str">
        <f aca="false">IF(OR(O11="Qualified",O11="Won",O11="Lost"),1,IF(O11="Unqualified",0,""))</f>
        <v/>
      </c>
    </row>
    <row r="12" customFormat="false" ht="15" hidden="false" customHeight="true" outlineLevel="0" collapsed="false">
      <c r="A12" s="3" t="s">
        <v>123</v>
      </c>
      <c r="B12" s="9" t="n">
        <v>45935.9048611111</v>
      </c>
      <c r="C12" s="3" t="s">
        <v>76</v>
      </c>
      <c r="D12" s="3" t="s">
        <v>124</v>
      </c>
      <c r="E12" s="3" t="s">
        <v>125</v>
      </c>
      <c r="F12" s="3" t="s">
        <v>54</v>
      </c>
      <c r="G12" s="3"/>
      <c r="H12" s="3"/>
      <c r="I12" s="3" t="s">
        <v>64</v>
      </c>
      <c r="J12" s="3" t="s">
        <v>81</v>
      </c>
      <c r="K12" s="3" t="s">
        <v>126</v>
      </c>
      <c r="L12" s="3" t="n">
        <v>2</v>
      </c>
      <c r="M12" s="3"/>
      <c r="N12" s="3" t="s">
        <v>67</v>
      </c>
      <c r="O12" s="3" t="s">
        <v>68</v>
      </c>
      <c r="P12" s="10"/>
      <c r="Q12" s="3" t="n">
        <f aca="false">IF(F12="Disposable",1,0)</f>
        <v>0</v>
      </c>
      <c r="R12" s="3" t="n">
        <f aca="false">IF(SUMPRODUCT(--ISNUMBER(SEARCH('Spam Rules'!$A$22:$A$35,K12)))&gt;0,1,0)</f>
        <v>0</v>
      </c>
      <c r="S12" s="3" t="n">
        <f aca="false">IF(AND(F12="Free",G12=""),1,0)</f>
        <v>1</v>
      </c>
      <c r="T12" s="3" t="n">
        <f aca="false">IF(LEN(TRIM(K12))&lt;15,1,0)</f>
        <v>1</v>
      </c>
      <c r="U12" s="3" t="n">
        <f aca="false">IF(COUNTIF($E$2:$E$801,E12)&gt;1,1,0)</f>
        <v>0</v>
      </c>
      <c r="V12" s="3" t="n">
        <f aca="false">Q12*'Spam Rules'!$H$6+R12*'Spam Rules'!$H$7+S12*'Spam Rules'!$H$8+T12*'Spam Rules'!$H$9+U12*'Spam Rules'!$H$10</f>
        <v>1</v>
      </c>
      <c r="W12" s="3" t="str">
        <f aca="false">IF(V12&gt;='Spam Rules'!$B$3,"Likely Spam","Genuine")</f>
        <v>Likely Spam</v>
      </c>
      <c r="X12" s="3" t="n">
        <f aca="false">IFERROR(INDEX('Scoring Model'!$B$5:$B$11,MATCH(C12,'Scoring Model'!$A$5:$A$11,0)),0)</f>
        <v>0</v>
      </c>
      <c r="Y12" s="3" t="n">
        <f aca="false">IFERROR(INDEX('Scoring Model'!$E$5:$E$7,MATCH(F12,'Scoring Model'!$D$5:$D$7,0)),0)</f>
        <v>0</v>
      </c>
      <c r="Z12" s="3" t="n">
        <f aca="false">IFERROR(INDEX('Scoring Model'!$H$5:$H$13,MATCH(J12,'Scoring Model'!$G$5:$G$13,0)),0)</f>
        <v>5</v>
      </c>
      <c r="AA12" s="3" t="n">
        <f aca="false">IF(L12&gt;='Scoring Model'!$B$14,'Scoring Model'!$B$15,IF(L12&gt;='Scoring Model'!$B$16,'Scoring Model'!$B$17,0))</f>
        <v>0</v>
      </c>
      <c r="AB12" s="3" t="n">
        <f aca="false">IF(SUMPRODUCT(--ISNUMBER(SEARCH('Scoring Model'!$D$16:$D$25,K12)))&gt;0,'Scoring Model'!$B$18,0)</f>
        <v>0</v>
      </c>
      <c r="AC12" s="3" t="n">
        <f aca="false">IF(SUMPRODUCT(--ISNUMBER(SEARCH('Scoring Model'!$G$16:$G$23,K12)))&gt;0,'Scoring Model'!$B$19,0)</f>
        <v>0</v>
      </c>
      <c r="AD12" s="3" t="str">
        <f aca="false">IF(W12="Likely Spam","",SUM(X12:AC12))</f>
        <v/>
      </c>
      <c r="AE12" s="3" t="str">
        <f aca="false">IF(W12="Likely Spam","Spam",IF(AD12&gt;='Scoring Model'!$B$21,"Hot",IF(AD12&gt;='Scoring Model'!$B$22,"Warm","Nurture")))</f>
        <v>Spam</v>
      </c>
      <c r="AF12" s="3" t="str">
        <f aca="false">IF(W12="Likely Spam","Flagged by spam rules",TRIM(IF(X12&gt;=20,"Strong source. ","")&amp;IF(Y12&gt;0,"Company email. ","")&amp;IF(Z12&gt;=15,"High-value product. ","")&amp;IF(AA12&gt;='Scoring Model'!$B$15,"High engagement. ","")&amp;IF(AB12&gt;0,"Buying intent in message. ","")&amp;IF(AC12&lt;0,"Negative intent in message. ","")))</f>
        <v>Flagged by spam rules</v>
      </c>
      <c r="AG12" s="11" t="str">
        <f aca="false">IF(W12="Likely Spam","",1/(1+EXP(-('Conversion Model'!$B$5+IFERROR(INDEX('Conversion Model'!$B$8:$B$14,MATCH(C12,'Conversion Model'!$A$8:$A$14,0)),0)+IFERROR(INDEX('Conversion Model'!$E$8:$E$9,MATCH(F12,'Conversion Model'!$D$8:$D$9,0)),0)+IFERROR(INDEX('Conversion Model'!$H$8:$H$12,MATCH(IF(LEFT(J12,8)="Payments","Payments",IF(LEFT(J12,7)="Lending","Lending",J12)),'Conversion Model'!$G$8:$G$12,0)),0)+MIN(L12,15)*'Conversion Model'!$B$17+IF(SUMPRODUCT(--ISNUMBER(SEARCH('Scoring Model'!$D$16:$D$25,K12)))&gt;0,'Conversion Model'!$B$18,0)+IF(SUMPRODUCT(--ISNUMBER(SEARCH('Scoring Model'!$G$16:$G$23,K12)))&gt;0,'Conversion Model'!$B$19,0)))))</f>
        <v/>
      </c>
      <c r="AH12" s="3" t="str">
        <f aca="false">IF(OR(O12="Qualified",O12="Won",O12="Lost"),1,IF(O12="Unqualified",0,""))</f>
        <v/>
      </c>
    </row>
    <row r="13" customFormat="false" ht="15" hidden="false" customHeight="true" outlineLevel="0" collapsed="false">
      <c r="A13" s="3" t="s">
        <v>127</v>
      </c>
      <c r="B13" s="9" t="n">
        <v>45936.7666666667</v>
      </c>
      <c r="C13" s="3" t="s">
        <v>128</v>
      </c>
      <c r="D13" s="3" t="s">
        <v>129</v>
      </c>
      <c r="E13" s="3" t="s">
        <v>130</v>
      </c>
      <c r="F13" s="3" t="s">
        <v>22</v>
      </c>
      <c r="G13" s="3" t="s">
        <v>131</v>
      </c>
      <c r="H13" s="3" t="s">
        <v>132</v>
      </c>
      <c r="I13" s="3" t="s">
        <v>94</v>
      </c>
      <c r="J13" s="3" t="s">
        <v>81</v>
      </c>
      <c r="K13" s="3" t="s">
        <v>118</v>
      </c>
      <c r="L13" s="3" t="n">
        <v>3</v>
      </c>
      <c r="M13" s="3" t="n">
        <v>66.2</v>
      </c>
      <c r="N13" s="3" t="s">
        <v>96</v>
      </c>
      <c r="O13" s="3" t="s">
        <v>133</v>
      </c>
      <c r="P13" s="10"/>
      <c r="Q13" s="3" t="n">
        <f aca="false">IF(F13="Disposable",1,0)</f>
        <v>0</v>
      </c>
      <c r="R13" s="3" t="n">
        <f aca="false">IF(SUMPRODUCT(--ISNUMBER(SEARCH('Spam Rules'!$A$22:$A$35,K13)))&gt;0,1,0)</f>
        <v>0</v>
      </c>
      <c r="S13" s="3" t="n">
        <f aca="false">IF(AND(F13="Free",G13=""),1,0)</f>
        <v>0</v>
      </c>
      <c r="T13" s="3" t="n">
        <f aca="false">IF(LEN(TRIM(K13))&lt;15,1,0)</f>
        <v>0</v>
      </c>
      <c r="U13" s="3" t="n">
        <f aca="false">IF(COUNTIF($E$2:$E$801,E13)&gt;1,1,0)</f>
        <v>0</v>
      </c>
      <c r="V13" s="3" t="n">
        <f aca="false">Q13*'Spam Rules'!$H$6+R13*'Spam Rules'!$H$7+S13*'Spam Rules'!$H$8+T13*'Spam Rules'!$H$9+U13*'Spam Rules'!$H$10</f>
        <v>0</v>
      </c>
      <c r="W13" s="3" t="str">
        <f aca="false">IF(V13&gt;='Spam Rules'!$B$3,"Likely Spam","Genuine")</f>
        <v>Genuine</v>
      </c>
      <c r="X13" s="3" t="n">
        <f aca="false">IFERROR(INDEX('Scoring Model'!$B$5:$B$11,MATCH(C13,'Scoring Model'!$A$5:$A$11,0)),0)</f>
        <v>30</v>
      </c>
      <c r="Y13" s="3" t="n">
        <f aca="false">IFERROR(INDEX('Scoring Model'!$E$5:$E$7,MATCH(F13,'Scoring Model'!$D$5:$D$7,0)),0)</f>
        <v>20</v>
      </c>
      <c r="Z13" s="3" t="n">
        <f aca="false">IFERROR(INDEX('Scoring Model'!$H$5:$H$13,MATCH(J13,'Scoring Model'!$G$5:$G$13,0)),0)</f>
        <v>5</v>
      </c>
      <c r="AA13" s="3" t="n">
        <f aca="false">IF(L13&gt;='Scoring Model'!$B$14,'Scoring Model'!$B$15,IF(L13&gt;='Scoring Model'!$B$16,'Scoring Model'!$B$17,0))</f>
        <v>0</v>
      </c>
      <c r="AB13" s="3" t="n">
        <f aca="false">IF(SUMPRODUCT(--ISNUMBER(SEARCH('Scoring Model'!$D$16:$D$25,K13)))&gt;0,'Scoring Model'!$B$18,0)</f>
        <v>15</v>
      </c>
      <c r="AC13" s="3" t="n">
        <f aca="false">IF(SUMPRODUCT(--ISNUMBER(SEARCH('Scoring Model'!$G$16:$G$23,K13)))&gt;0,'Scoring Model'!$B$19,0)</f>
        <v>0</v>
      </c>
      <c r="AD13" s="3" t="n">
        <f aca="false">IF(W13="Likely Spam","",SUM(X13:AC13))</f>
        <v>70</v>
      </c>
      <c r="AE13" s="3" t="str">
        <f aca="false">IF(W13="Likely Spam","Spam",IF(AD13&gt;='Scoring Model'!$B$21,"Hot",IF(AD13&gt;='Scoring Model'!$B$22,"Warm","Nurture")))</f>
        <v>Hot</v>
      </c>
      <c r="AF13" s="3" t="str">
        <f aca="false">IF(W13="Likely Spam","Flagged by spam rules",TRIM(IF(X13&gt;=20,"Strong source. ","")&amp;IF(Y13&gt;0,"Company email. ","")&amp;IF(Z13&gt;=15,"High-value product. ","")&amp;IF(AA13&gt;='Scoring Model'!$B$15,"High engagement. ","")&amp;IF(AB13&gt;0,"Buying intent in message. ","")&amp;IF(AC13&lt;0,"Negative intent in message. ","")))</f>
        <v>Strong source. Company email. Buying intent in message.</v>
      </c>
      <c r="AG13" s="11" t="n">
        <f aca="false">IF(W13="Likely Spam","",1/(1+EXP(-('Conversion Model'!$B$5+IFERROR(INDEX('Conversion Model'!$B$8:$B$14,MATCH(C13,'Conversion Model'!$A$8:$A$14,0)),0)+IFERROR(INDEX('Conversion Model'!$E$8:$E$9,MATCH(F13,'Conversion Model'!$D$8:$D$9,0)),0)+IFERROR(INDEX('Conversion Model'!$H$8:$H$12,MATCH(IF(LEFT(J13,8)="Payments","Payments",IF(LEFT(J13,7)="Lending","Lending",J13)),'Conversion Model'!$G$8:$G$12,0)),0)+MIN(L13,15)*'Conversion Model'!$B$17+IF(SUMPRODUCT(--ISNUMBER(SEARCH('Scoring Model'!$D$16:$D$25,K13)))&gt;0,'Conversion Model'!$B$18,0)+IF(SUMPRODUCT(--ISNUMBER(SEARCH('Scoring Model'!$G$16:$G$23,K13)))&gt;0,'Conversion Model'!$B$19,0)))))</f>
        <v>0.497750015187377</v>
      </c>
      <c r="AH13" s="3" t="str">
        <f aca="false">IF(OR(O13="Qualified",O13="Won",O13="Lost"),1,IF(O13="Unqualified",0,""))</f>
        <v/>
      </c>
    </row>
    <row r="14" customFormat="false" ht="15" hidden="false" customHeight="true" outlineLevel="0" collapsed="false">
      <c r="A14" s="3" t="s">
        <v>134</v>
      </c>
      <c r="B14" s="9" t="n">
        <v>45937.3506944445</v>
      </c>
      <c r="C14" s="3" t="s">
        <v>135</v>
      </c>
      <c r="D14" s="3" t="s">
        <v>136</v>
      </c>
      <c r="E14" s="3" t="s">
        <v>137</v>
      </c>
      <c r="F14" s="3" t="s">
        <v>54</v>
      </c>
      <c r="G14" s="3" t="s">
        <v>138</v>
      </c>
      <c r="H14" s="3"/>
      <c r="I14" s="3" t="s">
        <v>139</v>
      </c>
      <c r="J14" s="3" t="s">
        <v>57</v>
      </c>
      <c r="K14" s="3" t="s">
        <v>58</v>
      </c>
      <c r="L14" s="3" t="n">
        <v>2</v>
      </c>
      <c r="M14" s="3" t="n">
        <v>3</v>
      </c>
      <c r="N14" s="3" t="s">
        <v>59</v>
      </c>
      <c r="O14" s="3" t="s">
        <v>133</v>
      </c>
      <c r="P14" s="10"/>
      <c r="Q14" s="3" t="n">
        <f aca="false">IF(F14="Disposable",1,0)</f>
        <v>0</v>
      </c>
      <c r="R14" s="3" t="n">
        <f aca="false">IF(SUMPRODUCT(--ISNUMBER(SEARCH('Spam Rules'!$A$22:$A$35,K14)))&gt;0,1,0)</f>
        <v>0</v>
      </c>
      <c r="S14" s="3" t="n">
        <f aca="false">IF(AND(F14="Free",G14=""),1,0)</f>
        <v>0</v>
      </c>
      <c r="T14" s="3" t="n">
        <f aca="false">IF(LEN(TRIM(K14))&lt;15,1,0)</f>
        <v>0</v>
      </c>
      <c r="U14" s="3" t="n">
        <f aca="false">IF(COUNTIF($E$2:$E$801,E14)&gt;1,1,0)</f>
        <v>0</v>
      </c>
      <c r="V14" s="3" t="n">
        <f aca="false">Q14*'Spam Rules'!$H$6+R14*'Spam Rules'!$H$7+S14*'Spam Rules'!$H$8+T14*'Spam Rules'!$H$9+U14*'Spam Rules'!$H$10</f>
        <v>0</v>
      </c>
      <c r="W14" s="3" t="str">
        <f aca="false">IF(V14&gt;='Spam Rules'!$B$3,"Likely Spam","Genuine")</f>
        <v>Genuine</v>
      </c>
      <c r="X14" s="3" t="n">
        <f aca="false">IFERROR(INDEX('Scoring Model'!$B$5:$B$11,MATCH(C14,'Scoring Model'!$A$5:$A$11,0)),0)</f>
        <v>20</v>
      </c>
      <c r="Y14" s="3" t="n">
        <f aca="false">IFERROR(INDEX('Scoring Model'!$E$5:$E$7,MATCH(F14,'Scoring Model'!$D$5:$D$7,0)),0)</f>
        <v>0</v>
      </c>
      <c r="Z14" s="3" t="n">
        <f aca="false">IFERROR(INDEX('Scoring Model'!$H$5:$H$13,MATCH(J14,'Scoring Model'!$G$5:$G$13,0)),0)</f>
        <v>15</v>
      </c>
      <c r="AA14" s="3" t="n">
        <f aca="false">IF(L14&gt;='Scoring Model'!$B$14,'Scoring Model'!$B$15,IF(L14&gt;='Scoring Model'!$B$16,'Scoring Model'!$B$17,0))</f>
        <v>0</v>
      </c>
      <c r="AB14" s="3" t="n">
        <f aca="false">IF(SUMPRODUCT(--ISNUMBER(SEARCH('Scoring Model'!$D$16:$D$25,K14)))&gt;0,'Scoring Model'!$B$18,0)</f>
        <v>15</v>
      </c>
      <c r="AC14" s="3" t="n">
        <f aca="false">IF(SUMPRODUCT(--ISNUMBER(SEARCH('Scoring Model'!$G$16:$G$23,K14)))&gt;0,'Scoring Model'!$B$19,0)</f>
        <v>0</v>
      </c>
      <c r="AD14" s="3" t="n">
        <f aca="false">IF(W14="Likely Spam","",SUM(X14:AC14))</f>
        <v>50</v>
      </c>
      <c r="AE14" s="3" t="str">
        <f aca="false">IF(W14="Likely Spam","Spam",IF(AD14&gt;='Scoring Model'!$B$21,"Hot",IF(AD14&gt;='Scoring Model'!$B$22,"Warm","Nurture")))</f>
        <v>Warm</v>
      </c>
      <c r="AF14" s="3" t="str">
        <f aca="false">IF(W14="Likely Spam","Flagged by spam rules",TRIM(IF(X14&gt;=20,"Strong source. ","")&amp;IF(Y14&gt;0,"Company email. ","")&amp;IF(Z14&gt;=15,"High-value product. ","")&amp;IF(AA14&gt;='Scoring Model'!$B$15,"High engagement. ","")&amp;IF(AB14&gt;0,"Buying intent in message. ","")&amp;IF(AC14&lt;0,"Negative intent in message. ","")))</f>
        <v>Strong source. High-value product. Buying intent in message.</v>
      </c>
      <c r="AG14" s="11" t="n">
        <f aca="false">IF(W14="Likely Spam","",1/(1+EXP(-('Conversion Model'!$B$5+IFERROR(INDEX('Conversion Model'!$B$8:$B$14,MATCH(C14,'Conversion Model'!$A$8:$A$14,0)),0)+IFERROR(INDEX('Conversion Model'!$E$8:$E$9,MATCH(F14,'Conversion Model'!$D$8:$D$9,0)),0)+IFERROR(INDEX('Conversion Model'!$H$8:$H$12,MATCH(IF(LEFT(J14,8)="Payments","Payments",IF(LEFT(J14,7)="Lending","Lending",J14)),'Conversion Model'!$G$8:$G$12,0)),0)+MIN(L14,15)*'Conversion Model'!$B$17+IF(SUMPRODUCT(--ISNUMBER(SEARCH('Scoring Model'!$D$16:$D$25,K14)))&gt;0,'Conversion Model'!$B$18,0)+IF(SUMPRODUCT(--ISNUMBER(SEARCH('Scoring Model'!$G$16:$G$23,K14)))&gt;0,'Conversion Model'!$B$19,0)))))</f>
        <v>0.164379058208692</v>
      </c>
      <c r="AH14" s="3" t="str">
        <f aca="false">IF(OR(O14="Qualified",O14="Won",O14="Lost"),1,IF(O14="Unqualified",0,""))</f>
        <v/>
      </c>
    </row>
    <row r="15" customFormat="false" ht="15" hidden="false" customHeight="true" outlineLevel="0" collapsed="false">
      <c r="A15" s="3" t="s">
        <v>140</v>
      </c>
      <c r="B15" s="9" t="n">
        <v>45937.6909722222</v>
      </c>
      <c r="C15" s="3" t="s">
        <v>112</v>
      </c>
      <c r="D15" s="3" t="s">
        <v>141</v>
      </c>
      <c r="E15" s="3" t="s">
        <v>142</v>
      </c>
      <c r="F15" s="3" t="s">
        <v>22</v>
      </c>
      <c r="G15" s="3" t="s">
        <v>143</v>
      </c>
      <c r="H15" s="3" t="s">
        <v>144</v>
      </c>
      <c r="I15" s="3" t="s">
        <v>80</v>
      </c>
      <c r="J15" s="3" t="s">
        <v>145</v>
      </c>
      <c r="K15" s="3" t="s">
        <v>146</v>
      </c>
      <c r="L15" s="3" t="n">
        <v>11</v>
      </c>
      <c r="M15" s="3" t="n">
        <v>18.9</v>
      </c>
      <c r="N15" s="3" t="s">
        <v>67</v>
      </c>
      <c r="O15" s="3" t="s">
        <v>147</v>
      </c>
      <c r="P15" s="10" t="n">
        <v>48000</v>
      </c>
      <c r="Q15" s="3" t="n">
        <f aca="false">IF(F15="Disposable",1,0)</f>
        <v>0</v>
      </c>
      <c r="R15" s="3" t="n">
        <f aca="false">IF(SUMPRODUCT(--ISNUMBER(SEARCH('Spam Rules'!$A$22:$A$35,K15)))&gt;0,1,0)</f>
        <v>0</v>
      </c>
      <c r="S15" s="3" t="n">
        <f aca="false">IF(AND(F15="Free",G15=""),1,0)</f>
        <v>0</v>
      </c>
      <c r="T15" s="3" t="n">
        <f aca="false">IF(LEN(TRIM(K15))&lt;15,1,0)</f>
        <v>0</v>
      </c>
      <c r="U15" s="3" t="n">
        <f aca="false">IF(COUNTIF($E$2:$E$801,E15)&gt;1,1,0)</f>
        <v>0</v>
      </c>
      <c r="V15" s="3" t="n">
        <f aca="false">Q15*'Spam Rules'!$H$6+R15*'Spam Rules'!$H$7+S15*'Spam Rules'!$H$8+T15*'Spam Rules'!$H$9+U15*'Spam Rules'!$H$10</f>
        <v>0</v>
      </c>
      <c r="W15" s="3" t="str">
        <f aca="false">IF(V15&gt;='Spam Rules'!$B$3,"Likely Spam","Genuine")</f>
        <v>Genuine</v>
      </c>
      <c r="X15" s="3" t="n">
        <f aca="false">IFERROR(INDEX('Scoring Model'!$B$5:$B$11,MATCH(C15,'Scoring Model'!$A$5:$A$11,0)),0)</f>
        <v>15</v>
      </c>
      <c r="Y15" s="3" t="n">
        <f aca="false">IFERROR(INDEX('Scoring Model'!$E$5:$E$7,MATCH(F15,'Scoring Model'!$D$5:$D$7,0)),0)</f>
        <v>20</v>
      </c>
      <c r="Z15" s="3" t="n">
        <f aca="false">IFERROR(INDEX('Scoring Model'!$H$5:$H$13,MATCH(J15,'Scoring Model'!$G$5:$G$13,0)),0)</f>
        <v>5</v>
      </c>
      <c r="AA15" s="3" t="n">
        <f aca="false">IF(L15&gt;='Scoring Model'!$B$14,'Scoring Model'!$B$15,IF(L15&gt;='Scoring Model'!$B$16,'Scoring Model'!$B$17,0))</f>
        <v>15</v>
      </c>
      <c r="AB15" s="3" t="n">
        <f aca="false">IF(SUMPRODUCT(--ISNUMBER(SEARCH('Scoring Model'!$D$16:$D$25,K15)))&gt;0,'Scoring Model'!$B$18,0)</f>
        <v>15</v>
      </c>
      <c r="AC15" s="3" t="n">
        <f aca="false">IF(SUMPRODUCT(--ISNUMBER(SEARCH('Scoring Model'!$G$16:$G$23,K15)))&gt;0,'Scoring Model'!$B$19,0)</f>
        <v>0</v>
      </c>
      <c r="AD15" s="3" t="n">
        <f aca="false">IF(W15="Likely Spam","",SUM(X15:AC15))</f>
        <v>70</v>
      </c>
      <c r="AE15" s="3" t="str">
        <f aca="false">IF(W15="Likely Spam","Spam",IF(AD15&gt;='Scoring Model'!$B$21,"Hot",IF(AD15&gt;='Scoring Model'!$B$22,"Warm","Nurture")))</f>
        <v>Hot</v>
      </c>
      <c r="AF15" s="3" t="str">
        <f aca="false">IF(W15="Likely Spam","Flagged by spam rules",TRIM(IF(X15&gt;=20,"Strong source. ","")&amp;IF(Y15&gt;0,"Company email. ","")&amp;IF(Z15&gt;=15,"High-value product. ","")&amp;IF(AA15&gt;='Scoring Model'!$B$15,"High engagement. ","")&amp;IF(AB15&gt;0,"Buying intent in message. ","")&amp;IF(AC15&lt;0,"Negative intent in message. ","")))</f>
        <v>Company email. High engagement. Buying intent in message.</v>
      </c>
      <c r="AG15" s="11" t="n">
        <f aca="false">IF(W15="Likely Spam","",1/(1+EXP(-('Conversion Model'!$B$5+IFERROR(INDEX('Conversion Model'!$B$8:$B$14,MATCH(C15,'Conversion Model'!$A$8:$A$14,0)),0)+IFERROR(INDEX('Conversion Model'!$E$8:$E$9,MATCH(F15,'Conversion Model'!$D$8:$D$9,0)),0)+IFERROR(INDEX('Conversion Model'!$H$8:$H$12,MATCH(IF(LEFT(J15,8)="Payments","Payments",IF(LEFT(J15,7)="Lending","Lending",J15)),'Conversion Model'!$G$8:$G$12,0)),0)+MIN(L15,15)*'Conversion Model'!$B$17+IF(SUMPRODUCT(--ISNUMBER(SEARCH('Scoring Model'!$D$16:$D$25,K15)))&gt;0,'Conversion Model'!$B$18,0)+IF(SUMPRODUCT(--ISNUMBER(SEARCH('Scoring Model'!$G$16:$G$23,K15)))&gt;0,'Conversion Model'!$B$19,0)))))</f>
        <v>0.996954378424963</v>
      </c>
      <c r="AH15" s="3" t="n">
        <f aca="false">IF(OR(O15="Qualified",O15="Won",O15="Lost"),1,IF(O15="Unqualified",0,""))</f>
        <v>1</v>
      </c>
    </row>
    <row r="16" customFormat="false" ht="15" hidden="false" customHeight="true" outlineLevel="0" collapsed="false">
      <c r="A16" s="3" t="s">
        <v>148</v>
      </c>
      <c r="B16" s="9" t="n">
        <v>45939.4770833333</v>
      </c>
      <c r="C16" s="3" t="s">
        <v>135</v>
      </c>
      <c r="D16" s="3" t="s">
        <v>149</v>
      </c>
      <c r="E16" s="3" t="s">
        <v>150</v>
      </c>
      <c r="F16" s="3" t="s">
        <v>22</v>
      </c>
      <c r="G16" s="3" t="s">
        <v>151</v>
      </c>
      <c r="H16" s="3" t="s">
        <v>152</v>
      </c>
      <c r="I16" s="3" t="s">
        <v>94</v>
      </c>
      <c r="J16" s="3" t="s">
        <v>81</v>
      </c>
      <c r="K16" s="3" t="s">
        <v>153</v>
      </c>
      <c r="L16" s="3" t="n">
        <v>10</v>
      </c>
      <c r="M16" s="3" t="n">
        <v>155.4</v>
      </c>
      <c r="N16" s="3" t="s">
        <v>96</v>
      </c>
      <c r="O16" s="3" t="s">
        <v>110</v>
      </c>
      <c r="P16" s="10"/>
      <c r="Q16" s="3" t="n">
        <f aca="false">IF(F16="Disposable",1,0)</f>
        <v>0</v>
      </c>
      <c r="R16" s="3" t="n">
        <f aca="false">IF(SUMPRODUCT(--ISNUMBER(SEARCH('Spam Rules'!$A$22:$A$35,K16)))&gt;0,1,0)</f>
        <v>0</v>
      </c>
      <c r="S16" s="3" t="n">
        <f aca="false">IF(AND(F16="Free",G16=""),1,0)</f>
        <v>0</v>
      </c>
      <c r="T16" s="3" t="n">
        <f aca="false">IF(LEN(TRIM(K16))&lt;15,1,0)</f>
        <v>0</v>
      </c>
      <c r="U16" s="3" t="n">
        <f aca="false">IF(COUNTIF($E$2:$E$801,E16)&gt;1,1,0)</f>
        <v>0</v>
      </c>
      <c r="V16" s="3" t="n">
        <f aca="false">Q16*'Spam Rules'!$H$6+R16*'Spam Rules'!$H$7+S16*'Spam Rules'!$H$8+T16*'Spam Rules'!$H$9+U16*'Spam Rules'!$H$10</f>
        <v>0</v>
      </c>
      <c r="W16" s="3" t="str">
        <f aca="false">IF(V16&gt;='Spam Rules'!$B$3,"Likely Spam","Genuine")</f>
        <v>Genuine</v>
      </c>
      <c r="X16" s="3" t="n">
        <f aca="false">IFERROR(INDEX('Scoring Model'!$B$5:$B$11,MATCH(C16,'Scoring Model'!$A$5:$A$11,0)),0)</f>
        <v>20</v>
      </c>
      <c r="Y16" s="3" t="n">
        <f aca="false">IFERROR(INDEX('Scoring Model'!$E$5:$E$7,MATCH(F16,'Scoring Model'!$D$5:$D$7,0)),0)</f>
        <v>20</v>
      </c>
      <c r="Z16" s="3" t="n">
        <f aca="false">IFERROR(INDEX('Scoring Model'!$H$5:$H$13,MATCH(J16,'Scoring Model'!$G$5:$G$13,0)),0)</f>
        <v>5</v>
      </c>
      <c r="AA16" s="3" t="n">
        <f aca="false">IF(L16&gt;='Scoring Model'!$B$14,'Scoring Model'!$B$15,IF(L16&gt;='Scoring Model'!$B$16,'Scoring Model'!$B$17,0))</f>
        <v>15</v>
      </c>
      <c r="AB16" s="3" t="n">
        <f aca="false">IF(SUMPRODUCT(--ISNUMBER(SEARCH('Scoring Model'!$D$16:$D$25,K16)))&gt;0,'Scoring Model'!$B$18,0)</f>
        <v>15</v>
      </c>
      <c r="AC16" s="3" t="n">
        <f aca="false">IF(SUMPRODUCT(--ISNUMBER(SEARCH('Scoring Model'!$G$16:$G$23,K16)))&gt;0,'Scoring Model'!$B$19,0)</f>
        <v>0</v>
      </c>
      <c r="AD16" s="3" t="n">
        <f aca="false">IF(W16="Likely Spam","",SUM(X16:AC16))</f>
        <v>75</v>
      </c>
      <c r="AE16" s="3" t="str">
        <f aca="false">IF(W16="Likely Spam","Spam",IF(AD16&gt;='Scoring Model'!$B$21,"Hot",IF(AD16&gt;='Scoring Model'!$B$22,"Warm","Nurture")))</f>
        <v>Hot</v>
      </c>
      <c r="AF16" s="3" t="str">
        <f aca="false">IF(W16="Likely Spam","Flagged by spam rules",TRIM(IF(X16&gt;=20,"Strong source. ","")&amp;IF(Y16&gt;0,"Company email. ","")&amp;IF(Z16&gt;=15,"High-value product. ","")&amp;IF(AA16&gt;='Scoring Model'!$B$15,"High engagement. ","")&amp;IF(AB16&gt;0,"Buying intent in message. ","")&amp;IF(AC16&lt;0,"Negative intent in message. ","")))</f>
        <v>Strong source. Company email. High engagement. Buying intent in message.</v>
      </c>
      <c r="AG16" s="11" t="n">
        <f aca="false">IF(W16="Likely Spam","",1/(1+EXP(-('Conversion Model'!$B$5+IFERROR(INDEX('Conversion Model'!$B$8:$B$14,MATCH(C16,'Conversion Model'!$A$8:$A$14,0)),0)+IFERROR(INDEX('Conversion Model'!$E$8:$E$9,MATCH(F16,'Conversion Model'!$D$8:$D$9,0)),0)+IFERROR(INDEX('Conversion Model'!$H$8:$H$12,MATCH(IF(LEFT(J16,8)="Payments","Payments",IF(LEFT(J16,7)="Lending","Lending",J16)),'Conversion Model'!$G$8:$G$12,0)),0)+MIN(L16,15)*'Conversion Model'!$B$17+IF(SUMPRODUCT(--ISNUMBER(SEARCH('Scoring Model'!$D$16:$D$25,K16)))&gt;0,'Conversion Model'!$B$18,0)+IF(SUMPRODUCT(--ISNUMBER(SEARCH('Scoring Model'!$G$16:$G$23,K16)))&gt;0,'Conversion Model'!$B$19,0)))))</f>
        <v>0.994958513187793</v>
      </c>
      <c r="AH16" s="3" t="n">
        <f aca="false">IF(OR(O16="Qualified",O16="Won",O16="Lost"),1,IF(O16="Unqualified",0,""))</f>
        <v>1</v>
      </c>
    </row>
    <row r="17" customFormat="false" ht="15" hidden="false" customHeight="true" outlineLevel="0" collapsed="false">
      <c r="A17" s="3" t="s">
        <v>154</v>
      </c>
      <c r="B17" s="9" t="n">
        <v>45939.5486111111</v>
      </c>
      <c r="C17" s="3" t="s">
        <v>135</v>
      </c>
      <c r="D17" s="3" t="s">
        <v>155</v>
      </c>
      <c r="E17" s="3" t="s">
        <v>156</v>
      </c>
      <c r="F17" s="3" t="s">
        <v>22</v>
      </c>
      <c r="G17" s="3" t="s">
        <v>157</v>
      </c>
      <c r="H17" s="3" t="s">
        <v>158</v>
      </c>
      <c r="I17" s="3" t="s">
        <v>116</v>
      </c>
      <c r="J17" s="3" t="s">
        <v>57</v>
      </c>
      <c r="K17" s="3" t="s">
        <v>58</v>
      </c>
      <c r="L17" s="3" t="n">
        <v>12</v>
      </c>
      <c r="M17" s="3" t="n">
        <v>8.9</v>
      </c>
      <c r="N17" s="3" t="s">
        <v>96</v>
      </c>
      <c r="O17" s="3" t="s">
        <v>110</v>
      </c>
      <c r="P17" s="10"/>
      <c r="Q17" s="3" t="n">
        <f aca="false">IF(F17="Disposable",1,0)</f>
        <v>0</v>
      </c>
      <c r="R17" s="3" t="n">
        <f aca="false">IF(SUMPRODUCT(--ISNUMBER(SEARCH('Spam Rules'!$A$22:$A$35,K17)))&gt;0,1,0)</f>
        <v>0</v>
      </c>
      <c r="S17" s="3" t="n">
        <f aca="false">IF(AND(F17="Free",G17=""),1,0)</f>
        <v>0</v>
      </c>
      <c r="T17" s="3" t="n">
        <f aca="false">IF(LEN(TRIM(K17))&lt;15,1,0)</f>
        <v>0</v>
      </c>
      <c r="U17" s="3" t="n">
        <f aca="false">IF(COUNTIF($E$2:$E$801,E17)&gt;1,1,0)</f>
        <v>0</v>
      </c>
      <c r="V17" s="3" t="n">
        <f aca="false">Q17*'Spam Rules'!$H$6+R17*'Spam Rules'!$H$7+S17*'Spam Rules'!$H$8+T17*'Spam Rules'!$H$9+U17*'Spam Rules'!$H$10</f>
        <v>0</v>
      </c>
      <c r="W17" s="3" t="str">
        <f aca="false">IF(V17&gt;='Spam Rules'!$B$3,"Likely Spam","Genuine")</f>
        <v>Genuine</v>
      </c>
      <c r="X17" s="3" t="n">
        <f aca="false">IFERROR(INDEX('Scoring Model'!$B$5:$B$11,MATCH(C17,'Scoring Model'!$A$5:$A$11,0)),0)</f>
        <v>20</v>
      </c>
      <c r="Y17" s="3" t="n">
        <f aca="false">IFERROR(INDEX('Scoring Model'!$E$5:$E$7,MATCH(F17,'Scoring Model'!$D$5:$D$7,0)),0)</f>
        <v>20</v>
      </c>
      <c r="Z17" s="3" t="n">
        <f aca="false">IFERROR(INDEX('Scoring Model'!$H$5:$H$13,MATCH(J17,'Scoring Model'!$G$5:$G$13,0)),0)</f>
        <v>15</v>
      </c>
      <c r="AA17" s="3" t="n">
        <f aca="false">IF(L17&gt;='Scoring Model'!$B$14,'Scoring Model'!$B$15,IF(L17&gt;='Scoring Model'!$B$16,'Scoring Model'!$B$17,0))</f>
        <v>15</v>
      </c>
      <c r="AB17" s="3" t="n">
        <f aca="false">IF(SUMPRODUCT(--ISNUMBER(SEARCH('Scoring Model'!$D$16:$D$25,K17)))&gt;0,'Scoring Model'!$B$18,0)</f>
        <v>15</v>
      </c>
      <c r="AC17" s="3" t="n">
        <f aca="false">IF(SUMPRODUCT(--ISNUMBER(SEARCH('Scoring Model'!$G$16:$G$23,K17)))&gt;0,'Scoring Model'!$B$19,0)</f>
        <v>0</v>
      </c>
      <c r="AD17" s="3" t="n">
        <f aca="false">IF(W17="Likely Spam","",SUM(X17:AC17))</f>
        <v>85</v>
      </c>
      <c r="AE17" s="3" t="str">
        <f aca="false">IF(W17="Likely Spam","Spam",IF(AD17&gt;='Scoring Model'!$B$21,"Hot",IF(AD17&gt;='Scoring Model'!$B$22,"Warm","Nurture")))</f>
        <v>Hot</v>
      </c>
      <c r="AF17" s="3" t="str">
        <f aca="false">IF(W17="Likely Spam","Flagged by spam rules",TRIM(IF(X17&gt;=20,"Strong source. ","")&amp;IF(Y17&gt;0,"Company email. ","")&amp;IF(Z17&gt;=15,"High-value product. ","")&amp;IF(AA17&gt;='Scoring Model'!$B$15,"High engagement. ","")&amp;IF(AB17&gt;0,"Buying intent in message. ","")&amp;IF(AC17&lt;0,"Negative intent in message. ","")))</f>
        <v>Strong source. Company email. High-value product. High engagement. Buying intent in message.</v>
      </c>
      <c r="AG17" s="11" t="n">
        <f aca="false">IF(W17="Likely Spam","",1/(1+EXP(-('Conversion Model'!$B$5+IFERROR(INDEX('Conversion Model'!$B$8:$B$14,MATCH(C17,'Conversion Model'!$A$8:$A$14,0)),0)+IFERROR(INDEX('Conversion Model'!$E$8:$E$9,MATCH(F17,'Conversion Model'!$D$8:$D$9,0)),0)+IFERROR(INDEX('Conversion Model'!$H$8:$H$12,MATCH(IF(LEFT(J17,8)="Payments","Payments",IF(LEFT(J17,7)="Lending","Lending",J17)),'Conversion Model'!$G$8:$G$12,0)),0)+MIN(L17,15)*'Conversion Model'!$B$17+IF(SUMPRODUCT(--ISNUMBER(SEARCH('Scoring Model'!$D$16:$D$25,K17)))&gt;0,'Conversion Model'!$B$18,0)+IF(SUMPRODUCT(--ISNUMBER(SEARCH('Scoring Model'!$G$16:$G$23,K17)))&gt;0,'Conversion Model'!$B$19,0)))))</f>
        <v>0.999307839297566</v>
      </c>
      <c r="AH17" s="3" t="n">
        <f aca="false">IF(OR(O17="Qualified",O17="Won",O17="Lost"),1,IF(O17="Unqualified",0,""))</f>
        <v>1</v>
      </c>
    </row>
    <row r="18" customFormat="false" ht="15" hidden="false" customHeight="true" outlineLevel="0" collapsed="false">
      <c r="A18" s="3" t="s">
        <v>159</v>
      </c>
      <c r="B18" s="9" t="n">
        <v>45939.9090277778</v>
      </c>
      <c r="C18" s="3" t="s">
        <v>160</v>
      </c>
      <c r="D18" s="3" t="s">
        <v>161</v>
      </c>
      <c r="E18" s="3" t="s">
        <v>162</v>
      </c>
      <c r="F18" s="3" t="s">
        <v>22</v>
      </c>
      <c r="G18" s="3" t="s">
        <v>163</v>
      </c>
      <c r="H18" s="3" t="s">
        <v>164</v>
      </c>
      <c r="I18" s="3" t="s">
        <v>56</v>
      </c>
      <c r="J18" s="3" t="s">
        <v>165</v>
      </c>
      <c r="K18" s="3" t="s">
        <v>166</v>
      </c>
      <c r="L18" s="3" t="n">
        <v>12</v>
      </c>
      <c r="M18" s="3" t="n">
        <v>13.7</v>
      </c>
      <c r="N18" s="3" t="s">
        <v>67</v>
      </c>
      <c r="O18" s="3"/>
      <c r="P18" s="10"/>
      <c r="Q18" s="3" t="n">
        <f aca="false">IF(F18="Disposable",1,0)</f>
        <v>0</v>
      </c>
      <c r="R18" s="3" t="n">
        <f aca="false">IF(SUMPRODUCT(--ISNUMBER(SEARCH('Spam Rules'!$A$22:$A$35,K18)))&gt;0,1,0)</f>
        <v>0</v>
      </c>
      <c r="S18" s="3" t="n">
        <f aca="false">IF(AND(F18="Free",G18=""),1,0)</f>
        <v>0</v>
      </c>
      <c r="T18" s="3" t="n">
        <f aca="false">IF(LEN(TRIM(K18))&lt;15,1,0)</f>
        <v>0</v>
      </c>
      <c r="U18" s="3" t="n">
        <f aca="false">IF(COUNTIF($E$2:$E$801,E18)&gt;1,1,0)</f>
        <v>0</v>
      </c>
      <c r="V18" s="3" t="n">
        <f aca="false">Q18*'Spam Rules'!$H$6+R18*'Spam Rules'!$H$7+S18*'Spam Rules'!$H$8+T18*'Spam Rules'!$H$9+U18*'Spam Rules'!$H$10</f>
        <v>0</v>
      </c>
      <c r="W18" s="3" t="str">
        <f aca="false">IF(V18&gt;='Spam Rules'!$B$3,"Likely Spam","Genuine")</f>
        <v>Genuine</v>
      </c>
      <c r="X18" s="3" t="n">
        <f aca="false">IFERROR(INDEX('Scoring Model'!$B$5:$B$11,MATCH(C18,'Scoring Model'!$A$5:$A$11,0)),0)</f>
        <v>25</v>
      </c>
      <c r="Y18" s="3" t="n">
        <f aca="false">IFERROR(INDEX('Scoring Model'!$E$5:$E$7,MATCH(F18,'Scoring Model'!$D$5:$D$7,0)),0)</f>
        <v>20</v>
      </c>
      <c r="Z18" s="3" t="n">
        <f aca="false">IFERROR(INDEX('Scoring Model'!$H$5:$H$13,MATCH(J18,'Scoring Model'!$G$5:$G$13,0)),0)</f>
        <v>15</v>
      </c>
      <c r="AA18" s="3" t="n">
        <f aca="false">IF(L18&gt;='Scoring Model'!$B$14,'Scoring Model'!$B$15,IF(L18&gt;='Scoring Model'!$B$16,'Scoring Model'!$B$17,0))</f>
        <v>15</v>
      </c>
      <c r="AB18" s="3" t="n">
        <f aca="false">IF(SUMPRODUCT(--ISNUMBER(SEARCH('Scoring Model'!$D$16:$D$25,K18)))&gt;0,'Scoring Model'!$B$18,0)</f>
        <v>15</v>
      </c>
      <c r="AC18" s="3" t="n">
        <f aca="false">IF(SUMPRODUCT(--ISNUMBER(SEARCH('Scoring Model'!$G$16:$G$23,K18)))&gt;0,'Scoring Model'!$B$19,0)</f>
        <v>0</v>
      </c>
      <c r="AD18" s="3" t="n">
        <f aca="false">IF(W18="Likely Spam","",SUM(X18:AC18))</f>
        <v>90</v>
      </c>
      <c r="AE18" s="3" t="str">
        <f aca="false">IF(W18="Likely Spam","Spam",IF(AD18&gt;='Scoring Model'!$B$21,"Hot",IF(AD18&gt;='Scoring Model'!$B$22,"Warm","Nurture")))</f>
        <v>Hot</v>
      </c>
      <c r="AF18" s="3" t="str">
        <f aca="false">IF(W18="Likely Spam","Flagged by spam rules",TRIM(IF(X18&gt;=20,"Strong source. ","")&amp;IF(Y18&gt;0,"Company email. ","")&amp;IF(Z18&gt;=15,"High-value product. ","")&amp;IF(AA18&gt;='Scoring Model'!$B$15,"High engagement. ","")&amp;IF(AB18&gt;0,"Buying intent in message. ","")&amp;IF(AC18&lt;0,"Negative intent in message. ","")))</f>
        <v>Strong source. Company email. High-value product. High engagement. Buying intent in message.</v>
      </c>
      <c r="AG18" s="11" t="n">
        <f aca="false">IF(W18="Likely Spam","",1/(1+EXP(-('Conversion Model'!$B$5+IFERROR(INDEX('Conversion Model'!$B$8:$B$14,MATCH(C18,'Conversion Model'!$A$8:$A$14,0)),0)+IFERROR(INDEX('Conversion Model'!$E$8:$E$9,MATCH(F18,'Conversion Model'!$D$8:$D$9,0)),0)+IFERROR(INDEX('Conversion Model'!$H$8:$H$12,MATCH(IF(LEFT(J18,8)="Payments","Payments",IF(LEFT(J18,7)="Lending","Lending",J18)),'Conversion Model'!$G$8:$G$12,0)),0)+MIN(L18,15)*'Conversion Model'!$B$17+IF(SUMPRODUCT(--ISNUMBER(SEARCH('Scoring Model'!$D$16:$D$25,K18)))&gt;0,'Conversion Model'!$B$18,0)+IF(SUMPRODUCT(--ISNUMBER(SEARCH('Scoring Model'!$G$16:$G$23,K18)))&gt;0,'Conversion Model'!$B$19,0)))))</f>
        <v>0.999009193497682</v>
      </c>
      <c r="AH18" s="3" t="str">
        <f aca="false">IF(OR(O18="Qualified",O18="Won",O18="Lost"),1,IF(O18="Unqualified",0,""))</f>
        <v/>
      </c>
    </row>
    <row r="19" customFormat="false" ht="15" hidden="false" customHeight="true" outlineLevel="0" collapsed="false">
      <c r="A19" s="3" t="s">
        <v>167</v>
      </c>
      <c r="B19" s="9" t="n">
        <v>45939.9284722222</v>
      </c>
      <c r="C19" s="3" t="s">
        <v>91</v>
      </c>
      <c r="D19" s="3" t="s">
        <v>168</v>
      </c>
      <c r="E19" s="3" t="s">
        <v>169</v>
      </c>
      <c r="F19" s="3" t="s">
        <v>54</v>
      </c>
      <c r="G19" s="3"/>
      <c r="H19" s="3"/>
      <c r="I19" s="3" t="s">
        <v>88</v>
      </c>
      <c r="J19" s="3" t="s">
        <v>81</v>
      </c>
      <c r="K19" s="3" t="s">
        <v>170</v>
      </c>
      <c r="L19" s="3" t="n">
        <v>1</v>
      </c>
      <c r="M19" s="3" t="n">
        <v>36.5</v>
      </c>
      <c r="N19" s="3" t="s">
        <v>171</v>
      </c>
      <c r="O19" s="3"/>
      <c r="P19" s="10"/>
      <c r="Q19" s="3" t="n">
        <f aca="false">IF(F19="Disposable",1,0)</f>
        <v>0</v>
      </c>
      <c r="R19" s="3" t="n">
        <f aca="false">IF(SUMPRODUCT(--ISNUMBER(SEARCH('Spam Rules'!$A$22:$A$35,K19)))&gt;0,1,0)</f>
        <v>0</v>
      </c>
      <c r="S19" s="3" t="n">
        <f aca="false">IF(AND(F19="Free",G19=""),1,0)</f>
        <v>1</v>
      </c>
      <c r="T19" s="3" t="n">
        <f aca="false">IF(LEN(TRIM(K19))&lt;15,1,0)</f>
        <v>1</v>
      </c>
      <c r="U19" s="3" t="n">
        <f aca="false">IF(COUNTIF($E$2:$E$801,E19)&gt;1,1,0)</f>
        <v>1</v>
      </c>
      <c r="V19" s="3" t="n">
        <f aca="false">Q19*'Spam Rules'!$H$6+R19*'Spam Rules'!$H$7+S19*'Spam Rules'!$H$8+T19*'Spam Rules'!$H$9+U19*'Spam Rules'!$H$10</f>
        <v>1</v>
      </c>
      <c r="W19" s="3" t="str">
        <f aca="false">IF(V19&gt;='Spam Rules'!$B$3,"Likely Spam","Genuine")</f>
        <v>Likely Spam</v>
      </c>
      <c r="X19" s="3" t="n">
        <f aca="false">IFERROR(INDEX('Scoring Model'!$B$5:$B$11,MATCH(C19,'Scoring Model'!$A$5:$A$11,0)),0)</f>
        <v>5</v>
      </c>
      <c r="Y19" s="3" t="n">
        <f aca="false">IFERROR(INDEX('Scoring Model'!$E$5:$E$7,MATCH(F19,'Scoring Model'!$D$5:$D$7,0)),0)</f>
        <v>0</v>
      </c>
      <c r="Z19" s="3" t="n">
        <f aca="false">IFERROR(INDEX('Scoring Model'!$H$5:$H$13,MATCH(J19,'Scoring Model'!$G$5:$G$13,0)),0)</f>
        <v>5</v>
      </c>
      <c r="AA19" s="3" t="n">
        <f aca="false">IF(L19&gt;='Scoring Model'!$B$14,'Scoring Model'!$B$15,IF(L19&gt;='Scoring Model'!$B$16,'Scoring Model'!$B$17,0))</f>
        <v>0</v>
      </c>
      <c r="AB19" s="3" t="n">
        <f aca="false">IF(SUMPRODUCT(--ISNUMBER(SEARCH('Scoring Model'!$D$16:$D$25,K19)))&gt;0,'Scoring Model'!$B$18,0)</f>
        <v>0</v>
      </c>
      <c r="AC19" s="3" t="n">
        <f aca="false">IF(SUMPRODUCT(--ISNUMBER(SEARCH('Scoring Model'!$G$16:$G$23,K19)))&gt;0,'Scoring Model'!$B$19,0)</f>
        <v>0</v>
      </c>
      <c r="AD19" s="3" t="str">
        <f aca="false">IF(W19="Likely Spam","",SUM(X19:AC19))</f>
        <v/>
      </c>
      <c r="AE19" s="3" t="str">
        <f aca="false">IF(W19="Likely Spam","Spam",IF(AD19&gt;='Scoring Model'!$B$21,"Hot",IF(AD19&gt;='Scoring Model'!$B$22,"Warm","Nurture")))</f>
        <v>Spam</v>
      </c>
      <c r="AF19" s="3" t="str">
        <f aca="false">IF(W19="Likely Spam","Flagged by spam rules",TRIM(IF(X19&gt;=20,"Strong source. ","")&amp;IF(Y19&gt;0,"Company email. ","")&amp;IF(Z19&gt;=15,"High-value product. ","")&amp;IF(AA19&gt;='Scoring Model'!$B$15,"High engagement. ","")&amp;IF(AB19&gt;0,"Buying intent in message. ","")&amp;IF(AC19&lt;0,"Negative intent in message. ","")))</f>
        <v>Flagged by spam rules</v>
      </c>
      <c r="AG19" s="11" t="str">
        <f aca="false">IF(W19="Likely Spam","",1/(1+EXP(-('Conversion Model'!$B$5+IFERROR(INDEX('Conversion Model'!$B$8:$B$14,MATCH(C19,'Conversion Model'!$A$8:$A$14,0)),0)+IFERROR(INDEX('Conversion Model'!$E$8:$E$9,MATCH(F19,'Conversion Model'!$D$8:$D$9,0)),0)+IFERROR(INDEX('Conversion Model'!$H$8:$H$12,MATCH(IF(LEFT(J19,8)="Payments","Payments",IF(LEFT(J19,7)="Lending","Lending",J19)),'Conversion Model'!$G$8:$G$12,0)),0)+MIN(L19,15)*'Conversion Model'!$B$17+IF(SUMPRODUCT(--ISNUMBER(SEARCH('Scoring Model'!$D$16:$D$25,K19)))&gt;0,'Conversion Model'!$B$18,0)+IF(SUMPRODUCT(--ISNUMBER(SEARCH('Scoring Model'!$G$16:$G$23,K19)))&gt;0,'Conversion Model'!$B$19,0)))))</f>
        <v/>
      </c>
      <c r="AH19" s="3" t="str">
        <f aca="false">IF(OR(O19="Qualified",O19="Won",O19="Lost"),1,IF(O19="Unqualified",0,""))</f>
        <v/>
      </c>
    </row>
    <row r="20" customFormat="false" ht="15" hidden="false" customHeight="true" outlineLevel="0" collapsed="false">
      <c r="A20" s="3" t="s">
        <v>172</v>
      </c>
      <c r="B20" s="9" t="n">
        <v>45940.3215277778</v>
      </c>
      <c r="C20" s="3" t="s">
        <v>112</v>
      </c>
      <c r="D20" s="3" t="s">
        <v>173</v>
      </c>
      <c r="E20" s="3" t="s">
        <v>174</v>
      </c>
      <c r="F20" s="3" t="s">
        <v>22</v>
      </c>
      <c r="G20" s="3" t="s">
        <v>175</v>
      </c>
      <c r="H20" s="3" t="s">
        <v>176</v>
      </c>
      <c r="I20" s="3" t="s">
        <v>73</v>
      </c>
      <c r="J20" s="3" t="s">
        <v>122</v>
      </c>
      <c r="K20" s="3" t="s">
        <v>177</v>
      </c>
      <c r="L20" s="3" t="n">
        <v>12</v>
      </c>
      <c r="M20" s="3" t="n">
        <v>5.9</v>
      </c>
      <c r="N20" s="3" t="s">
        <v>96</v>
      </c>
      <c r="O20" s="3"/>
      <c r="P20" s="10"/>
      <c r="Q20" s="3" t="n">
        <f aca="false">IF(F20="Disposable",1,0)</f>
        <v>0</v>
      </c>
      <c r="R20" s="3" t="n">
        <f aca="false">IF(SUMPRODUCT(--ISNUMBER(SEARCH('Spam Rules'!$A$22:$A$35,K20)))&gt;0,1,0)</f>
        <v>0</v>
      </c>
      <c r="S20" s="3" t="n">
        <f aca="false">IF(AND(F20="Free",G20=""),1,0)</f>
        <v>0</v>
      </c>
      <c r="T20" s="3" t="n">
        <f aca="false">IF(LEN(TRIM(K20))&lt;15,1,0)</f>
        <v>0</v>
      </c>
      <c r="U20" s="3" t="n">
        <f aca="false">IF(COUNTIF($E$2:$E$801,E20)&gt;1,1,0)</f>
        <v>0</v>
      </c>
      <c r="V20" s="3" t="n">
        <f aca="false">Q20*'Spam Rules'!$H$6+R20*'Spam Rules'!$H$7+S20*'Spam Rules'!$H$8+T20*'Spam Rules'!$H$9+U20*'Spam Rules'!$H$10</f>
        <v>0</v>
      </c>
      <c r="W20" s="3" t="str">
        <f aca="false">IF(V20&gt;='Spam Rules'!$B$3,"Likely Spam","Genuine")</f>
        <v>Genuine</v>
      </c>
      <c r="X20" s="3" t="n">
        <f aca="false">IFERROR(INDEX('Scoring Model'!$B$5:$B$11,MATCH(C20,'Scoring Model'!$A$5:$A$11,0)),0)</f>
        <v>15</v>
      </c>
      <c r="Y20" s="3" t="n">
        <f aca="false">IFERROR(INDEX('Scoring Model'!$E$5:$E$7,MATCH(F20,'Scoring Model'!$D$5:$D$7,0)),0)</f>
        <v>20</v>
      </c>
      <c r="Z20" s="3" t="n">
        <f aca="false">IFERROR(INDEX('Scoring Model'!$H$5:$H$13,MATCH(J20,'Scoring Model'!$G$5:$G$13,0)),0)</f>
        <v>15</v>
      </c>
      <c r="AA20" s="3" t="n">
        <f aca="false">IF(L20&gt;='Scoring Model'!$B$14,'Scoring Model'!$B$15,IF(L20&gt;='Scoring Model'!$B$16,'Scoring Model'!$B$17,0))</f>
        <v>15</v>
      </c>
      <c r="AB20" s="3" t="n">
        <f aca="false">IF(SUMPRODUCT(--ISNUMBER(SEARCH('Scoring Model'!$D$16:$D$25,K20)))&gt;0,'Scoring Model'!$B$18,0)</f>
        <v>15</v>
      </c>
      <c r="AC20" s="3" t="n">
        <f aca="false">IF(SUMPRODUCT(--ISNUMBER(SEARCH('Scoring Model'!$G$16:$G$23,K20)))&gt;0,'Scoring Model'!$B$19,0)</f>
        <v>0</v>
      </c>
      <c r="AD20" s="3" t="n">
        <f aca="false">IF(W20="Likely Spam","",SUM(X20:AC20))</f>
        <v>80</v>
      </c>
      <c r="AE20" s="3" t="str">
        <f aca="false">IF(W20="Likely Spam","Spam",IF(AD20&gt;='Scoring Model'!$B$21,"Hot",IF(AD20&gt;='Scoring Model'!$B$22,"Warm","Nurture")))</f>
        <v>Hot</v>
      </c>
      <c r="AF20" s="3" t="str">
        <f aca="false">IF(W20="Likely Spam","Flagged by spam rules",TRIM(IF(X20&gt;=20,"Strong source. ","")&amp;IF(Y20&gt;0,"Company email. ","")&amp;IF(Z20&gt;=15,"High-value product. ","")&amp;IF(AA20&gt;='Scoring Model'!$B$15,"High engagement. ","")&amp;IF(AB20&gt;0,"Buying intent in message. ","")&amp;IF(AC20&lt;0,"Negative intent in message. ","")))</f>
        <v>Company email. High-value product. High engagement. Buying intent in message.</v>
      </c>
      <c r="AG20" s="11" t="n">
        <f aca="false">IF(W20="Likely Spam","",1/(1+EXP(-('Conversion Model'!$B$5+IFERROR(INDEX('Conversion Model'!$B$8:$B$14,MATCH(C20,'Conversion Model'!$A$8:$A$14,0)),0)+IFERROR(INDEX('Conversion Model'!$E$8:$E$9,MATCH(F20,'Conversion Model'!$D$8:$D$9,0)),0)+IFERROR(INDEX('Conversion Model'!$H$8:$H$12,MATCH(IF(LEFT(J20,8)="Payments","Payments",IF(LEFT(J20,7)="Lending","Lending",J20)),'Conversion Model'!$G$8:$G$12,0)),0)+MIN(L20,15)*'Conversion Model'!$B$17+IF(SUMPRODUCT(--ISNUMBER(SEARCH('Scoring Model'!$D$16:$D$25,K20)))&gt;0,'Conversion Model'!$B$18,0)+IF(SUMPRODUCT(--ISNUMBER(SEARCH('Scoring Model'!$G$16:$G$23,K20)))&gt;0,'Conversion Model'!$B$19,0)))))</f>
        <v>0.998390144977588</v>
      </c>
      <c r="AH20" s="3" t="str">
        <f aca="false">IF(OR(O20="Qualified",O20="Won",O20="Lost"),1,IF(O20="Unqualified",0,""))</f>
        <v/>
      </c>
    </row>
    <row r="21" customFormat="false" ht="15" hidden="false" customHeight="true" outlineLevel="0" collapsed="false">
      <c r="A21" s="3" t="s">
        <v>178</v>
      </c>
      <c r="B21" s="9" t="n">
        <v>45940.3993055556</v>
      </c>
      <c r="C21" s="3" t="s">
        <v>135</v>
      </c>
      <c r="D21" s="3" t="s">
        <v>179</v>
      </c>
      <c r="E21" s="3" t="s">
        <v>180</v>
      </c>
      <c r="F21" s="3" t="s">
        <v>22</v>
      </c>
      <c r="G21" s="3" t="s">
        <v>181</v>
      </c>
      <c r="H21" s="3" t="s">
        <v>182</v>
      </c>
      <c r="I21" s="3" t="s">
        <v>139</v>
      </c>
      <c r="J21" s="3" t="s">
        <v>145</v>
      </c>
      <c r="K21" s="3" t="s">
        <v>183</v>
      </c>
      <c r="L21" s="3" t="n">
        <v>5</v>
      </c>
      <c r="M21" s="3" t="n">
        <v>33.6</v>
      </c>
      <c r="N21" s="3" t="s">
        <v>59</v>
      </c>
      <c r="O21" s="3" t="s">
        <v>147</v>
      </c>
      <c r="P21" s="10" t="n">
        <v>96000</v>
      </c>
      <c r="Q21" s="3" t="n">
        <f aca="false">IF(F21="Disposable",1,0)</f>
        <v>0</v>
      </c>
      <c r="R21" s="3" t="n">
        <f aca="false">IF(SUMPRODUCT(--ISNUMBER(SEARCH('Spam Rules'!$A$22:$A$35,K21)))&gt;0,1,0)</f>
        <v>0</v>
      </c>
      <c r="S21" s="3" t="n">
        <f aca="false">IF(AND(F21="Free",G21=""),1,0)</f>
        <v>0</v>
      </c>
      <c r="T21" s="3" t="n">
        <f aca="false">IF(LEN(TRIM(K21))&lt;15,1,0)</f>
        <v>0</v>
      </c>
      <c r="U21" s="3" t="n">
        <f aca="false">IF(COUNTIF($E$2:$E$801,E21)&gt;1,1,0)</f>
        <v>0</v>
      </c>
      <c r="V21" s="3" t="n">
        <f aca="false">Q21*'Spam Rules'!$H$6+R21*'Spam Rules'!$H$7+S21*'Spam Rules'!$H$8+T21*'Spam Rules'!$H$9+U21*'Spam Rules'!$H$10</f>
        <v>0</v>
      </c>
      <c r="W21" s="3" t="str">
        <f aca="false">IF(V21&gt;='Spam Rules'!$B$3,"Likely Spam","Genuine")</f>
        <v>Genuine</v>
      </c>
      <c r="X21" s="3" t="n">
        <f aca="false">IFERROR(INDEX('Scoring Model'!$B$5:$B$11,MATCH(C21,'Scoring Model'!$A$5:$A$11,0)),0)</f>
        <v>20</v>
      </c>
      <c r="Y21" s="3" t="n">
        <f aca="false">IFERROR(INDEX('Scoring Model'!$E$5:$E$7,MATCH(F21,'Scoring Model'!$D$5:$D$7,0)),0)</f>
        <v>20</v>
      </c>
      <c r="Z21" s="3" t="n">
        <f aca="false">IFERROR(INDEX('Scoring Model'!$H$5:$H$13,MATCH(J21,'Scoring Model'!$G$5:$G$13,0)),0)</f>
        <v>5</v>
      </c>
      <c r="AA21" s="3" t="n">
        <f aca="false">IF(L21&gt;='Scoring Model'!$B$14,'Scoring Model'!$B$15,IF(L21&gt;='Scoring Model'!$B$16,'Scoring Model'!$B$17,0))</f>
        <v>8</v>
      </c>
      <c r="AB21" s="3" t="n">
        <f aca="false">IF(SUMPRODUCT(--ISNUMBER(SEARCH('Scoring Model'!$D$16:$D$25,K21)))&gt;0,'Scoring Model'!$B$18,0)</f>
        <v>15</v>
      </c>
      <c r="AC21" s="3" t="n">
        <f aca="false">IF(SUMPRODUCT(--ISNUMBER(SEARCH('Scoring Model'!$G$16:$G$23,K21)))&gt;0,'Scoring Model'!$B$19,0)</f>
        <v>0</v>
      </c>
      <c r="AD21" s="3" t="n">
        <f aca="false">IF(W21="Likely Spam","",SUM(X21:AC21))</f>
        <v>68</v>
      </c>
      <c r="AE21" s="3" t="str">
        <f aca="false">IF(W21="Likely Spam","Spam",IF(AD21&gt;='Scoring Model'!$B$21,"Hot",IF(AD21&gt;='Scoring Model'!$B$22,"Warm","Nurture")))</f>
        <v>Warm</v>
      </c>
      <c r="AF21" s="3" t="str">
        <f aca="false">IF(W21="Likely Spam","Flagged by spam rules",TRIM(IF(X21&gt;=20,"Strong source. ","")&amp;IF(Y21&gt;0,"Company email. ","")&amp;IF(Z21&gt;=15,"High-value product. ","")&amp;IF(AA21&gt;='Scoring Model'!$B$15,"High engagement. ","")&amp;IF(AB21&gt;0,"Buying intent in message. ","")&amp;IF(AC21&lt;0,"Negative intent in message. ","")))</f>
        <v>Strong source. Company email. Buying intent in message.</v>
      </c>
      <c r="AG21" s="11" t="n">
        <f aca="false">IF(W21="Likely Spam","",1/(1+EXP(-('Conversion Model'!$B$5+IFERROR(INDEX('Conversion Model'!$B$8:$B$14,MATCH(C21,'Conversion Model'!$A$8:$A$14,0)),0)+IFERROR(INDEX('Conversion Model'!$E$8:$E$9,MATCH(F21,'Conversion Model'!$D$8:$D$9,0)),0)+IFERROR(INDEX('Conversion Model'!$H$8:$H$12,MATCH(IF(LEFT(J21,8)="Payments","Payments",IF(LEFT(J21,7)="Lending","Lending",J21)),'Conversion Model'!$G$8:$G$12,0)),0)+MIN(L21,15)*'Conversion Model'!$B$17+IF(SUMPRODUCT(--ISNUMBER(SEARCH('Scoring Model'!$D$16:$D$25,K21)))&gt;0,'Conversion Model'!$B$18,0)+IF(SUMPRODUCT(--ISNUMBER(SEARCH('Scoring Model'!$G$16:$G$23,K21)))&gt;0,'Conversion Model'!$B$19,0)))))</f>
        <v>0.861045403428119</v>
      </c>
      <c r="AH21" s="3" t="n">
        <f aca="false">IF(OR(O21="Qualified",O21="Won",O21="Lost"),1,IF(O21="Unqualified",0,""))</f>
        <v>1</v>
      </c>
    </row>
    <row r="22" customFormat="false" ht="15" hidden="false" customHeight="true" outlineLevel="0" collapsed="false">
      <c r="A22" s="3" t="s">
        <v>184</v>
      </c>
      <c r="B22" s="9" t="n">
        <v>45940.5493055556</v>
      </c>
      <c r="C22" s="3" t="s">
        <v>160</v>
      </c>
      <c r="D22" s="3" t="s">
        <v>124</v>
      </c>
      <c r="E22" s="3" t="s">
        <v>185</v>
      </c>
      <c r="F22" s="3" t="s">
        <v>22</v>
      </c>
      <c r="G22" s="3" t="s">
        <v>186</v>
      </c>
      <c r="H22" s="3" t="s">
        <v>187</v>
      </c>
      <c r="I22" s="3" t="s">
        <v>188</v>
      </c>
      <c r="J22" s="3" t="s">
        <v>145</v>
      </c>
      <c r="K22" s="3" t="s">
        <v>189</v>
      </c>
      <c r="L22" s="3" t="n">
        <v>10</v>
      </c>
      <c r="M22" s="3" t="n">
        <v>6.8</v>
      </c>
      <c r="N22" s="3" t="s">
        <v>59</v>
      </c>
      <c r="O22" s="3"/>
      <c r="P22" s="10"/>
      <c r="Q22" s="3" t="n">
        <f aca="false">IF(F22="Disposable",1,0)</f>
        <v>0</v>
      </c>
      <c r="R22" s="3" t="n">
        <f aca="false">IF(SUMPRODUCT(--ISNUMBER(SEARCH('Spam Rules'!$A$22:$A$35,K22)))&gt;0,1,0)</f>
        <v>0</v>
      </c>
      <c r="S22" s="3" t="n">
        <f aca="false">IF(AND(F22="Free",G22=""),1,0)</f>
        <v>0</v>
      </c>
      <c r="T22" s="3" t="n">
        <f aca="false">IF(LEN(TRIM(K22))&lt;15,1,0)</f>
        <v>0</v>
      </c>
      <c r="U22" s="3" t="n">
        <f aca="false">IF(COUNTIF($E$2:$E$801,E22)&gt;1,1,0)</f>
        <v>0</v>
      </c>
      <c r="V22" s="3" t="n">
        <f aca="false">Q22*'Spam Rules'!$H$6+R22*'Spam Rules'!$H$7+S22*'Spam Rules'!$H$8+T22*'Spam Rules'!$H$9+U22*'Spam Rules'!$H$10</f>
        <v>0</v>
      </c>
      <c r="W22" s="3" t="str">
        <f aca="false">IF(V22&gt;='Spam Rules'!$B$3,"Likely Spam","Genuine")</f>
        <v>Genuine</v>
      </c>
      <c r="X22" s="3" t="n">
        <f aca="false">IFERROR(INDEX('Scoring Model'!$B$5:$B$11,MATCH(C22,'Scoring Model'!$A$5:$A$11,0)),0)</f>
        <v>25</v>
      </c>
      <c r="Y22" s="3" t="n">
        <f aca="false">IFERROR(INDEX('Scoring Model'!$E$5:$E$7,MATCH(F22,'Scoring Model'!$D$5:$D$7,0)),0)</f>
        <v>20</v>
      </c>
      <c r="Z22" s="3" t="n">
        <f aca="false">IFERROR(INDEX('Scoring Model'!$H$5:$H$13,MATCH(J22,'Scoring Model'!$G$5:$G$13,0)),0)</f>
        <v>5</v>
      </c>
      <c r="AA22" s="3" t="n">
        <f aca="false">IF(L22&gt;='Scoring Model'!$B$14,'Scoring Model'!$B$15,IF(L22&gt;='Scoring Model'!$B$16,'Scoring Model'!$B$17,0))</f>
        <v>15</v>
      </c>
      <c r="AB22" s="3" t="n">
        <f aca="false">IF(SUMPRODUCT(--ISNUMBER(SEARCH('Scoring Model'!$D$16:$D$25,K22)))&gt;0,'Scoring Model'!$B$18,0)</f>
        <v>15</v>
      </c>
      <c r="AC22" s="3" t="n">
        <f aca="false">IF(SUMPRODUCT(--ISNUMBER(SEARCH('Scoring Model'!$G$16:$G$23,K22)))&gt;0,'Scoring Model'!$B$19,0)</f>
        <v>0</v>
      </c>
      <c r="AD22" s="3" t="n">
        <f aca="false">IF(W22="Likely Spam","",SUM(X22:AC22))</f>
        <v>80</v>
      </c>
      <c r="AE22" s="3" t="str">
        <f aca="false">IF(W22="Likely Spam","Spam",IF(AD22&gt;='Scoring Model'!$B$21,"Hot",IF(AD22&gt;='Scoring Model'!$B$22,"Warm","Nurture")))</f>
        <v>Hot</v>
      </c>
      <c r="AF22" s="3" t="str">
        <f aca="false">IF(W22="Likely Spam","Flagged by spam rules",TRIM(IF(X22&gt;=20,"Strong source. ","")&amp;IF(Y22&gt;0,"Company email. ","")&amp;IF(Z22&gt;=15,"High-value product. ","")&amp;IF(AA22&gt;='Scoring Model'!$B$15,"High engagement. ","")&amp;IF(AB22&gt;0,"Buying intent in message. ","")&amp;IF(AC22&lt;0,"Negative intent in message. ","")))</f>
        <v>Strong source. Company email. High engagement. Buying intent in message.</v>
      </c>
      <c r="AG22" s="11" t="n">
        <f aca="false">IF(W22="Likely Spam","",1/(1+EXP(-('Conversion Model'!$B$5+IFERROR(INDEX('Conversion Model'!$B$8:$B$14,MATCH(C22,'Conversion Model'!$A$8:$A$14,0)),0)+IFERROR(INDEX('Conversion Model'!$E$8:$E$9,MATCH(F22,'Conversion Model'!$D$8:$D$9,0)),0)+IFERROR(INDEX('Conversion Model'!$H$8:$H$12,MATCH(IF(LEFT(J22,8)="Payments","Payments",IF(LEFT(J22,7)="Lending","Lending",J22)),'Conversion Model'!$G$8:$G$12,0)),0)+MIN(L22,15)*'Conversion Model'!$B$17+IF(SUMPRODUCT(--ISNUMBER(SEARCH('Scoring Model'!$D$16:$D$25,K22)))&gt;0,'Conversion Model'!$B$18,0)+IF(SUMPRODUCT(--ISNUMBER(SEARCH('Scoring Model'!$G$16:$G$23,K22)))&gt;0,'Conversion Model'!$B$19,0)))))</f>
        <v>0.995827256200217</v>
      </c>
      <c r="AH22" s="3" t="str">
        <f aca="false">IF(OR(O22="Qualified",O22="Won",O22="Lost"),1,IF(O22="Unqualified",0,""))</f>
        <v/>
      </c>
    </row>
    <row r="23" customFormat="false" ht="15" hidden="false" customHeight="true" outlineLevel="0" collapsed="false">
      <c r="A23" s="3" t="s">
        <v>190</v>
      </c>
      <c r="B23" s="9" t="n">
        <v>45940.7520833333</v>
      </c>
      <c r="C23" s="3" t="s">
        <v>160</v>
      </c>
      <c r="D23" s="3" t="s">
        <v>191</v>
      </c>
      <c r="E23" s="3" t="s">
        <v>192</v>
      </c>
      <c r="F23" s="3" t="s">
        <v>54</v>
      </c>
      <c r="G23" s="3"/>
      <c r="H23" s="3"/>
      <c r="I23" s="3" t="s">
        <v>56</v>
      </c>
      <c r="J23" s="3" t="s">
        <v>145</v>
      </c>
      <c r="K23" s="3" t="s">
        <v>193</v>
      </c>
      <c r="L23" s="3" t="n">
        <v>1</v>
      </c>
      <c r="M23" s="3" t="n">
        <v>10.9</v>
      </c>
      <c r="N23" s="3" t="s">
        <v>171</v>
      </c>
      <c r="O23" s="3" t="s">
        <v>194</v>
      </c>
      <c r="P23" s="10"/>
      <c r="Q23" s="3" t="n">
        <f aca="false">IF(F23="Disposable",1,0)</f>
        <v>0</v>
      </c>
      <c r="R23" s="3" t="n">
        <f aca="false">IF(SUMPRODUCT(--ISNUMBER(SEARCH('Spam Rules'!$A$22:$A$35,K23)))&gt;0,1,0)</f>
        <v>0</v>
      </c>
      <c r="S23" s="3" t="n">
        <f aca="false">IF(AND(F23="Free",G23=""),1,0)</f>
        <v>1</v>
      </c>
      <c r="T23" s="3" t="n">
        <f aca="false">IF(LEN(TRIM(K23))&lt;15,1,0)</f>
        <v>0</v>
      </c>
      <c r="U23" s="3" t="n">
        <f aca="false">IF(COUNTIF($E$2:$E$801,E23)&gt;1,1,0)</f>
        <v>0</v>
      </c>
      <c r="V23" s="3" t="n">
        <f aca="false">Q23*'Spam Rules'!$H$6+R23*'Spam Rules'!$H$7+S23*'Spam Rules'!$H$8+T23*'Spam Rules'!$H$9+U23*'Spam Rules'!$H$10</f>
        <v>0</v>
      </c>
      <c r="W23" s="3" t="str">
        <f aca="false">IF(V23&gt;='Spam Rules'!$B$3,"Likely Spam","Genuine")</f>
        <v>Genuine</v>
      </c>
      <c r="X23" s="3" t="n">
        <f aca="false">IFERROR(INDEX('Scoring Model'!$B$5:$B$11,MATCH(C23,'Scoring Model'!$A$5:$A$11,0)),0)</f>
        <v>25</v>
      </c>
      <c r="Y23" s="3" t="n">
        <f aca="false">IFERROR(INDEX('Scoring Model'!$E$5:$E$7,MATCH(F23,'Scoring Model'!$D$5:$D$7,0)),0)</f>
        <v>0</v>
      </c>
      <c r="Z23" s="3" t="n">
        <f aca="false">IFERROR(INDEX('Scoring Model'!$H$5:$H$13,MATCH(J23,'Scoring Model'!$G$5:$G$13,0)),0)</f>
        <v>5</v>
      </c>
      <c r="AA23" s="3" t="n">
        <f aca="false">IF(L23&gt;='Scoring Model'!$B$14,'Scoring Model'!$B$15,IF(L23&gt;='Scoring Model'!$B$16,'Scoring Model'!$B$17,0))</f>
        <v>0</v>
      </c>
      <c r="AB23" s="3" t="n">
        <f aca="false">IF(SUMPRODUCT(--ISNUMBER(SEARCH('Scoring Model'!$D$16:$D$25,K23)))&gt;0,'Scoring Model'!$B$18,0)</f>
        <v>0</v>
      </c>
      <c r="AC23" s="3" t="n">
        <f aca="false">IF(SUMPRODUCT(--ISNUMBER(SEARCH('Scoring Model'!$G$16:$G$23,K23)))&gt;0,'Scoring Model'!$B$19,0)</f>
        <v>-30</v>
      </c>
      <c r="AD23" s="3" t="n">
        <f aca="false">IF(W23="Likely Spam","",SUM(X23:AC23))</f>
        <v>0</v>
      </c>
      <c r="AE23" s="3" t="str">
        <f aca="false">IF(W23="Likely Spam","Spam",IF(AD23&gt;='Scoring Model'!$B$21,"Hot",IF(AD23&gt;='Scoring Model'!$B$22,"Warm","Nurture")))</f>
        <v>Nurture</v>
      </c>
      <c r="AF23" s="3" t="str">
        <f aca="false">IF(W23="Likely Spam","Flagged by spam rules",TRIM(IF(X23&gt;=20,"Strong source. ","")&amp;IF(Y23&gt;0,"Company email. ","")&amp;IF(Z23&gt;=15,"High-value product. ","")&amp;IF(AA23&gt;='Scoring Model'!$B$15,"High engagement. ","")&amp;IF(AB23&gt;0,"Buying intent in message. ","")&amp;IF(AC23&lt;0,"Negative intent in message. ","")))</f>
        <v>Strong source. Negative intent in message.</v>
      </c>
      <c r="AG23" s="11" t="n">
        <f aca="false">IF(W23="Likely Spam","",1/(1+EXP(-('Conversion Model'!$B$5+IFERROR(INDEX('Conversion Model'!$B$8:$B$14,MATCH(C23,'Conversion Model'!$A$8:$A$14,0)),0)+IFERROR(INDEX('Conversion Model'!$E$8:$E$9,MATCH(F23,'Conversion Model'!$D$8:$D$9,0)),0)+IFERROR(INDEX('Conversion Model'!$H$8:$H$12,MATCH(IF(LEFT(J23,8)="Payments","Payments",IF(LEFT(J23,7)="Lending","Lending",J23)),'Conversion Model'!$G$8:$G$12,0)),0)+MIN(L23,15)*'Conversion Model'!$B$17+IF(SUMPRODUCT(--ISNUMBER(SEARCH('Scoring Model'!$D$16:$D$25,K23)))&gt;0,'Conversion Model'!$B$18,0)+IF(SUMPRODUCT(--ISNUMBER(SEARCH('Scoring Model'!$G$16:$G$23,K23)))&gt;0,'Conversion Model'!$B$19,0)))))</f>
        <v>0.00216536203495134</v>
      </c>
      <c r="AH23" s="3" t="n">
        <f aca="false">IF(OR(O23="Qualified",O23="Won",O23="Lost"),1,IF(O23="Unqualified",0,""))</f>
        <v>0</v>
      </c>
    </row>
    <row r="24" customFormat="false" ht="15" hidden="false" customHeight="true" outlineLevel="0" collapsed="false">
      <c r="A24" s="3" t="s">
        <v>195</v>
      </c>
      <c r="B24" s="9" t="n">
        <v>45940.7888888889</v>
      </c>
      <c r="C24" s="3" t="s">
        <v>135</v>
      </c>
      <c r="D24" s="3" t="s">
        <v>196</v>
      </c>
      <c r="E24" s="3" t="s">
        <v>197</v>
      </c>
      <c r="F24" s="3" t="s">
        <v>54</v>
      </c>
      <c r="G24" s="3" t="s">
        <v>198</v>
      </c>
      <c r="H24" s="3"/>
      <c r="I24" s="3" t="s">
        <v>116</v>
      </c>
      <c r="J24" s="3" t="s">
        <v>117</v>
      </c>
      <c r="K24" s="3" t="s">
        <v>177</v>
      </c>
      <c r="L24" s="3" t="n">
        <v>2</v>
      </c>
      <c r="M24" s="3" t="n">
        <v>88.4</v>
      </c>
      <c r="N24" s="3" t="s">
        <v>171</v>
      </c>
      <c r="O24" s="3" t="s">
        <v>194</v>
      </c>
      <c r="P24" s="10"/>
      <c r="Q24" s="3" t="n">
        <f aca="false">IF(F24="Disposable",1,0)</f>
        <v>0</v>
      </c>
      <c r="R24" s="3" t="n">
        <f aca="false">IF(SUMPRODUCT(--ISNUMBER(SEARCH('Spam Rules'!$A$22:$A$35,K24)))&gt;0,1,0)</f>
        <v>0</v>
      </c>
      <c r="S24" s="3" t="n">
        <f aca="false">IF(AND(F24="Free",G24=""),1,0)</f>
        <v>0</v>
      </c>
      <c r="T24" s="3" t="n">
        <f aca="false">IF(LEN(TRIM(K24))&lt;15,1,0)</f>
        <v>0</v>
      </c>
      <c r="U24" s="3" t="n">
        <f aca="false">IF(COUNTIF($E$2:$E$801,E24)&gt;1,1,0)</f>
        <v>1</v>
      </c>
      <c r="V24" s="3" t="n">
        <f aca="false">Q24*'Spam Rules'!$H$6+R24*'Spam Rules'!$H$7+S24*'Spam Rules'!$H$8+T24*'Spam Rules'!$H$9+U24*'Spam Rules'!$H$10</f>
        <v>0</v>
      </c>
      <c r="W24" s="3" t="str">
        <f aca="false">IF(V24&gt;='Spam Rules'!$B$3,"Likely Spam","Genuine")</f>
        <v>Genuine</v>
      </c>
      <c r="X24" s="3" t="n">
        <f aca="false">IFERROR(INDEX('Scoring Model'!$B$5:$B$11,MATCH(C24,'Scoring Model'!$A$5:$A$11,0)),0)</f>
        <v>20</v>
      </c>
      <c r="Y24" s="3" t="n">
        <f aca="false">IFERROR(INDEX('Scoring Model'!$E$5:$E$7,MATCH(F24,'Scoring Model'!$D$5:$D$7,0)),0)</f>
        <v>0</v>
      </c>
      <c r="Z24" s="3" t="n">
        <f aca="false">IFERROR(INDEX('Scoring Model'!$H$5:$H$13,MATCH(J24,'Scoring Model'!$G$5:$G$13,0)),0)</f>
        <v>15</v>
      </c>
      <c r="AA24" s="3" t="n">
        <f aca="false">IF(L24&gt;='Scoring Model'!$B$14,'Scoring Model'!$B$15,IF(L24&gt;='Scoring Model'!$B$16,'Scoring Model'!$B$17,0))</f>
        <v>0</v>
      </c>
      <c r="AB24" s="3" t="n">
        <f aca="false">IF(SUMPRODUCT(--ISNUMBER(SEARCH('Scoring Model'!$D$16:$D$25,K24)))&gt;0,'Scoring Model'!$B$18,0)</f>
        <v>15</v>
      </c>
      <c r="AC24" s="3" t="n">
        <f aca="false">IF(SUMPRODUCT(--ISNUMBER(SEARCH('Scoring Model'!$G$16:$G$23,K24)))&gt;0,'Scoring Model'!$B$19,0)</f>
        <v>0</v>
      </c>
      <c r="AD24" s="3" t="n">
        <f aca="false">IF(W24="Likely Spam","",SUM(X24:AC24))</f>
        <v>50</v>
      </c>
      <c r="AE24" s="3" t="str">
        <f aca="false">IF(W24="Likely Spam","Spam",IF(AD24&gt;='Scoring Model'!$B$21,"Hot",IF(AD24&gt;='Scoring Model'!$B$22,"Warm","Nurture")))</f>
        <v>Warm</v>
      </c>
      <c r="AF24" s="3" t="str">
        <f aca="false">IF(W24="Likely Spam","Flagged by spam rules",TRIM(IF(X24&gt;=20,"Strong source. ","")&amp;IF(Y24&gt;0,"Company email. ","")&amp;IF(Z24&gt;=15,"High-value product. ","")&amp;IF(AA24&gt;='Scoring Model'!$B$15,"High engagement. ","")&amp;IF(AB24&gt;0,"Buying intent in message. ","")&amp;IF(AC24&lt;0,"Negative intent in message. ","")))</f>
        <v>Strong source. High-value product. Buying intent in message.</v>
      </c>
      <c r="AG24" s="11" t="n">
        <f aca="false">IF(W24="Likely Spam","",1/(1+EXP(-('Conversion Model'!$B$5+IFERROR(INDEX('Conversion Model'!$B$8:$B$14,MATCH(C24,'Conversion Model'!$A$8:$A$14,0)),0)+IFERROR(INDEX('Conversion Model'!$E$8:$E$9,MATCH(F24,'Conversion Model'!$D$8:$D$9,0)),0)+IFERROR(INDEX('Conversion Model'!$H$8:$H$12,MATCH(IF(LEFT(J24,8)="Payments","Payments",IF(LEFT(J24,7)="Lending","Lending",J24)),'Conversion Model'!$G$8:$G$12,0)),0)+MIN(L24,15)*'Conversion Model'!$B$17+IF(SUMPRODUCT(--ISNUMBER(SEARCH('Scoring Model'!$D$16:$D$25,K24)))&gt;0,'Conversion Model'!$B$18,0)+IF(SUMPRODUCT(--ISNUMBER(SEARCH('Scoring Model'!$G$16:$G$23,K24)))&gt;0,'Conversion Model'!$B$19,0)))))</f>
        <v>0.333810655201529</v>
      </c>
      <c r="AH24" s="3" t="n">
        <f aca="false">IF(OR(O24="Qualified",O24="Won",O24="Lost"),1,IF(O24="Unqualified",0,""))</f>
        <v>0</v>
      </c>
    </row>
    <row r="25" customFormat="false" ht="15" hidden="false" customHeight="true" outlineLevel="0" collapsed="false">
      <c r="A25" s="3" t="s">
        <v>199</v>
      </c>
      <c r="B25" s="9" t="n">
        <v>45943.2881944445</v>
      </c>
      <c r="C25" s="3" t="s">
        <v>112</v>
      </c>
      <c r="D25" s="3" t="s">
        <v>200</v>
      </c>
      <c r="E25" s="3" t="s">
        <v>201</v>
      </c>
      <c r="F25" s="3" t="s">
        <v>22</v>
      </c>
      <c r="G25" s="3" t="s">
        <v>202</v>
      </c>
      <c r="H25" s="3" t="s">
        <v>203</v>
      </c>
      <c r="I25" s="3" t="s">
        <v>204</v>
      </c>
      <c r="J25" s="3" t="s">
        <v>165</v>
      </c>
      <c r="K25" s="3" t="s">
        <v>205</v>
      </c>
      <c r="L25" s="3" t="n">
        <v>1</v>
      </c>
      <c r="M25" s="3" t="n">
        <v>11.9</v>
      </c>
      <c r="N25" s="3" t="s">
        <v>67</v>
      </c>
      <c r="O25" s="3" t="s">
        <v>133</v>
      </c>
      <c r="P25" s="10"/>
      <c r="Q25" s="3" t="n">
        <f aca="false">IF(F25="Disposable",1,0)</f>
        <v>0</v>
      </c>
      <c r="R25" s="3" t="n">
        <f aca="false">IF(SUMPRODUCT(--ISNUMBER(SEARCH('Spam Rules'!$A$22:$A$35,K25)))&gt;0,1,0)</f>
        <v>0</v>
      </c>
      <c r="S25" s="3" t="n">
        <f aca="false">IF(AND(F25="Free",G25=""),1,0)</f>
        <v>0</v>
      </c>
      <c r="T25" s="3" t="n">
        <f aca="false">IF(LEN(TRIM(K25))&lt;15,1,0)</f>
        <v>0</v>
      </c>
      <c r="U25" s="3" t="n">
        <f aca="false">IF(COUNTIF($E$2:$E$801,E25)&gt;1,1,0)</f>
        <v>0</v>
      </c>
      <c r="V25" s="3" t="n">
        <f aca="false">Q25*'Spam Rules'!$H$6+R25*'Spam Rules'!$H$7+S25*'Spam Rules'!$H$8+T25*'Spam Rules'!$H$9+U25*'Spam Rules'!$H$10</f>
        <v>0</v>
      </c>
      <c r="W25" s="3" t="str">
        <f aca="false">IF(V25&gt;='Spam Rules'!$B$3,"Likely Spam","Genuine")</f>
        <v>Genuine</v>
      </c>
      <c r="X25" s="3" t="n">
        <f aca="false">IFERROR(INDEX('Scoring Model'!$B$5:$B$11,MATCH(C25,'Scoring Model'!$A$5:$A$11,0)),0)</f>
        <v>15</v>
      </c>
      <c r="Y25" s="3" t="n">
        <f aca="false">IFERROR(INDEX('Scoring Model'!$E$5:$E$7,MATCH(F25,'Scoring Model'!$D$5:$D$7,0)),0)</f>
        <v>20</v>
      </c>
      <c r="Z25" s="3" t="n">
        <f aca="false">IFERROR(INDEX('Scoring Model'!$H$5:$H$13,MATCH(J25,'Scoring Model'!$G$5:$G$13,0)),0)</f>
        <v>15</v>
      </c>
      <c r="AA25" s="3" t="n">
        <f aca="false">IF(L25&gt;='Scoring Model'!$B$14,'Scoring Model'!$B$15,IF(L25&gt;='Scoring Model'!$B$16,'Scoring Model'!$B$17,0))</f>
        <v>0</v>
      </c>
      <c r="AB25" s="3" t="n">
        <f aca="false">IF(SUMPRODUCT(--ISNUMBER(SEARCH('Scoring Model'!$D$16:$D$25,K25)))&gt;0,'Scoring Model'!$B$18,0)</f>
        <v>15</v>
      </c>
      <c r="AC25" s="3" t="n">
        <f aca="false">IF(SUMPRODUCT(--ISNUMBER(SEARCH('Scoring Model'!$G$16:$G$23,K25)))&gt;0,'Scoring Model'!$B$19,0)</f>
        <v>0</v>
      </c>
      <c r="AD25" s="3" t="n">
        <f aca="false">IF(W25="Likely Spam","",SUM(X25:AC25))</f>
        <v>65</v>
      </c>
      <c r="AE25" s="3" t="str">
        <f aca="false">IF(W25="Likely Spam","Spam",IF(AD25&gt;='Scoring Model'!$B$21,"Hot",IF(AD25&gt;='Scoring Model'!$B$22,"Warm","Nurture")))</f>
        <v>Warm</v>
      </c>
      <c r="AF25" s="3" t="str">
        <f aca="false">IF(W25="Likely Spam","Flagged by spam rules",TRIM(IF(X25&gt;=20,"Strong source. ","")&amp;IF(Y25&gt;0,"Company email. ","")&amp;IF(Z25&gt;=15,"High-value product. ","")&amp;IF(AA25&gt;='Scoring Model'!$B$15,"High engagement. ","")&amp;IF(AB25&gt;0,"Buying intent in message. ","")&amp;IF(AC25&lt;0,"Negative intent in message. ","")))</f>
        <v>Company email. High-value product. Buying intent in message.</v>
      </c>
      <c r="AG25" s="11" t="n">
        <f aca="false">IF(W25="Likely Spam","",1/(1+EXP(-('Conversion Model'!$B$5+IFERROR(INDEX('Conversion Model'!$B$8:$B$14,MATCH(C25,'Conversion Model'!$A$8:$A$14,0)),0)+IFERROR(INDEX('Conversion Model'!$E$8:$E$9,MATCH(F25,'Conversion Model'!$D$8:$D$9,0)),0)+IFERROR(INDEX('Conversion Model'!$H$8:$H$12,MATCH(IF(LEFT(J25,8)="Payments","Payments",IF(LEFT(J25,7)="Lending","Lending",J25)),'Conversion Model'!$G$8:$G$12,0)),0)+MIN(L25,15)*'Conversion Model'!$B$17+IF(SUMPRODUCT(--ISNUMBER(SEARCH('Scoring Model'!$D$16:$D$25,K25)))&gt;0,'Conversion Model'!$B$18,0)+IF(SUMPRODUCT(--ISNUMBER(SEARCH('Scoring Model'!$G$16:$G$23,K25)))&gt;0,'Conversion Model'!$B$19,0)))))</f>
        <v>0.0837847742677499</v>
      </c>
      <c r="AH25" s="3" t="str">
        <f aca="false">IF(OR(O25="Qualified",O25="Won",O25="Lost"),1,IF(O25="Unqualified",0,""))</f>
        <v/>
      </c>
    </row>
    <row r="26" customFormat="false" ht="15" hidden="false" customHeight="true" outlineLevel="0" collapsed="false">
      <c r="A26" s="3" t="s">
        <v>206</v>
      </c>
      <c r="B26" s="9" t="n">
        <v>45944.1159722222</v>
      </c>
      <c r="C26" s="3" t="s">
        <v>76</v>
      </c>
      <c r="D26" s="3" t="s">
        <v>207</v>
      </c>
      <c r="E26" s="3" t="s">
        <v>208</v>
      </c>
      <c r="F26" s="3" t="s">
        <v>54</v>
      </c>
      <c r="G26" s="3"/>
      <c r="H26" s="3"/>
      <c r="I26" s="3" t="s">
        <v>139</v>
      </c>
      <c r="J26" s="3" t="s">
        <v>81</v>
      </c>
      <c r="K26" s="3" t="s">
        <v>66</v>
      </c>
      <c r="L26" s="3" t="n">
        <v>2</v>
      </c>
      <c r="M26" s="3"/>
      <c r="N26" s="3" t="s">
        <v>96</v>
      </c>
      <c r="O26" s="3" t="s">
        <v>68</v>
      </c>
      <c r="P26" s="10"/>
      <c r="Q26" s="3" t="n">
        <f aca="false">IF(F26="Disposable",1,0)</f>
        <v>0</v>
      </c>
      <c r="R26" s="3" t="n">
        <f aca="false">IF(SUMPRODUCT(--ISNUMBER(SEARCH('Spam Rules'!$A$22:$A$35,K26)))&gt;0,1,0)</f>
        <v>1</v>
      </c>
      <c r="S26" s="3" t="n">
        <f aca="false">IF(AND(F26="Free",G26=""),1,0)</f>
        <v>1</v>
      </c>
      <c r="T26" s="3" t="n">
        <f aca="false">IF(LEN(TRIM(K26))&lt;15,1,0)</f>
        <v>0</v>
      </c>
      <c r="U26" s="3" t="n">
        <f aca="false">IF(COUNTIF($E$2:$E$801,E26)&gt;1,1,0)</f>
        <v>0</v>
      </c>
      <c r="V26" s="3" t="n">
        <f aca="false">Q26*'Spam Rules'!$H$6+R26*'Spam Rules'!$H$7+S26*'Spam Rules'!$H$8+T26*'Spam Rules'!$H$9+U26*'Spam Rules'!$H$10</f>
        <v>1</v>
      </c>
      <c r="W26" s="3" t="str">
        <f aca="false">IF(V26&gt;='Spam Rules'!$B$3,"Likely Spam","Genuine")</f>
        <v>Likely Spam</v>
      </c>
      <c r="X26" s="3" t="n">
        <f aca="false">IFERROR(INDEX('Scoring Model'!$B$5:$B$11,MATCH(C26,'Scoring Model'!$A$5:$A$11,0)),0)</f>
        <v>0</v>
      </c>
      <c r="Y26" s="3" t="n">
        <f aca="false">IFERROR(INDEX('Scoring Model'!$E$5:$E$7,MATCH(F26,'Scoring Model'!$D$5:$D$7,0)),0)</f>
        <v>0</v>
      </c>
      <c r="Z26" s="3" t="n">
        <f aca="false">IFERROR(INDEX('Scoring Model'!$H$5:$H$13,MATCH(J26,'Scoring Model'!$G$5:$G$13,0)),0)</f>
        <v>5</v>
      </c>
      <c r="AA26" s="3" t="n">
        <f aca="false">IF(L26&gt;='Scoring Model'!$B$14,'Scoring Model'!$B$15,IF(L26&gt;='Scoring Model'!$B$16,'Scoring Model'!$B$17,0))</f>
        <v>0</v>
      </c>
      <c r="AB26" s="3" t="n">
        <f aca="false">IF(SUMPRODUCT(--ISNUMBER(SEARCH('Scoring Model'!$D$16:$D$25,K26)))&gt;0,'Scoring Model'!$B$18,0)</f>
        <v>0</v>
      </c>
      <c r="AC26" s="3" t="n">
        <f aca="false">IF(SUMPRODUCT(--ISNUMBER(SEARCH('Scoring Model'!$G$16:$G$23,K26)))&gt;0,'Scoring Model'!$B$19,0)</f>
        <v>0</v>
      </c>
      <c r="AD26" s="3" t="str">
        <f aca="false">IF(W26="Likely Spam","",SUM(X26:AC26))</f>
        <v/>
      </c>
      <c r="AE26" s="3" t="str">
        <f aca="false">IF(W26="Likely Spam","Spam",IF(AD26&gt;='Scoring Model'!$B$21,"Hot",IF(AD26&gt;='Scoring Model'!$B$22,"Warm","Nurture")))</f>
        <v>Spam</v>
      </c>
      <c r="AF26" s="3" t="str">
        <f aca="false">IF(W26="Likely Spam","Flagged by spam rules",TRIM(IF(X26&gt;=20,"Strong source. ","")&amp;IF(Y26&gt;0,"Company email. ","")&amp;IF(Z26&gt;=15,"High-value product. ","")&amp;IF(AA26&gt;='Scoring Model'!$B$15,"High engagement. ","")&amp;IF(AB26&gt;0,"Buying intent in message. ","")&amp;IF(AC26&lt;0,"Negative intent in message. ","")))</f>
        <v>Flagged by spam rules</v>
      </c>
      <c r="AG26" s="11" t="str">
        <f aca="false">IF(W26="Likely Spam","",1/(1+EXP(-('Conversion Model'!$B$5+IFERROR(INDEX('Conversion Model'!$B$8:$B$14,MATCH(C26,'Conversion Model'!$A$8:$A$14,0)),0)+IFERROR(INDEX('Conversion Model'!$E$8:$E$9,MATCH(F26,'Conversion Model'!$D$8:$D$9,0)),0)+IFERROR(INDEX('Conversion Model'!$H$8:$H$12,MATCH(IF(LEFT(J26,8)="Payments","Payments",IF(LEFT(J26,7)="Lending","Lending",J26)),'Conversion Model'!$G$8:$G$12,0)),0)+MIN(L26,15)*'Conversion Model'!$B$17+IF(SUMPRODUCT(--ISNUMBER(SEARCH('Scoring Model'!$D$16:$D$25,K26)))&gt;0,'Conversion Model'!$B$18,0)+IF(SUMPRODUCT(--ISNUMBER(SEARCH('Scoring Model'!$G$16:$G$23,K26)))&gt;0,'Conversion Model'!$B$19,0)))))</f>
        <v/>
      </c>
      <c r="AH26" s="3" t="str">
        <f aca="false">IF(OR(O26="Qualified",O26="Won",O26="Lost"),1,IF(O26="Unqualified",0,""))</f>
        <v/>
      </c>
    </row>
    <row r="27" customFormat="false" ht="15" hidden="false" customHeight="true" outlineLevel="0" collapsed="false">
      <c r="A27" s="3" t="s">
        <v>209</v>
      </c>
      <c r="B27" s="9" t="n">
        <v>45944.9055555556</v>
      </c>
      <c r="C27" s="3" t="s">
        <v>91</v>
      </c>
      <c r="D27" s="3" t="s">
        <v>52</v>
      </c>
      <c r="E27" s="3" t="s">
        <v>210</v>
      </c>
      <c r="F27" s="3" t="s">
        <v>22</v>
      </c>
      <c r="G27" s="3" t="s">
        <v>211</v>
      </c>
      <c r="H27" s="3" t="s">
        <v>212</v>
      </c>
      <c r="I27" s="3" t="s">
        <v>64</v>
      </c>
      <c r="J27" s="3" t="s">
        <v>145</v>
      </c>
      <c r="K27" s="3" t="s">
        <v>213</v>
      </c>
      <c r="L27" s="3" t="n">
        <v>2</v>
      </c>
      <c r="M27" s="3" t="n">
        <v>9.7</v>
      </c>
      <c r="N27" s="3" t="s">
        <v>67</v>
      </c>
      <c r="O27" s="3" t="s">
        <v>194</v>
      </c>
      <c r="P27" s="10"/>
      <c r="Q27" s="3" t="n">
        <f aca="false">IF(F27="Disposable",1,0)</f>
        <v>0</v>
      </c>
      <c r="R27" s="3" t="n">
        <f aca="false">IF(SUMPRODUCT(--ISNUMBER(SEARCH('Spam Rules'!$A$22:$A$35,K27)))&gt;0,1,0)</f>
        <v>0</v>
      </c>
      <c r="S27" s="3" t="n">
        <f aca="false">IF(AND(F27="Free",G27=""),1,0)</f>
        <v>0</v>
      </c>
      <c r="T27" s="3" t="n">
        <f aca="false">IF(LEN(TRIM(K27))&lt;15,1,0)</f>
        <v>0</v>
      </c>
      <c r="U27" s="3" t="n">
        <f aca="false">IF(COUNTIF($E$2:$E$801,E27)&gt;1,1,0)</f>
        <v>0</v>
      </c>
      <c r="V27" s="3" t="n">
        <f aca="false">Q27*'Spam Rules'!$H$6+R27*'Spam Rules'!$H$7+S27*'Spam Rules'!$H$8+T27*'Spam Rules'!$H$9+U27*'Spam Rules'!$H$10</f>
        <v>0</v>
      </c>
      <c r="W27" s="3" t="str">
        <f aca="false">IF(V27&gt;='Spam Rules'!$B$3,"Likely Spam","Genuine")</f>
        <v>Genuine</v>
      </c>
      <c r="X27" s="3" t="n">
        <f aca="false">IFERROR(INDEX('Scoring Model'!$B$5:$B$11,MATCH(C27,'Scoring Model'!$A$5:$A$11,0)),0)</f>
        <v>5</v>
      </c>
      <c r="Y27" s="3" t="n">
        <f aca="false">IFERROR(INDEX('Scoring Model'!$E$5:$E$7,MATCH(F27,'Scoring Model'!$D$5:$D$7,0)),0)</f>
        <v>20</v>
      </c>
      <c r="Z27" s="3" t="n">
        <f aca="false">IFERROR(INDEX('Scoring Model'!$H$5:$H$13,MATCH(J27,'Scoring Model'!$G$5:$G$13,0)),0)</f>
        <v>5</v>
      </c>
      <c r="AA27" s="3" t="n">
        <f aca="false">IF(L27&gt;='Scoring Model'!$B$14,'Scoring Model'!$B$15,IF(L27&gt;='Scoring Model'!$B$16,'Scoring Model'!$B$17,0))</f>
        <v>0</v>
      </c>
      <c r="AB27" s="3" t="n">
        <f aca="false">IF(SUMPRODUCT(--ISNUMBER(SEARCH('Scoring Model'!$D$16:$D$25,K27)))&gt;0,'Scoring Model'!$B$18,0)</f>
        <v>0</v>
      </c>
      <c r="AC27" s="3" t="n">
        <f aca="false">IF(SUMPRODUCT(--ISNUMBER(SEARCH('Scoring Model'!$G$16:$G$23,K27)))&gt;0,'Scoring Model'!$B$19,0)</f>
        <v>-30</v>
      </c>
      <c r="AD27" s="3" t="n">
        <f aca="false">IF(W27="Likely Spam","",SUM(X27:AC27))</f>
        <v>0</v>
      </c>
      <c r="AE27" s="3" t="str">
        <f aca="false">IF(W27="Likely Spam","Spam",IF(AD27&gt;='Scoring Model'!$B$21,"Hot",IF(AD27&gt;='Scoring Model'!$B$22,"Warm","Nurture")))</f>
        <v>Nurture</v>
      </c>
      <c r="AF27" s="3" t="str">
        <f aca="false">IF(W27="Likely Spam","Flagged by spam rules",TRIM(IF(X27&gt;=20,"Strong source. ","")&amp;IF(Y27&gt;0,"Company email. ","")&amp;IF(Z27&gt;=15,"High-value product. ","")&amp;IF(AA27&gt;='Scoring Model'!$B$15,"High engagement. ","")&amp;IF(AB27&gt;0,"Buying intent in message. ","")&amp;IF(AC27&lt;0,"Negative intent in message. ","")))</f>
        <v>Company email. Negative intent in message.</v>
      </c>
      <c r="AG27" s="11" t="n">
        <f aca="false">IF(W27="Likely Spam","",1/(1+EXP(-('Conversion Model'!$B$5+IFERROR(INDEX('Conversion Model'!$B$8:$B$14,MATCH(C27,'Conversion Model'!$A$8:$A$14,0)),0)+IFERROR(INDEX('Conversion Model'!$E$8:$E$9,MATCH(F27,'Conversion Model'!$D$8:$D$9,0)),0)+IFERROR(INDEX('Conversion Model'!$H$8:$H$12,MATCH(IF(LEFT(J27,8)="Payments","Payments",IF(LEFT(J27,7)="Lending","Lending",J27)),'Conversion Model'!$G$8:$G$12,0)),0)+MIN(L27,15)*'Conversion Model'!$B$17+IF(SUMPRODUCT(--ISNUMBER(SEARCH('Scoring Model'!$D$16:$D$25,K27)))&gt;0,'Conversion Model'!$B$18,0)+IF(SUMPRODUCT(--ISNUMBER(SEARCH('Scoring Model'!$G$16:$G$23,K27)))&gt;0,'Conversion Model'!$B$19,0)))))</f>
        <v>0.0050716727878205</v>
      </c>
      <c r="AH27" s="3" t="n">
        <f aca="false">IF(OR(O27="Qualified",O27="Won",O27="Lost"),1,IF(O27="Unqualified",0,""))</f>
        <v>0</v>
      </c>
    </row>
    <row r="28" customFormat="false" ht="15" hidden="false" customHeight="true" outlineLevel="0" collapsed="false">
      <c r="A28" s="3" t="s">
        <v>214</v>
      </c>
      <c r="B28" s="9" t="n">
        <v>45945.4916666667</v>
      </c>
      <c r="C28" s="3" t="s">
        <v>112</v>
      </c>
      <c r="D28" s="3" t="s">
        <v>215</v>
      </c>
      <c r="E28" s="3" t="s">
        <v>216</v>
      </c>
      <c r="F28" s="3" t="s">
        <v>54</v>
      </c>
      <c r="G28" s="3" t="s">
        <v>217</v>
      </c>
      <c r="H28" s="3"/>
      <c r="I28" s="3" t="s">
        <v>88</v>
      </c>
      <c r="J28" s="3" t="s">
        <v>145</v>
      </c>
      <c r="K28" s="3" t="s">
        <v>193</v>
      </c>
      <c r="L28" s="3" t="n">
        <v>4</v>
      </c>
      <c r="M28" s="3" t="n">
        <v>22.5</v>
      </c>
      <c r="N28" s="3" t="s">
        <v>59</v>
      </c>
      <c r="O28" s="3"/>
      <c r="P28" s="10"/>
      <c r="Q28" s="3" t="n">
        <f aca="false">IF(F28="Disposable",1,0)</f>
        <v>0</v>
      </c>
      <c r="R28" s="3" t="n">
        <f aca="false">IF(SUMPRODUCT(--ISNUMBER(SEARCH('Spam Rules'!$A$22:$A$35,K28)))&gt;0,1,0)</f>
        <v>0</v>
      </c>
      <c r="S28" s="3" t="n">
        <f aca="false">IF(AND(F28="Free",G28=""),1,0)</f>
        <v>0</v>
      </c>
      <c r="T28" s="3" t="n">
        <f aca="false">IF(LEN(TRIM(K28))&lt;15,1,0)</f>
        <v>0</v>
      </c>
      <c r="U28" s="3" t="n">
        <f aca="false">IF(COUNTIF($E$2:$E$801,E28)&gt;1,1,0)</f>
        <v>1</v>
      </c>
      <c r="V28" s="3" t="n">
        <f aca="false">Q28*'Spam Rules'!$H$6+R28*'Spam Rules'!$H$7+S28*'Spam Rules'!$H$8+T28*'Spam Rules'!$H$9+U28*'Spam Rules'!$H$10</f>
        <v>0</v>
      </c>
      <c r="W28" s="3" t="str">
        <f aca="false">IF(V28&gt;='Spam Rules'!$B$3,"Likely Spam","Genuine")</f>
        <v>Genuine</v>
      </c>
      <c r="X28" s="3" t="n">
        <f aca="false">IFERROR(INDEX('Scoring Model'!$B$5:$B$11,MATCH(C28,'Scoring Model'!$A$5:$A$11,0)),0)</f>
        <v>15</v>
      </c>
      <c r="Y28" s="3" t="n">
        <f aca="false">IFERROR(INDEX('Scoring Model'!$E$5:$E$7,MATCH(F28,'Scoring Model'!$D$5:$D$7,0)),0)</f>
        <v>0</v>
      </c>
      <c r="Z28" s="3" t="n">
        <f aca="false">IFERROR(INDEX('Scoring Model'!$H$5:$H$13,MATCH(J28,'Scoring Model'!$G$5:$G$13,0)),0)</f>
        <v>5</v>
      </c>
      <c r="AA28" s="3" t="n">
        <f aca="false">IF(L28&gt;='Scoring Model'!$B$14,'Scoring Model'!$B$15,IF(L28&gt;='Scoring Model'!$B$16,'Scoring Model'!$B$17,0))</f>
        <v>8</v>
      </c>
      <c r="AB28" s="3" t="n">
        <f aca="false">IF(SUMPRODUCT(--ISNUMBER(SEARCH('Scoring Model'!$D$16:$D$25,K28)))&gt;0,'Scoring Model'!$B$18,0)</f>
        <v>0</v>
      </c>
      <c r="AC28" s="3" t="n">
        <f aca="false">IF(SUMPRODUCT(--ISNUMBER(SEARCH('Scoring Model'!$G$16:$G$23,K28)))&gt;0,'Scoring Model'!$B$19,0)</f>
        <v>-30</v>
      </c>
      <c r="AD28" s="3" t="n">
        <f aca="false">IF(W28="Likely Spam","",SUM(X28:AC28))</f>
        <v>-2</v>
      </c>
      <c r="AE28" s="3" t="str">
        <f aca="false">IF(W28="Likely Spam","Spam",IF(AD28&gt;='Scoring Model'!$B$21,"Hot",IF(AD28&gt;='Scoring Model'!$B$22,"Warm","Nurture")))</f>
        <v>Nurture</v>
      </c>
      <c r="AF28" s="3" t="str">
        <f aca="false">IF(W28="Likely Spam","Flagged by spam rules",TRIM(IF(X28&gt;=20,"Strong source. ","")&amp;IF(Y28&gt;0,"Company email. ","")&amp;IF(Z28&gt;=15,"High-value product. ","")&amp;IF(AA28&gt;='Scoring Model'!$B$15,"High engagement. ","")&amp;IF(AB28&gt;0,"Buying intent in message. ","")&amp;IF(AC28&lt;0,"Negative intent in message. ","")))</f>
        <v>Negative intent in message.</v>
      </c>
      <c r="AG28" s="11" t="n">
        <f aca="false">IF(W28="Likely Spam","",1/(1+EXP(-('Conversion Model'!$B$5+IFERROR(INDEX('Conversion Model'!$B$8:$B$14,MATCH(C28,'Conversion Model'!$A$8:$A$14,0)),0)+IFERROR(INDEX('Conversion Model'!$E$8:$E$9,MATCH(F28,'Conversion Model'!$D$8:$D$9,0)),0)+IFERROR(INDEX('Conversion Model'!$H$8:$H$12,MATCH(IF(LEFT(J28,8)="Payments","Payments",IF(LEFT(J28,7)="Lending","Lending",J28)),'Conversion Model'!$G$8:$G$12,0)),0)+MIN(L28,15)*'Conversion Model'!$B$17+IF(SUMPRODUCT(--ISNUMBER(SEARCH('Scoring Model'!$D$16:$D$25,K28)))&gt;0,'Conversion Model'!$B$18,0)+IF(SUMPRODUCT(--ISNUMBER(SEARCH('Scoring Model'!$G$16:$G$23,K28)))&gt;0,'Conversion Model'!$B$19,0)))))</f>
        <v>0.0145859955856217</v>
      </c>
      <c r="AH28" s="3" t="str">
        <f aca="false">IF(OR(O28="Qualified",O28="Won",O28="Lost"),1,IF(O28="Unqualified",0,""))</f>
        <v/>
      </c>
    </row>
    <row r="29" customFormat="false" ht="15" hidden="false" customHeight="true" outlineLevel="0" collapsed="false">
      <c r="A29" s="3" t="s">
        <v>218</v>
      </c>
      <c r="B29" s="9" t="n">
        <v>45945.6375</v>
      </c>
      <c r="C29" s="3" t="s">
        <v>51</v>
      </c>
      <c r="D29" s="3" t="s">
        <v>219</v>
      </c>
      <c r="E29" s="3" t="s">
        <v>220</v>
      </c>
      <c r="F29" s="3" t="s">
        <v>54</v>
      </c>
      <c r="G29" s="3" t="s">
        <v>221</v>
      </c>
      <c r="H29" s="3"/>
      <c r="I29" s="3" t="s">
        <v>139</v>
      </c>
      <c r="J29" s="3" t="s">
        <v>65</v>
      </c>
      <c r="K29" s="3" t="s">
        <v>101</v>
      </c>
      <c r="L29" s="3" t="n">
        <v>1</v>
      </c>
      <c r="M29" s="3" t="n">
        <v>23.8</v>
      </c>
      <c r="N29" s="3" t="s">
        <v>171</v>
      </c>
      <c r="O29" s="3" t="s">
        <v>194</v>
      </c>
      <c r="P29" s="10"/>
      <c r="Q29" s="3" t="n">
        <f aca="false">IF(F29="Disposable",1,0)</f>
        <v>0</v>
      </c>
      <c r="R29" s="3" t="n">
        <f aca="false">IF(SUMPRODUCT(--ISNUMBER(SEARCH('Spam Rules'!$A$22:$A$35,K29)))&gt;0,1,0)</f>
        <v>0</v>
      </c>
      <c r="S29" s="3" t="n">
        <f aca="false">IF(AND(F29="Free",G29=""),1,0)</f>
        <v>0</v>
      </c>
      <c r="T29" s="3" t="n">
        <f aca="false">IF(LEN(TRIM(K29))&lt;15,1,0)</f>
        <v>0</v>
      </c>
      <c r="U29" s="3" t="n">
        <f aca="false">IF(COUNTIF($E$2:$E$801,E29)&gt;1,1,0)</f>
        <v>0</v>
      </c>
      <c r="V29" s="3" t="n">
        <f aca="false">Q29*'Spam Rules'!$H$6+R29*'Spam Rules'!$H$7+S29*'Spam Rules'!$H$8+T29*'Spam Rules'!$H$9+U29*'Spam Rules'!$H$10</f>
        <v>0</v>
      </c>
      <c r="W29" s="3" t="str">
        <f aca="false">IF(V29&gt;='Spam Rules'!$B$3,"Likely Spam","Genuine")</f>
        <v>Genuine</v>
      </c>
      <c r="X29" s="3" t="n">
        <f aca="false">IFERROR(INDEX('Scoring Model'!$B$5:$B$11,MATCH(C29,'Scoring Model'!$A$5:$A$11,0)),0)</f>
        <v>10</v>
      </c>
      <c r="Y29" s="3" t="n">
        <f aca="false">IFERROR(INDEX('Scoring Model'!$E$5:$E$7,MATCH(F29,'Scoring Model'!$D$5:$D$7,0)),0)</f>
        <v>0</v>
      </c>
      <c r="Z29" s="3" t="n">
        <f aca="false">IFERROR(INDEX('Scoring Model'!$H$5:$H$13,MATCH(J29,'Scoring Model'!$G$5:$G$13,0)),0)</f>
        <v>0</v>
      </c>
      <c r="AA29" s="3" t="n">
        <f aca="false">IF(L29&gt;='Scoring Model'!$B$14,'Scoring Model'!$B$15,IF(L29&gt;='Scoring Model'!$B$16,'Scoring Model'!$B$17,0))</f>
        <v>0</v>
      </c>
      <c r="AB29" s="3" t="n">
        <f aca="false">IF(SUMPRODUCT(--ISNUMBER(SEARCH('Scoring Model'!$D$16:$D$25,K29)))&gt;0,'Scoring Model'!$B$18,0)</f>
        <v>0</v>
      </c>
      <c r="AC29" s="3" t="n">
        <f aca="false">IF(SUMPRODUCT(--ISNUMBER(SEARCH('Scoring Model'!$G$16:$G$23,K29)))&gt;0,'Scoring Model'!$B$19,0)</f>
        <v>-30</v>
      </c>
      <c r="AD29" s="3" t="n">
        <f aca="false">IF(W29="Likely Spam","",SUM(X29:AC29))</f>
        <v>-20</v>
      </c>
      <c r="AE29" s="3" t="str">
        <f aca="false">IF(W29="Likely Spam","Spam",IF(AD29&gt;='Scoring Model'!$B$21,"Hot",IF(AD29&gt;='Scoring Model'!$B$22,"Warm","Nurture")))</f>
        <v>Nurture</v>
      </c>
      <c r="AF29" s="3" t="str">
        <f aca="false">IF(W29="Likely Spam","Flagged by spam rules",TRIM(IF(X29&gt;=20,"Strong source. ","")&amp;IF(Y29&gt;0,"Company email. ","")&amp;IF(Z29&gt;=15,"High-value product. ","")&amp;IF(AA29&gt;='Scoring Model'!$B$15,"High engagement. ","")&amp;IF(AB29&gt;0,"Buying intent in message. ","")&amp;IF(AC29&lt;0,"Negative intent in message. ","")))</f>
        <v>Negative intent in message.</v>
      </c>
      <c r="AG29" s="11" t="n">
        <f aca="false">IF(W29="Likely Spam","",1/(1+EXP(-('Conversion Model'!$B$5+IFERROR(INDEX('Conversion Model'!$B$8:$B$14,MATCH(C29,'Conversion Model'!$A$8:$A$14,0)),0)+IFERROR(INDEX('Conversion Model'!$E$8:$E$9,MATCH(F29,'Conversion Model'!$D$8:$D$9,0)),0)+IFERROR(INDEX('Conversion Model'!$H$8:$H$12,MATCH(IF(LEFT(J29,8)="Payments","Payments",IF(LEFT(J29,7)="Lending","Lending",J29)),'Conversion Model'!$G$8:$G$12,0)),0)+MIN(L29,15)*'Conversion Model'!$B$17+IF(SUMPRODUCT(--ISNUMBER(SEARCH('Scoring Model'!$D$16:$D$25,K29)))&gt;0,'Conversion Model'!$B$18,0)+IF(SUMPRODUCT(--ISNUMBER(SEARCH('Scoring Model'!$G$16:$G$23,K29)))&gt;0,'Conversion Model'!$B$19,0)))))</f>
        <v>0.000927583246642184</v>
      </c>
      <c r="AH29" s="3" t="n">
        <f aca="false">IF(OR(O29="Qualified",O29="Won",O29="Lost"),1,IF(O29="Unqualified",0,""))</f>
        <v>0</v>
      </c>
    </row>
    <row r="30" customFormat="false" ht="15" hidden="false" customHeight="true" outlineLevel="0" collapsed="false">
      <c r="A30" s="3" t="s">
        <v>222</v>
      </c>
      <c r="B30" s="9" t="n">
        <v>45946.6409722222</v>
      </c>
      <c r="C30" s="3" t="s">
        <v>135</v>
      </c>
      <c r="D30" s="3" t="s">
        <v>223</v>
      </c>
      <c r="E30" s="3" t="s">
        <v>224</v>
      </c>
      <c r="F30" s="3" t="s">
        <v>22</v>
      </c>
      <c r="G30" s="3" t="s">
        <v>225</v>
      </c>
      <c r="H30" s="3" t="s">
        <v>226</v>
      </c>
      <c r="I30" s="3" t="s">
        <v>227</v>
      </c>
      <c r="J30" s="3" t="s">
        <v>57</v>
      </c>
      <c r="K30" s="3" t="s">
        <v>228</v>
      </c>
      <c r="L30" s="3" t="n">
        <v>4</v>
      </c>
      <c r="M30" s="3" t="n">
        <v>1</v>
      </c>
      <c r="N30" s="3" t="s">
        <v>67</v>
      </c>
      <c r="O30" s="3" t="s">
        <v>133</v>
      </c>
      <c r="P30" s="10"/>
      <c r="Q30" s="3" t="n">
        <f aca="false">IF(F30="Disposable",1,0)</f>
        <v>0</v>
      </c>
      <c r="R30" s="3" t="n">
        <f aca="false">IF(SUMPRODUCT(--ISNUMBER(SEARCH('Spam Rules'!$A$22:$A$35,K30)))&gt;0,1,0)</f>
        <v>0</v>
      </c>
      <c r="S30" s="3" t="n">
        <f aca="false">IF(AND(F30="Free",G30=""),1,0)</f>
        <v>0</v>
      </c>
      <c r="T30" s="3" t="n">
        <f aca="false">IF(LEN(TRIM(K30))&lt;15,1,0)</f>
        <v>0</v>
      </c>
      <c r="U30" s="3" t="n">
        <f aca="false">IF(COUNTIF($E$2:$E$801,E30)&gt;1,1,0)</f>
        <v>0</v>
      </c>
      <c r="V30" s="3" t="n">
        <f aca="false">Q30*'Spam Rules'!$H$6+R30*'Spam Rules'!$H$7+S30*'Spam Rules'!$H$8+T30*'Spam Rules'!$H$9+U30*'Spam Rules'!$H$10</f>
        <v>0</v>
      </c>
      <c r="W30" s="3" t="str">
        <f aca="false">IF(V30&gt;='Spam Rules'!$B$3,"Likely Spam","Genuine")</f>
        <v>Genuine</v>
      </c>
      <c r="X30" s="3" t="n">
        <f aca="false">IFERROR(INDEX('Scoring Model'!$B$5:$B$11,MATCH(C30,'Scoring Model'!$A$5:$A$11,0)),0)</f>
        <v>20</v>
      </c>
      <c r="Y30" s="3" t="n">
        <f aca="false">IFERROR(INDEX('Scoring Model'!$E$5:$E$7,MATCH(F30,'Scoring Model'!$D$5:$D$7,0)),0)</f>
        <v>20</v>
      </c>
      <c r="Z30" s="3" t="n">
        <f aca="false">IFERROR(INDEX('Scoring Model'!$H$5:$H$13,MATCH(J30,'Scoring Model'!$G$5:$G$13,0)),0)</f>
        <v>15</v>
      </c>
      <c r="AA30" s="3" t="n">
        <f aca="false">IF(L30&gt;='Scoring Model'!$B$14,'Scoring Model'!$B$15,IF(L30&gt;='Scoring Model'!$B$16,'Scoring Model'!$B$17,0))</f>
        <v>8</v>
      </c>
      <c r="AB30" s="3" t="n">
        <f aca="false">IF(SUMPRODUCT(--ISNUMBER(SEARCH('Scoring Model'!$D$16:$D$25,K30)))&gt;0,'Scoring Model'!$B$18,0)</f>
        <v>15</v>
      </c>
      <c r="AC30" s="3" t="n">
        <f aca="false">IF(SUMPRODUCT(--ISNUMBER(SEARCH('Scoring Model'!$G$16:$G$23,K30)))&gt;0,'Scoring Model'!$B$19,0)</f>
        <v>0</v>
      </c>
      <c r="AD30" s="3" t="n">
        <f aca="false">IF(W30="Likely Spam","",SUM(X30:AC30))</f>
        <v>78</v>
      </c>
      <c r="AE30" s="3" t="str">
        <f aca="false">IF(W30="Likely Spam","Spam",IF(AD30&gt;='Scoring Model'!$B$21,"Hot",IF(AD30&gt;='Scoring Model'!$B$22,"Warm","Nurture")))</f>
        <v>Hot</v>
      </c>
      <c r="AF30" s="3" t="str">
        <f aca="false">IF(W30="Likely Spam","Flagged by spam rules",TRIM(IF(X30&gt;=20,"Strong source. ","")&amp;IF(Y30&gt;0,"Company email. ","")&amp;IF(Z30&gt;=15,"High-value product. ","")&amp;IF(AA30&gt;='Scoring Model'!$B$15,"High engagement. ","")&amp;IF(AB30&gt;0,"Buying intent in message. ","")&amp;IF(AC30&lt;0,"Negative intent in message. ","")))</f>
        <v>Strong source. Company email. High-value product. Buying intent in message.</v>
      </c>
      <c r="AG30" s="11" t="n">
        <f aca="false">IF(W30="Likely Spam","",1/(1+EXP(-('Conversion Model'!$B$5+IFERROR(INDEX('Conversion Model'!$B$8:$B$14,MATCH(C30,'Conversion Model'!$A$8:$A$14,0)),0)+IFERROR(INDEX('Conversion Model'!$E$8:$E$9,MATCH(F30,'Conversion Model'!$D$8:$D$9,0)),0)+IFERROR(INDEX('Conversion Model'!$H$8:$H$12,MATCH(IF(LEFT(J30,8)="Payments","Payments",IF(LEFT(J30,7)="Lending","Lending",J30)),'Conversion Model'!$G$8:$G$12,0)),0)+MIN(L30,15)*'Conversion Model'!$B$17+IF(SUMPRODUCT(--ISNUMBER(SEARCH('Scoring Model'!$D$16:$D$25,K30)))&gt;0,'Conversion Model'!$B$18,0)+IF(SUMPRODUCT(--ISNUMBER(SEARCH('Scoring Model'!$G$16:$G$23,K30)))&gt;0,'Conversion Model'!$B$19,0)))))</f>
        <v>0.702451683352767</v>
      </c>
      <c r="AH30" s="3" t="str">
        <f aca="false">IF(OR(O30="Qualified",O30="Won",O30="Lost"),1,IF(O30="Unqualified",0,""))</f>
        <v/>
      </c>
    </row>
    <row r="31" customFormat="false" ht="15" hidden="false" customHeight="true" outlineLevel="0" collapsed="false">
      <c r="A31" s="3" t="s">
        <v>229</v>
      </c>
      <c r="B31" s="9" t="n">
        <v>45946.7527777778</v>
      </c>
      <c r="C31" s="3" t="s">
        <v>160</v>
      </c>
      <c r="D31" s="3" t="s">
        <v>230</v>
      </c>
      <c r="E31" s="3" t="s">
        <v>231</v>
      </c>
      <c r="F31" s="3" t="s">
        <v>22</v>
      </c>
      <c r="G31" s="3" t="s">
        <v>232</v>
      </c>
      <c r="H31" s="3" t="s">
        <v>233</v>
      </c>
      <c r="I31" s="3" t="s">
        <v>107</v>
      </c>
      <c r="J31" s="3" t="s">
        <v>81</v>
      </c>
      <c r="K31" s="3" t="s">
        <v>189</v>
      </c>
      <c r="L31" s="3" t="n">
        <v>3</v>
      </c>
      <c r="M31" s="3" t="n">
        <v>18.7</v>
      </c>
      <c r="N31" s="3" t="s">
        <v>67</v>
      </c>
      <c r="O31" s="3" t="s">
        <v>110</v>
      </c>
      <c r="P31" s="10"/>
      <c r="Q31" s="3" t="n">
        <f aca="false">IF(F31="Disposable",1,0)</f>
        <v>0</v>
      </c>
      <c r="R31" s="3" t="n">
        <f aca="false">IF(SUMPRODUCT(--ISNUMBER(SEARCH('Spam Rules'!$A$22:$A$35,K31)))&gt;0,1,0)</f>
        <v>0</v>
      </c>
      <c r="S31" s="3" t="n">
        <f aca="false">IF(AND(F31="Free",G31=""),1,0)</f>
        <v>0</v>
      </c>
      <c r="T31" s="3" t="n">
        <f aca="false">IF(LEN(TRIM(K31))&lt;15,1,0)</f>
        <v>0</v>
      </c>
      <c r="U31" s="3" t="n">
        <f aca="false">IF(COUNTIF($E$2:$E$801,E31)&gt;1,1,0)</f>
        <v>0</v>
      </c>
      <c r="V31" s="3" t="n">
        <f aca="false">Q31*'Spam Rules'!$H$6+R31*'Spam Rules'!$H$7+S31*'Spam Rules'!$H$8+T31*'Spam Rules'!$H$9+U31*'Spam Rules'!$H$10</f>
        <v>0</v>
      </c>
      <c r="W31" s="3" t="str">
        <f aca="false">IF(V31&gt;='Spam Rules'!$B$3,"Likely Spam","Genuine")</f>
        <v>Genuine</v>
      </c>
      <c r="X31" s="3" t="n">
        <f aca="false">IFERROR(INDEX('Scoring Model'!$B$5:$B$11,MATCH(C31,'Scoring Model'!$A$5:$A$11,0)),0)</f>
        <v>25</v>
      </c>
      <c r="Y31" s="3" t="n">
        <f aca="false">IFERROR(INDEX('Scoring Model'!$E$5:$E$7,MATCH(F31,'Scoring Model'!$D$5:$D$7,0)),0)</f>
        <v>20</v>
      </c>
      <c r="Z31" s="3" t="n">
        <f aca="false">IFERROR(INDEX('Scoring Model'!$H$5:$H$13,MATCH(J31,'Scoring Model'!$G$5:$G$13,0)),0)</f>
        <v>5</v>
      </c>
      <c r="AA31" s="3" t="n">
        <f aca="false">IF(L31&gt;='Scoring Model'!$B$14,'Scoring Model'!$B$15,IF(L31&gt;='Scoring Model'!$B$16,'Scoring Model'!$B$17,0))</f>
        <v>0</v>
      </c>
      <c r="AB31" s="3" t="n">
        <f aca="false">IF(SUMPRODUCT(--ISNUMBER(SEARCH('Scoring Model'!$D$16:$D$25,K31)))&gt;0,'Scoring Model'!$B$18,0)</f>
        <v>15</v>
      </c>
      <c r="AC31" s="3" t="n">
        <f aca="false">IF(SUMPRODUCT(--ISNUMBER(SEARCH('Scoring Model'!$G$16:$G$23,K31)))&gt;0,'Scoring Model'!$B$19,0)</f>
        <v>0</v>
      </c>
      <c r="AD31" s="3" t="n">
        <f aca="false">IF(W31="Likely Spam","",SUM(X31:AC31))</f>
        <v>65</v>
      </c>
      <c r="AE31" s="3" t="str">
        <f aca="false">IF(W31="Likely Spam","Spam",IF(AD31&gt;='Scoring Model'!$B$21,"Hot",IF(AD31&gt;='Scoring Model'!$B$22,"Warm","Nurture")))</f>
        <v>Warm</v>
      </c>
      <c r="AF31" s="3" t="str">
        <f aca="false">IF(W31="Likely Spam","Flagged by spam rules",TRIM(IF(X31&gt;=20,"Strong source. ","")&amp;IF(Y31&gt;0,"Company email. ","")&amp;IF(Z31&gt;=15,"High-value product. ","")&amp;IF(AA31&gt;='Scoring Model'!$B$15,"High engagement. ","")&amp;IF(AB31&gt;0,"Buying intent in message. ","")&amp;IF(AC31&lt;0,"Negative intent in message. ","")))</f>
        <v>Strong source. Company email. Buying intent in message.</v>
      </c>
      <c r="AG31" s="11" t="n">
        <f aca="false">IF(W31="Likely Spam","",1/(1+EXP(-('Conversion Model'!$B$5+IFERROR(INDEX('Conversion Model'!$B$8:$B$14,MATCH(C31,'Conversion Model'!$A$8:$A$14,0)),0)+IFERROR(INDEX('Conversion Model'!$E$8:$E$9,MATCH(F31,'Conversion Model'!$D$8:$D$9,0)),0)+IFERROR(INDEX('Conversion Model'!$H$8:$H$12,MATCH(IF(LEFT(J31,8)="Payments","Payments",IF(LEFT(J31,7)="Lending","Lending",J31)),'Conversion Model'!$G$8:$G$12,0)),0)+MIN(L31,15)*'Conversion Model'!$B$17+IF(SUMPRODUCT(--ISNUMBER(SEARCH('Scoring Model'!$D$16:$D$25,K31)))&gt;0,'Conversion Model'!$B$18,0)+IF(SUMPRODUCT(--ISNUMBER(SEARCH('Scoring Model'!$G$16:$G$23,K31)))&gt;0,'Conversion Model'!$B$19,0)))))</f>
        <v>0.334478130787941</v>
      </c>
      <c r="AH31" s="3" t="n">
        <f aca="false">IF(OR(O31="Qualified",O31="Won",O31="Lost"),1,IF(O31="Unqualified",0,""))</f>
        <v>1</v>
      </c>
    </row>
    <row r="32" customFormat="false" ht="15" hidden="false" customHeight="true" outlineLevel="0" collapsed="false">
      <c r="A32" s="3" t="s">
        <v>234</v>
      </c>
      <c r="B32" s="9" t="n">
        <v>45947.3020833333</v>
      </c>
      <c r="C32" s="3" t="s">
        <v>51</v>
      </c>
      <c r="D32" s="3" t="s">
        <v>235</v>
      </c>
      <c r="E32" s="3" t="s">
        <v>236</v>
      </c>
      <c r="F32" s="3" t="s">
        <v>22</v>
      </c>
      <c r="G32" s="3" t="s">
        <v>237</v>
      </c>
      <c r="H32" s="3" t="s">
        <v>238</v>
      </c>
      <c r="I32" s="3" t="s">
        <v>73</v>
      </c>
      <c r="J32" s="3" t="s">
        <v>122</v>
      </c>
      <c r="K32" s="3" t="s">
        <v>239</v>
      </c>
      <c r="L32" s="3" t="n">
        <v>1</v>
      </c>
      <c r="M32" s="3"/>
      <c r="N32" s="3" t="s">
        <v>59</v>
      </c>
      <c r="O32" s="3"/>
      <c r="P32" s="10"/>
      <c r="Q32" s="3" t="n">
        <f aca="false">IF(F32="Disposable",1,0)</f>
        <v>0</v>
      </c>
      <c r="R32" s="3" t="n">
        <f aca="false">IF(SUMPRODUCT(--ISNUMBER(SEARCH('Spam Rules'!$A$22:$A$35,K32)))&gt;0,1,0)</f>
        <v>1</v>
      </c>
      <c r="S32" s="3" t="n">
        <f aca="false">IF(AND(F32="Free",G32=""),1,0)</f>
        <v>0</v>
      </c>
      <c r="T32" s="3" t="n">
        <f aca="false">IF(LEN(TRIM(K32))&lt;15,1,0)</f>
        <v>0</v>
      </c>
      <c r="U32" s="3" t="n">
        <f aca="false">IF(COUNTIF($E$2:$E$801,E32)&gt;1,1,0)</f>
        <v>0</v>
      </c>
      <c r="V32" s="3" t="n">
        <f aca="false">Q32*'Spam Rules'!$H$6+R32*'Spam Rules'!$H$7+S32*'Spam Rules'!$H$8+T32*'Spam Rules'!$H$9+U32*'Spam Rules'!$H$10</f>
        <v>1</v>
      </c>
      <c r="W32" s="3" t="str">
        <f aca="false">IF(V32&gt;='Spam Rules'!$B$3,"Likely Spam","Genuine")</f>
        <v>Likely Spam</v>
      </c>
      <c r="X32" s="3" t="n">
        <f aca="false">IFERROR(INDEX('Scoring Model'!$B$5:$B$11,MATCH(C32,'Scoring Model'!$A$5:$A$11,0)),0)</f>
        <v>10</v>
      </c>
      <c r="Y32" s="3" t="n">
        <f aca="false">IFERROR(INDEX('Scoring Model'!$E$5:$E$7,MATCH(F32,'Scoring Model'!$D$5:$D$7,0)),0)</f>
        <v>20</v>
      </c>
      <c r="Z32" s="3" t="n">
        <f aca="false">IFERROR(INDEX('Scoring Model'!$H$5:$H$13,MATCH(J32,'Scoring Model'!$G$5:$G$13,0)),0)</f>
        <v>15</v>
      </c>
      <c r="AA32" s="3" t="n">
        <f aca="false">IF(L32&gt;='Scoring Model'!$B$14,'Scoring Model'!$B$15,IF(L32&gt;='Scoring Model'!$B$16,'Scoring Model'!$B$17,0))</f>
        <v>0</v>
      </c>
      <c r="AB32" s="3" t="n">
        <f aca="false">IF(SUMPRODUCT(--ISNUMBER(SEARCH('Scoring Model'!$D$16:$D$25,K32)))&gt;0,'Scoring Model'!$B$18,0)</f>
        <v>0</v>
      </c>
      <c r="AC32" s="3" t="n">
        <f aca="false">IF(SUMPRODUCT(--ISNUMBER(SEARCH('Scoring Model'!$G$16:$G$23,K32)))&gt;0,'Scoring Model'!$B$19,0)</f>
        <v>0</v>
      </c>
      <c r="AD32" s="3" t="str">
        <f aca="false">IF(W32="Likely Spam","",SUM(X32:AC32))</f>
        <v/>
      </c>
      <c r="AE32" s="3" t="str">
        <f aca="false">IF(W32="Likely Spam","Spam",IF(AD32&gt;='Scoring Model'!$B$21,"Hot",IF(AD32&gt;='Scoring Model'!$B$22,"Warm","Nurture")))</f>
        <v>Spam</v>
      </c>
      <c r="AF32" s="3" t="str">
        <f aca="false">IF(W32="Likely Spam","Flagged by spam rules",TRIM(IF(X32&gt;=20,"Strong source. ","")&amp;IF(Y32&gt;0,"Company email. ","")&amp;IF(Z32&gt;=15,"High-value product. ","")&amp;IF(AA32&gt;='Scoring Model'!$B$15,"High engagement. ","")&amp;IF(AB32&gt;0,"Buying intent in message. ","")&amp;IF(AC32&lt;0,"Negative intent in message. ","")))</f>
        <v>Flagged by spam rules</v>
      </c>
      <c r="AG32" s="11" t="str">
        <f aca="false">IF(W32="Likely Spam","",1/(1+EXP(-('Conversion Model'!$B$5+IFERROR(INDEX('Conversion Model'!$B$8:$B$14,MATCH(C32,'Conversion Model'!$A$8:$A$14,0)),0)+IFERROR(INDEX('Conversion Model'!$E$8:$E$9,MATCH(F32,'Conversion Model'!$D$8:$D$9,0)),0)+IFERROR(INDEX('Conversion Model'!$H$8:$H$12,MATCH(IF(LEFT(J32,8)="Payments","Payments",IF(LEFT(J32,7)="Lending","Lending",J32)),'Conversion Model'!$G$8:$G$12,0)),0)+MIN(L32,15)*'Conversion Model'!$B$17+IF(SUMPRODUCT(--ISNUMBER(SEARCH('Scoring Model'!$D$16:$D$25,K32)))&gt;0,'Conversion Model'!$B$18,0)+IF(SUMPRODUCT(--ISNUMBER(SEARCH('Scoring Model'!$G$16:$G$23,K32)))&gt;0,'Conversion Model'!$B$19,0)))))</f>
        <v/>
      </c>
      <c r="AH32" s="3" t="str">
        <f aca="false">IF(OR(O32="Qualified",O32="Won",O32="Lost"),1,IF(O32="Unqualified",0,""))</f>
        <v/>
      </c>
    </row>
    <row r="33" customFormat="false" ht="15" hidden="false" customHeight="true" outlineLevel="0" collapsed="false">
      <c r="A33" s="3" t="s">
        <v>240</v>
      </c>
      <c r="B33" s="9" t="n">
        <v>45947.5229166667</v>
      </c>
      <c r="C33" s="3" t="s">
        <v>51</v>
      </c>
      <c r="D33" s="3" t="s">
        <v>241</v>
      </c>
      <c r="E33" s="3" t="s">
        <v>242</v>
      </c>
      <c r="F33" s="3" t="s">
        <v>22</v>
      </c>
      <c r="G33" s="3" t="s">
        <v>243</v>
      </c>
      <c r="H33" s="3" t="s">
        <v>244</v>
      </c>
      <c r="I33" s="3" t="s">
        <v>88</v>
      </c>
      <c r="J33" s="3" t="s">
        <v>245</v>
      </c>
      <c r="K33" s="3" t="s">
        <v>246</v>
      </c>
      <c r="L33" s="3" t="n">
        <v>2</v>
      </c>
      <c r="M33" s="3" t="n">
        <v>8.1</v>
      </c>
      <c r="N33" s="3" t="s">
        <v>59</v>
      </c>
      <c r="O33" s="3"/>
      <c r="P33" s="10"/>
      <c r="Q33" s="3" t="n">
        <f aca="false">IF(F33="Disposable",1,0)</f>
        <v>0</v>
      </c>
      <c r="R33" s="3" t="n">
        <f aca="false">IF(SUMPRODUCT(--ISNUMBER(SEARCH('Spam Rules'!$A$22:$A$35,K33)))&gt;0,1,0)</f>
        <v>0</v>
      </c>
      <c r="S33" s="3" t="n">
        <f aca="false">IF(AND(F33="Free",G33=""),1,0)</f>
        <v>0</v>
      </c>
      <c r="T33" s="3" t="n">
        <f aca="false">IF(LEN(TRIM(K33))&lt;15,1,0)</f>
        <v>0</v>
      </c>
      <c r="U33" s="3" t="n">
        <f aca="false">IF(COUNTIF($E$2:$E$801,E33)&gt;1,1,0)</f>
        <v>0</v>
      </c>
      <c r="V33" s="3" t="n">
        <f aca="false">Q33*'Spam Rules'!$H$6+R33*'Spam Rules'!$H$7+S33*'Spam Rules'!$H$8+T33*'Spam Rules'!$H$9+U33*'Spam Rules'!$H$10</f>
        <v>0</v>
      </c>
      <c r="W33" s="3" t="str">
        <f aca="false">IF(V33&gt;='Spam Rules'!$B$3,"Likely Spam","Genuine")</f>
        <v>Genuine</v>
      </c>
      <c r="X33" s="3" t="n">
        <f aca="false">IFERROR(INDEX('Scoring Model'!$B$5:$B$11,MATCH(C33,'Scoring Model'!$A$5:$A$11,0)),0)</f>
        <v>10</v>
      </c>
      <c r="Y33" s="3" t="n">
        <f aca="false">IFERROR(INDEX('Scoring Model'!$E$5:$E$7,MATCH(F33,'Scoring Model'!$D$5:$D$7,0)),0)</f>
        <v>20</v>
      </c>
      <c r="Z33" s="3" t="n">
        <f aca="false">IFERROR(INDEX('Scoring Model'!$H$5:$H$13,MATCH(J33,'Scoring Model'!$G$5:$G$13,0)),0)</f>
        <v>15</v>
      </c>
      <c r="AA33" s="3" t="n">
        <f aca="false">IF(L33&gt;='Scoring Model'!$B$14,'Scoring Model'!$B$15,IF(L33&gt;='Scoring Model'!$B$16,'Scoring Model'!$B$17,0))</f>
        <v>0</v>
      </c>
      <c r="AB33" s="3" t="n">
        <f aca="false">IF(SUMPRODUCT(--ISNUMBER(SEARCH('Scoring Model'!$D$16:$D$25,K33)))&gt;0,'Scoring Model'!$B$18,0)</f>
        <v>15</v>
      </c>
      <c r="AC33" s="3" t="n">
        <f aca="false">IF(SUMPRODUCT(--ISNUMBER(SEARCH('Scoring Model'!$G$16:$G$23,K33)))&gt;0,'Scoring Model'!$B$19,0)</f>
        <v>0</v>
      </c>
      <c r="AD33" s="3" t="n">
        <f aca="false">IF(W33="Likely Spam","",SUM(X33:AC33))</f>
        <v>60</v>
      </c>
      <c r="AE33" s="3" t="str">
        <f aca="false">IF(W33="Likely Spam","Spam",IF(AD33&gt;='Scoring Model'!$B$21,"Hot",IF(AD33&gt;='Scoring Model'!$B$22,"Warm","Nurture")))</f>
        <v>Warm</v>
      </c>
      <c r="AF33" s="3" t="str">
        <f aca="false">IF(W33="Likely Spam","Flagged by spam rules",TRIM(IF(X33&gt;=20,"Strong source. ","")&amp;IF(Y33&gt;0,"Company email. ","")&amp;IF(Z33&gt;=15,"High-value product. ","")&amp;IF(AA33&gt;='Scoring Model'!$B$15,"High engagement. ","")&amp;IF(AB33&gt;0,"Buying intent in message. ","")&amp;IF(AC33&lt;0,"Negative intent in message. ","")))</f>
        <v>Company email. High-value product. Buying intent in message.</v>
      </c>
      <c r="AG33" s="11" t="n">
        <f aca="false">IF(W33="Likely Spam","",1/(1+EXP(-('Conversion Model'!$B$5+IFERROR(INDEX('Conversion Model'!$B$8:$B$14,MATCH(C33,'Conversion Model'!$A$8:$A$14,0)),0)+IFERROR(INDEX('Conversion Model'!$E$8:$E$9,MATCH(F33,'Conversion Model'!$D$8:$D$9,0)),0)+IFERROR(INDEX('Conversion Model'!$H$8:$H$12,MATCH(IF(LEFT(J33,8)="Payments","Payments",IF(LEFT(J33,7)="Lending","Lending",J33)),'Conversion Model'!$G$8:$G$12,0)),0)+MIN(L33,15)*'Conversion Model'!$B$17+IF(SUMPRODUCT(--ISNUMBER(SEARCH('Scoring Model'!$D$16:$D$25,K33)))&gt;0,'Conversion Model'!$B$18,0)+IF(SUMPRODUCT(--ISNUMBER(SEARCH('Scoring Model'!$G$16:$G$23,K33)))&gt;0,'Conversion Model'!$B$19,0)))))</f>
        <v>0.334923483092207</v>
      </c>
      <c r="AH33" s="3" t="str">
        <f aca="false">IF(OR(O33="Qualified",O33="Won",O33="Lost"),1,IF(O33="Unqualified",0,""))</f>
        <v/>
      </c>
    </row>
    <row r="34" customFormat="false" ht="15" hidden="false" customHeight="true" outlineLevel="0" collapsed="false">
      <c r="A34" s="3" t="s">
        <v>247</v>
      </c>
      <c r="B34" s="9" t="n">
        <v>45949.8298611111</v>
      </c>
      <c r="C34" s="3" t="s">
        <v>91</v>
      </c>
      <c r="D34" s="3" t="s">
        <v>248</v>
      </c>
      <c r="E34" s="3" t="s">
        <v>249</v>
      </c>
      <c r="F34" s="3" t="s">
        <v>22</v>
      </c>
      <c r="G34" s="3" t="s">
        <v>250</v>
      </c>
      <c r="H34" s="3" t="s">
        <v>251</v>
      </c>
      <c r="I34" s="3" t="s">
        <v>188</v>
      </c>
      <c r="J34" s="3" t="s">
        <v>81</v>
      </c>
      <c r="K34" s="3" t="s">
        <v>213</v>
      </c>
      <c r="L34" s="3" t="n">
        <v>1</v>
      </c>
      <c r="M34" s="3" t="n">
        <v>13</v>
      </c>
      <c r="N34" s="3" t="s">
        <v>67</v>
      </c>
      <c r="O34" s="3"/>
      <c r="P34" s="10"/>
      <c r="Q34" s="3" t="n">
        <f aca="false">IF(F34="Disposable",1,0)</f>
        <v>0</v>
      </c>
      <c r="R34" s="3" t="n">
        <f aca="false">IF(SUMPRODUCT(--ISNUMBER(SEARCH('Spam Rules'!$A$22:$A$35,K34)))&gt;0,1,0)</f>
        <v>0</v>
      </c>
      <c r="S34" s="3" t="n">
        <f aca="false">IF(AND(F34="Free",G34=""),1,0)</f>
        <v>0</v>
      </c>
      <c r="T34" s="3" t="n">
        <f aca="false">IF(LEN(TRIM(K34))&lt;15,1,0)</f>
        <v>0</v>
      </c>
      <c r="U34" s="3" t="n">
        <f aca="false">IF(COUNTIF($E$2:$E$801,E34)&gt;1,1,0)</f>
        <v>0</v>
      </c>
      <c r="V34" s="3" t="n">
        <f aca="false">Q34*'Spam Rules'!$H$6+R34*'Spam Rules'!$H$7+S34*'Spam Rules'!$H$8+T34*'Spam Rules'!$H$9+U34*'Spam Rules'!$H$10</f>
        <v>0</v>
      </c>
      <c r="W34" s="3" t="str">
        <f aca="false">IF(V34&gt;='Spam Rules'!$B$3,"Likely Spam","Genuine")</f>
        <v>Genuine</v>
      </c>
      <c r="X34" s="3" t="n">
        <f aca="false">IFERROR(INDEX('Scoring Model'!$B$5:$B$11,MATCH(C34,'Scoring Model'!$A$5:$A$11,0)),0)</f>
        <v>5</v>
      </c>
      <c r="Y34" s="3" t="n">
        <f aca="false">IFERROR(INDEX('Scoring Model'!$E$5:$E$7,MATCH(F34,'Scoring Model'!$D$5:$D$7,0)),0)</f>
        <v>20</v>
      </c>
      <c r="Z34" s="3" t="n">
        <f aca="false">IFERROR(INDEX('Scoring Model'!$H$5:$H$13,MATCH(J34,'Scoring Model'!$G$5:$G$13,0)),0)</f>
        <v>5</v>
      </c>
      <c r="AA34" s="3" t="n">
        <f aca="false">IF(L34&gt;='Scoring Model'!$B$14,'Scoring Model'!$B$15,IF(L34&gt;='Scoring Model'!$B$16,'Scoring Model'!$B$17,0))</f>
        <v>0</v>
      </c>
      <c r="AB34" s="3" t="n">
        <f aca="false">IF(SUMPRODUCT(--ISNUMBER(SEARCH('Scoring Model'!$D$16:$D$25,K34)))&gt;0,'Scoring Model'!$B$18,0)</f>
        <v>0</v>
      </c>
      <c r="AC34" s="3" t="n">
        <f aca="false">IF(SUMPRODUCT(--ISNUMBER(SEARCH('Scoring Model'!$G$16:$G$23,K34)))&gt;0,'Scoring Model'!$B$19,0)</f>
        <v>-30</v>
      </c>
      <c r="AD34" s="3" t="n">
        <f aca="false">IF(W34="Likely Spam","",SUM(X34:AC34))</f>
        <v>0</v>
      </c>
      <c r="AE34" s="3" t="str">
        <f aca="false">IF(W34="Likely Spam","Spam",IF(AD34&gt;='Scoring Model'!$B$21,"Hot",IF(AD34&gt;='Scoring Model'!$B$22,"Warm","Nurture")))</f>
        <v>Nurture</v>
      </c>
      <c r="AF34" s="3" t="str">
        <f aca="false">IF(W34="Likely Spam","Flagged by spam rules",TRIM(IF(X34&gt;=20,"Strong source. ","")&amp;IF(Y34&gt;0,"Company email. ","")&amp;IF(Z34&gt;=15,"High-value product. ","")&amp;IF(AA34&gt;='Scoring Model'!$B$15,"High engagement. ","")&amp;IF(AB34&gt;0,"Buying intent in message. ","")&amp;IF(AC34&lt;0,"Negative intent in message. ","")))</f>
        <v>Company email. Negative intent in message.</v>
      </c>
      <c r="AG34" s="11" t="n">
        <f aca="false">IF(W34="Likely Spam","",1/(1+EXP(-('Conversion Model'!$B$5+IFERROR(INDEX('Conversion Model'!$B$8:$B$14,MATCH(C34,'Conversion Model'!$A$8:$A$14,0)),0)+IFERROR(INDEX('Conversion Model'!$E$8:$E$9,MATCH(F34,'Conversion Model'!$D$8:$D$9,0)),0)+IFERROR(INDEX('Conversion Model'!$H$8:$H$12,MATCH(IF(LEFT(J34,8)="Payments","Payments",IF(LEFT(J34,7)="Lending","Lending",J34)),'Conversion Model'!$G$8:$G$12,0)),0)+MIN(L34,15)*'Conversion Model'!$B$17+IF(SUMPRODUCT(--ISNUMBER(SEARCH('Scoring Model'!$D$16:$D$25,K34)))&gt;0,'Conversion Model'!$B$18,0)+IF(SUMPRODUCT(--ISNUMBER(SEARCH('Scoring Model'!$G$16:$G$23,K34)))&gt;0,'Conversion Model'!$B$19,0)))))</f>
        <v>0.00131842255323395</v>
      </c>
      <c r="AH34" s="3" t="str">
        <f aca="false">IF(OR(O34="Qualified",O34="Won",O34="Lost"),1,IF(O34="Unqualified",0,""))</f>
        <v/>
      </c>
    </row>
    <row r="35" customFormat="false" ht="15" hidden="false" customHeight="true" outlineLevel="0" collapsed="false">
      <c r="A35" s="3" t="s">
        <v>252</v>
      </c>
      <c r="B35" s="9" t="n">
        <v>45950.2826388889</v>
      </c>
      <c r="C35" s="3" t="s">
        <v>128</v>
      </c>
      <c r="D35" s="3" t="s">
        <v>253</v>
      </c>
      <c r="E35" s="3" t="s">
        <v>254</v>
      </c>
      <c r="F35" s="3" t="s">
        <v>22</v>
      </c>
      <c r="G35" s="3" t="s">
        <v>211</v>
      </c>
      <c r="H35" s="3" t="s">
        <v>212</v>
      </c>
      <c r="I35" s="3" t="s">
        <v>94</v>
      </c>
      <c r="J35" s="3" t="s">
        <v>57</v>
      </c>
      <c r="K35" s="3" t="s">
        <v>228</v>
      </c>
      <c r="L35" s="3" t="n">
        <v>5</v>
      </c>
      <c r="M35" s="3" t="n">
        <v>19.8</v>
      </c>
      <c r="N35" s="3" t="s">
        <v>59</v>
      </c>
      <c r="O35" s="3" t="s">
        <v>147</v>
      </c>
      <c r="P35" s="10" t="n">
        <v>48000</v>
      </c>
      <c r="Q35" s="3" t="n">
        <f aca="false">IF(F35="Disposable",1,0)</f>
        <v>0</v>
      </c>
      <c r="R35" s="3" t="n">
        <f aca="false">IF(SUMPRODUCT(--ISNUMBER(SEARCH('Spam Rules'!$A$22:$A$35,K35)))&gt;0,1,0)</f>
        <v>0</v>
      </c>
      <c r="S35" s="3" t="n">
        <f aca="false">IF(AND(F35="Free",G35=""),1,0)</f>
        <v>0</v>
      </c>
      <c r="T35" s="3" t="n">
        <f aca="false">IF(LEN(TRIM(K35))&lt;15,1,0)</f>
        <v>0</v>
      </c>
      <c r="U35" s="3" t="n">
        <f aca="false">IF(COUNTIF($E$2:$E$801,E35)&gt;1,1,0)</f>
        <v>0</v>
      </c>
      <c r="V35" s="3" t="n">
        <f aca="false">Q35*'Spam Rules'!$H$6+R35*'Spam Rules'!$H$7+S35*'Spam Rules'!$H$8+T35*'Spam Rules'!$H$9+U35*'Spam Rules'!$H$10</f>
        <v>0</v>
      </c>
      <c r="W35" s="3" t="str">
        <f aca="false">IF(V35&gt;='Spam Rules'!$B$3,"Likely Spam","Genuine")</f>
        <v>Genuine</v>
      </c>
      <c r="X35" s="3" t="n">
        <f aca="false">IFERROR(INDEX('Scoring Model'!$B$5:$B$11,MATCH(C35,'Scoring Model'!$A$5:$A$11,0)),0)</f>
        <v>30</v>
      </c>
      <c r="Y35" s="3" t="n">
        <f aca="false">IFERROR(INDEX('Scoring Model'!$E$5:$E$7,MATCH(F35,'Scoring Model'!$D$5:$D$7,0)),0)</f>
        <v>20</v>
      </c>
      <c r="Z35" s="3" t="n">
        <f aca="false">IFERROR(INDEX('Scoring Model'!$H$5:$H$13,MATCH(J35,'Scoring Model'!$G$5:$G$13,0)),0)</f>
        <v>15</v>
      </c>
      <c r="AA35" s="3" t="n">
        <f aca="false">IF(L35&gt;='Scoring Model'!$B$14,'Scoring Model'!$B$15,IF(L35&gt;='Scoring Model'!$B$16,'Scoring Model'!$B$17,0))</f>
        <v>8</v>
      </c>
      <c r="AB35" s="3" t="n">
        <f aca="false">IF(SUMPRODUCT(--ISNUMBER(SEARCH('Scoring Model'!$D$16:$D$25,K35)))&gt;0,'Scoring Model'!$B$18,0)</f>
        <v>15</v>
      </c>
      <c r="AC35" s="3" t="n">
        <f aca="false">IF(SUMPRODUCT(--ISNUMBER(SEARCH('Scoring Model'!$G$16:$G$23,K35)))&gt;0,'Scoring Model'!$B$19,0)</f>
        <v>0</v>
      </c>
      <c r="AD35" s="3" t="n">
        <f aca="false">IF(W35="Likely Spam","",SUM(X35:AC35))</f>
        <v>88</v>
      </c>
      <c r="AE35" s="3" t="str">
        <f aca="false">IF(W35="Likely Spam","Spam",IF(AD35&gt;='Scoring Model'!$B$21,"Hot",IF(AD35&gt;='Scoring Model'!$B$22,"Warm","Nurture")))</f>
        <v>Hot</v>
      </c>
      <c r="AF35" s="3" t="str">
        <f aca="false">IF(W35="Likely Spam","Flagged by spam rules",TRIM(IF(X35&gt;=20,"Strong source. ","")&amp;IF(Y35&gt;0,"Company email. ","")&amp;IF(Z35&gt;=15,"High-value product. ","")&amp;IF(AA35&gt;='Scoring Model'!$B$15,"High engagement. ","")&amp;IF(AB35&gt;0,"Buying intent in message. ","")&amp;IF(AC35&lt;0,"Negative intent in message. ","")))</f>
        <v>Strong source. Company email. High-value product. Buying intent in message.</v>
      </c>
      <c r="AG35" s="11" t="n">
        <f aca="false">IF(W35="Likely Spam","",1/(1+EXP(-('Conversion Model'!$B$5+IFERROR(INDEX('Conversion Model'!$B$8:$B$14,MATCH(C35,'Conversion Model'!$A$8:$A$14,0)),0)+IFERROR(INDEX('Conversion Model'!$E$8:$E$9,MATCH(F35,'Conversion Model'!$D$8:$D$9,0)),0)+IFERROR(INDEX('Conversion Model'!$H$8:$H$12,MATCH(IF(LEFT(J35,8)="Payments","Payments",IF(LEFT(J35,7)="Lending","Lending",J35)),'Conversion Model'!$G$8:$G$12,0)),0)+MIN(L35,15)*'Conversion Model'!$B$17+IF(SUMPRODUCT(--ISNUMBER(SEARCH('Scoring Model'!$D$16:$D$25,K35)))&gt;0,'Conversion Model'!$B$18,0)+IF(SUMPRODUCT(--ISNUMBER(SEARCH('Scoring Model'!$G$16:$G$23,K35)))&gt;0,'Conversion Model'!$B$19,0)))))</f>
        <v>0.878787722324501</v>
      </c>
      <c r="AH35" s="3" t="n">
        <f aca="false">IF(OR(O35="Qualified",O35="Won",O35="Lost"),1,IF(O35="Unqualified",0,""))</f>
        <v>1</v>
      </c>
    </row>
    <row r="36" customFormat="false" ht="15" hidden="false" customHeight="true" outlineLevel="0" collapsed="false">
      <c r="A36" s="3" t="s">
        <v>255</v>
      </c>
      <c r="B36" s="9" t="n">
        <v>45950.5270833333</v>
      </c>
      <c r="C36" s="3" t="s">
        <v>51</v>
      </c>
      <c r="D36" s="3" t="s">
        <v>256</v>
      </c>
      <c r="E36" s="3" t="s">
        <v>257</v>
      </c>
      <c r="F36" s="3" t="s">
        <v>22</v>
      </c>
      <c r="G36" s="3" t="s">
        <v>258</v>
      </c>
      <c r="H36" s="3" t="s">
        <v>259</v>
      </c>
      <c r="I36" s="3" t="s">
        <v>260</v>
      </c>
      <c r="J36" s="3" t="s">
        <v>122</v>
      </c>
      <c r="K36" s="3" t="s">
        <v>228</v>
      </c>
      <c r="L36" s="3" t="n">
        <v>11</v>
      </c>
      <c r="M36" s="3" t="n">
        <v>112.4</v>
      </c>
      <c r="N36" s="3" t="s">
        <v>67</v>
      </c>
      <c r="O36" s="3"/>
      <c r="P36" s="10"/>
      <c r="Q36" s="3" t="n">
        <f aca="false">IF(F36="Disposable",1,0)</f>
        <v>0</v>
      </c>
      <c r="R36" s="3" t="n">
        <f aca="false">IF(SUMPRODUCT(--ISNUMBER(SEARCH('Spam Rules'!$A$22:$A$35,K36)))&gt;0,1,0)</f>
        <v>0</v>
      </c>
      <c r="S36" s="3" t="n">
        <f aca="false">IF(AND(F36="Free",G36=""),1,0)</f>
        <v>0</v>
      </c>
      <c r="T36" s="3" t="n">
        <f aca="false">IF(LEN(TRIM(K36))&lt;15,1,0)</f>
        <v>0</v>
      </c>
      <c r="U36" s="3" t="n">
        <f aca="false">IF(COUNTIF($E$2:$E$801,E36)&gt;1,1,0)</f>
        <v>0</v>
      </c>
      <c r="V36" s="3" t="n">
        <f aca="false">Q36*'Spam Rules'!$H$6+R36*'Spam Rules'!$H$7+S36*'Spam Rules'!$H$8+T36*'Spam Rules'!$H$9+U36*'Spam Rules'!$H$10</f>
        <v>0</v>
      </c>
      <c r="W36" s="3" t="str">
        <f aca="false">IF(V36&gt;='Spam Rules'!$B$3,"Likely Spam","Genuine")</f>
        <v>Genuine</v>
      </c>
      <c r="X36" s="3" t="n">
        <f aca="false">IFERROR(INDEX('Scoring Model'!$B$5:$B$11,MATCH(C36,'Scoring Model'!$A$5:$A$11,0)),0)</f>
        <v>10</v>
      </c>
      <c r="Y36" s="3" t="n">
        <f aca="false">IFERROR(INDEX('Scoring Model'!$E$5:$E$7,MATCH(F36,'Scoring Model'!$D$5:$D$7,0)),0)</f>
        <v>20</v>
      </c>
      <c r="Z36" s="3" t="n">
        <f aca="false">IFERROR(INDEX('Scoring Model'!$H$5:$H$13,MATCH(J36,'Scoring Model'!$G$5:$G$13,0)),0)</f>
        <v>15</v>
      </c>
      <c r="AA36" s="3" t="n">
        <f aca="false">IF(L36&gt;='Scoring Model'!$B$14,'Scoring Model'!$B$15,IF(L36&gt;='Scoring Model'!$B$16,'Scoring Model'!$B$17,0))</f>
        <v>15</v>
      </c>
      <c r="AB36" s="3" t="n">
        <f aca="false">IF(SUMPRODUCT(--ISNUMBER(SEARCH('Scoring Model'!$D$16:$D$25,K36)))&gt;0,'Scoring Model'!$B$18,0)</f>
        <v>15</v>
      </c>
      <c r="AC36" s="3" t="n">
        <f aca="false">IF(SUMPRODUCT(--ISNUMBER(SEARCH('Scoring Model'!$G$16:$G$23,K36)))&gt;0,'Scoring Model'!$B$19,0)</f>
        <v>0</v>
      </c>
      <c r="AD36" s="3" t="n">
        <f aca="false">IF(W36="Likely Spam","",SUM(X36:AC36))</f>
        <v>75</v>
      </c>
      <c r="AE36" s="3" t="str">
        <f aca="false">IF(W36="Likely Spam","Spam",IF(AD36&gt;='Scoring Model'!$B$21,"Hot",IF(AD36&gt;='Scoring Model'!$B$22,"Warm","Nurture")))</f>
        <v>Hot</v>
      </c>
      <c r="AF36" s="3" t="str">
        <f aca="false">IF(W36="Likely Spam","Flagged by spam rules",TRIM(IF(X36&gt;=20,"Strong source. ","")&amp;IF(Y36&gt;0,"Company email. ","")&amp;IF(Z36&gt;=15,"High-value product. ","")&amp;IF(AA36&gt;='Scoring Model'!$B$15,"High engagement. ","")&amp;IF(AB36&gt;0,"Buying intent in message. ","")&amp;IF(AC36&lt;0,"Negative intent in message. ","")))</f>
        <v>Company email. High-value product. High engagement. Buying intent in message.</v>
      </c>
      <c r="AG36" s="11" t="n">
        <f aca="false">IF(W36="Likely Spam","",1/(1+EXP(-('Conversion Model'!$B$5+IFERROR(INDEX('Conversion Model'!$B$8:$B$14,MATCH(C36,'Conversion Model'!$A$8:$A$14,0)),0)+IFERROR(INDEX('Conversion Model'!$E$8:$E$9,MATCH(F36,'Conversion Model'!$D$8:$D$9,0)),0)+IFERROR(INDEX('Conversion Model'!$H$8:$H$12,MATCH(IF(LEFT(J36,8)="Payments","Payments",IF(LEFT(J36,7)="Lending","Lending",J36)),'Conversion Model'!$G$8:$G$12,0)),0)+MIN(L36,15)*'Conversion Model'!$B$17+IF(SUMPRODUCT(--ISNUMBER(SEARCH('Scoring Model'!$D$16:$D$25,K36)))&gt;0,'Conversion Model'!$B$18,0)+IF(SUMPRODUCT(--ISNUMBER(SEARCH('Scoring Model'!$G$16:$G$23,K36)))&gt;0,'Conversion Model'!$B$19,0)))))</f>
        <v>0.996304731689285</v>
      </c>
      <c r="AH36" s="3" t="str">
        <f aca="false">IF(OR(O36="Qualified",O36="Won",O36="Lost"),1,IF(O36="Unqualified",0,""))</f>
        <v/>
      </c>
    </row>
    <row r="37" customFormat="false" ht="15" hidden="false" customHeight="true" outlineLevel="0" collapsed="false">
      <c r="A37" s="3" t="s">
        <v>261</v>
      </c>
      <c r="B37" s="9" t="n">
        <v>45951.025</v>
      </c>
      <c r="C37" s="3" t="s">
        <v>128</v>
      </c>
      <c r="D37" s="3" t="s">
        <v>262</v>
      </c>
      <c r="E37" s="3" t="s">
        <v>263</v>
      </c>
      <c r="F37" s="3" t="s">
        <v>22</v>
      </c>
      <c r="G37" s="3" t="s">
        <v>264</v>
      </c>
      <c r="H37" s="3" t="s">
        <v>265</v>
      </c>
      <c r="I37" s="3" t="s">
        <v>94</v>
      </c>
      <c r="J37" s="3" t="s">
        <v>145</v>
      </c>
      <c r="K37" s="3" t="s">
        <v>266</v>
      </c>
      <c r="L37" s="3" t="n">
        <v>4</v>
      </c>
      <c r="M37" s="3" t="n">
        <v>2.3</v>
      </c>
      <c r="N37" s="3" t="s">
        <v>96</v>
      </c>
      <c r="O37" s="3"/>
      <c r="P37" s="10"/>
      <c r="Q37" s="3" t="n">
        <f aca="false">IF(F37="Disposable",1,0)</f>
        <v>0</v>
      </c>
      <c r="R37" s="3" t="n">
        <f aca="false">IF(SUMPRODUCT(--ISNUMBER(SEARCH('Spam Rules'!$A$22:$A$35,K37)))&gt;0,1,0)</f>
        <v>0</v>
      </c>
      <c r="S37" s="3" t="n">
        <f aca="false">IF(AND(F37="Free",G37=""),1,0)</f>
        <v>0</v>
      </c>
      <c r="T37" s="3" t="n">
        <f aca="false">IF(LEN(TRIM(K37))&lt;15,1,0)</f>
        <v>0</v>
      </c>
      <c r="U37" s="3" t="n">
        <f aca="false">IF(COUNTIF($E$2:$E$801,E37)&gt;1,1,0)</f>
        <v>0</v>
      </c>
      <c r="V37" s="3" t="n">
        <f aca="false">Q37*'Spam Rules'!$H$6+R37*'Spam Rules'!$H$7+S37*'Spam Rules'!$H$8+T37*'Spam Rules'!$H$9+U37*'Spam Rules'!$H$10</f>
        <v>0</v>
      </c>
      <c r="W37" s="3" t="str">
        <f aca="false">IF(V37&gt;='Spam Rules'!$B$3,"Likely Spam","Genuine")</f>
        <v>Genuine</v>
      </c>
      <c r="X37" s="3" t="n">
        <f aca="false">IFERROR(INDEX('Scoring Model'!$B$5:$B$11,MATCH(C37,'Scoring Model'!$A$5:$A$11,0)),0)</f>
        <v>30</v>
      </c>
      <c r="Y37" s="3" t="n">
        <f aca="false">IFERROR(INDEX('Scoring Model'!$E$5:$E$7,MATCH(F37,'Scoring Model'!$D$5:$D$7,0)),0)</f>
        <v>20</v>
      </c>
      <c r="Z37" s="3" t="n">
        <f aca="false">IFERROR(INDEX('Scoring Model'!$H$5:$H$13,MATCH(J37,'Scoring Model'!$G$5:$G$13,0)),0)</f>
        <v>5</v>
      </c>
      <c r="AA37" s="3" t="n">
        <f aca="false">IF(L37&gt;='Scoring Model'!$B$14,'Scoring Model'!$B$15,IF(L37&gt;='Scoring Model'!$B$16,'Scoring Model'!$B$17,0))</f>
        <v>8</v>
      </c>
      <c r="AB37" s="3" t="n">
        <f aca="false">IF(SUMPRODUCT(--ISNUMBER(SEARCH('Scoring Model'!$D$16:$D$25,K37)))&gt;0,'Scoring Model'!$B$18,0)</f>
        <v>15</v>
      </c>
      <c r="AC37" s="3" t="n">
        <f aca="false">IF(SUMPRODUCT(--ISNUMBER(SEARCH('Scoring Model'!$G$16:$G$23,K37)))&gt;0,'Scoring Model'!$B$19,0)</f>
        <v>0</v>
      </c>
      <c r="AD37" s="3" t="n">
        <f aca="false">IF(W37="Likely Spam","",SUM(X37:AC37))</f>
        <v>78</v>
      </c>
      <c r="AE37" s="3" t="str">
        <f aca="false">IF(W37="Likely Spam","Spam",IF(AD37&gt;='Scoring Model'!$B$21,"Hot",IF(AD37&gt;='Scoring Model'!$B$22,"Warm","Nurture")))</f>
        <v>Hot</v>
      </c>
      <c r="AF37" s="3" t="str">
        <f aca="false">IF(W37="Likely Spam","Flagged by spam rules",TRIM(IF(X37&gt;=20,"Strong source. ","")&amp;IF(Y37&gt;0,"Company email. ","")&amp;IF(Z37&gt;=15,"High-value product. ","")&amp;IF(AA37&gt;='Scoring Model'!$B$15,"High engagement. ","")&amp;IF(AB37&gt;0,"Buying intent in message. ","")&amp;IF(AC37&lt;0,"Negative intent in message. ","")))</f>
        <v>Strong source. Company email. Buying intent in message.</v>
      </c>
      <c r="AG37" s="11" t="n">
        <f aca="false">IF(W37="Likely Spam","",1/(1+EXP(-('Conversion Model'!$B$5+IFERROR(INDEX('Conversion Model'!$B$8:$B$14,MATCH(C37,'Conversion Model'!$A$8:$A$14,0)),0)+IFERROR(INDEX('Conversion Model'!$E$8:$E$9,MATCH(F37,'Conversion Model'!$D$8:$D$9,0)),0)+IFERROR(INDEX('Conversion Model'!$H$8:$H$12,MATCH(IF(LEFT(J37,8)="Payments","Payments",IF(LEFT(J37,7)="Lending","Lending",J37)),'Conversion Model'!$G$8:$G$12,0)),0)+MIN(L37,15)*'Conversion Model'!$B$17+IF(SUMPRODUCT(--ISNUMBER(SEARCH('Scoring Model'!$D$16:$D$25,K37)))&gt;0,'Conversion Model'!$B$18,0)+IF(SUMPRODUCT(--ISNUMBER(SEARCH('Scoring Model'!$G$16:$G$23,K37)))&gt;0,'Conversion Model'!$B$19,0)))))</f>
        <v>0.7928186483122</v>
      </c>
      <c r="AH37" s="3" t="str">
        <f aca="false">IF(OR(O37="Qualified",O37="Won",O37="Lost"),1,IF(O37="Unqualified",0,""))</f>
        <v/>
      </c>
    </row>
    <row r="38" customFormat="false" ht="15" hidden="false" customHeight="true" outlineLevel="0" collapsed="false">
      <c r="A38" s="3" t="s">
        <v>267</v>
      </c>
      <c r="B38" s="9" t="n">
        <v>45951.4736111111</v>
      </c>
      <c r="C38" s="3" t="s">
        <v>76</v>
      </c>
      <c r="D38" s="3" t="s">
        <v>268</v>
      </c>
      <c r="E38" s="3" t="s">
        <v>269</v>
      </c>
      <c r="F38" s="3" t="s">
        <v>54</v>
      </c>
      <c r="G38" s="3" t="s">
        <v>270</v>
      </c>
      <c r="H38" s="3"/>
      <c r="I38" s="3" t="s">
        <v>139</v>
      </c>
      <c r="J38" s="3" t="s">
        <v>108</v>
      </c>
      <c r="K38" s="3" t="s">
        <v>271</v>
      </c>
      <c r="L38" s="3" t="n">
        <v>6</v>
      </c>
      <c r="M38" s="3" t="n">
        <v>14.5</v>
      </c>
      <c r="N38" s="3" t="s">
        <v>67</v>
      </c>
      <c r="O38" s="3"/>
      <c r="P38" s="10"/>
      <c r="Q38" s="3" t="n">
        <f aca="false">IF(F38="Disposable",1,0)</f>
        <v>0</v>
      </c>
      <c r="R38" s="3" t="n">
        <f aca="false">IF(SUMPRODUCT(--ISNUMBER(SEARCH('Spam Rules'!$A$22:$A$35,K38)))&gt;0,1,0)</f>
        <v>0</v>
      </c>
      <c r="S38" s="3" t="n">
        <f aca="false">IF(AND(F38="Free",G38=""),1,0)</f>
        <v>0</v>
      </c>
      <c r="T38" s="3" t="n">
        <f aca="false">IF(LEN(TRIM(K38))&lt;15,1,0)</f>
        <v>0</v>
      </c>
      <c r="U38" s="3" t="n">
        <f aca="false">IF(COUNTIF($E$2:$E$801,E38)&gt;1,1,0)</f>
        <v>0</v>
      </c>
      <c r="V38" s="3" t="n">
        <f aca="false">Q38*'Spam Rules'!$H$6+R38*'Spam Rules'!$H$7+S38*'Spam Rules'!$H$8+T38*'Spam Rules'!$H$9+U38*'Spam Rules'!$H$10</f>
        <v>0</v>
      </c>
      <c r="W38" s="3" t="str">
        <f aca="false">IF(V38&gt;='Spam Rules'!$B$3,"Likely Spam","Genuine")</f>
        <v>Genuine</v>
      </c>
      <c r="X38" s="3" t="n">
        <f aca="false">IFERROR(INDEX('Scoring Model'!$B$5:$B$11,MATCH(C38,'Scoring Model'!$A$5:$A$11,0)),0)</f>
        <v>0</v>
      </c>
      <c r="Y38" s="3" t="n">
        <f aca="false">IFERROR(INDEX('Scoring Model'!$E$5:$E$7,MATCH(F38,'Scoring Model'!$D$5:$D$7,0)),0)</f>
        <v>0</v>
      </c>
      <c r="Z38" s="3" t="n">
        <f aca="false">IFERROR(INDEX('Scoring Model'!$H$5:$H$13,MATCH(J38,'Scoring Model'!$G$5:$G$13,0)),0)</f>
        <v>15</v>
      </c>
      <c r="AA38" s="3" t="n">
        <f aca="false">IF(L38&gt;='Scoring Model'!$B$14,'Scoring Model'!$B$15,IF(L38&gt;='Scoring Model'!$B$16,'Scoring Model'!$B$17,0))</f>
        <v>8</v>
      </c>
      <c r="AB38" s="3" t="n">
        <f aca="false">IF(SUMPRODUCT(--ISNUMBER(SEARCH('Scoring Model'!$D$16:$D$25,K38)))&gt;0,'Scoring Model'!$B$18,0)</f>
        <v>15</v>
      </c>
      <c r="AC38" s="3" t="n">
        <f aca="false">IF(SUMPRODUCT(--ISNUMBER(SEARCH('Scoring Model'!$G$16:$G$23,K38)))&gt;0,'Scoring Model'!$B$19,0)</f>
        <v>0</v>
      </c>
      <c r="AD38" s="3" t="n">
        <f aca="false">IF(W38="Likely Spam","",SUM(X38:AC38))</f>
        <v>38</v>
      </c>
      <c r="AE38" s="3" t="str">
        <f aca="false">IF(W38="Likely Spam","Spam",IF(AD38&gt;='Scoring Model'!$B$21,"Hot",IF(AD38&gt;='Scoring Model'!$B$22,"Warm","Nurture")))</f>
        <v>Nurture</v>
      </c>
      <c r="AF38" s="3" t="str">
        <f aca="false">IF(W38="Likely Spam","Flagged by spam rules",TRIM(IF(X38&gt;=20,"Strong source. ","")&amp;IF(Y38&gt;0,"Company email. ","")&amp;IF(Z38&gt;=15,"High-value product. ","")&amp;IF(AA38&gt;='Scoring Model'!$B$15,"High engagement. ","")&amp;IF(AB38&gt;0,"Buying intent in message. ","")&amp;IF(AC38&lt;0,"Negative intent in message. ","")))</f>
        <v>High-value product. Buying intent in message.</v>
      </c>
      <c r="AG38" s="11" t="n">
        <f aca="false">IF(W38="Likely Spam","",1/(1+EXP(-('Conversion Model'!$B$5+IFERROR(INDEX('Conversion Model'!$B$8:$B$14,MATCH(C38,'Conversion Model'!$A$8:$A$14,0)),0)+IFERROR(INDEX('Conversion Model'!$E$8:$E$9,MATCH(F38,'Conversion Model'!$D$8:$D$9,0)),0)+IFERROR(INDEX('Conversion Model'!$H$8:$H$12,MATCH(IF(LEFT(J38,8)="Payments","Payments",IF(LEFT(J38,7)="Lending","Lending",J38)),'Conversion Model'!$G$8:$G$12,0)),0)+MIN(L38,15)*'Conversion Model'!$B$17+IF(SUMPRODUCT(--ISNUMBER(SEARCH('Scoring Model'!$D$16:$D$25,K38)))&gt;0,'Conversion Model'!$B$18,0)+IF(SUMPRODUCT(--ISNUMBER(SEARCH('Scoring Model'!$G$16:$G$23,K38)))&gt;0,'Conversion Model'!$B$19,0)))))</f>
        <v>0.597485765827016</v>
      </c>
      <c r="AH38" s="3" t="str">
        <f aca="false">IF(OR(O38="Qualified",O38="Won",O38="Lost"),1,IF(O38="Unqualified",0,""))</f>
        <v/>
      </c>
    </row>
    <row r="39" customFormat="false" ht="15" hidden="false" customHeight="true" outlineLevel="0" collapsed="false">
      <c r="A39" s="3" t="s">
        <v>272</v>
      </c>
      <c r="B39" s="9" t="n">
        <v>45951.5986111111</v>
      </c>
      <c r="C39" s="3" t="s">
        <v>160</v>
      </c>
      <c r="D39" s="3" t="s">
        <v>273</v>
      </c>
      <c r="E39" s="3" t="s">
        <v>274</v>
      </c>
      <c r="F39" s="3" t="s">
        <v>54</v>
      </c>
      <c r="G39" s="3" t="s">
        <v>275</v>
      </c>
      <c r="H39" s="3"/>
      <c r="I39" s="3" t="s">
        <v>94</v>
      </c>
      <c r="J39" s="3" t="s">
        <v>145</v>
      </c>
      <c r="K39" s="3" t="s">
        <v>213</v>
      </c>
      <c r="L39" s="3" t="n">
        <v>1</v>
      </c>
      <c r="M39" s="3" t="n">
        <v>0.9</v>
      </c>
      <c r="N39" s="3" t="s">
        <v>171</v>
      </c>
      <c r="O39" s="3" t="s">
        <v>194</v>
      </c>
      <c r="P39" s="10"/>
      <c r="Q39" s="3" t="n">
        <f aca="false">IF(F39="Disposable",1,0)</f>
        <v>0</v>
      </c>
      <c r="R39" s="3" t="n">
        <f aca="false">IF(SUMPRODUCT(--ISNUMBER(SEARCH('Spam Rules'!$A$22:$A$35,K39)))&gt;0,1,0)</f>
        <v>0</v>
      </c>
      <c r="S39" s="3" t="n">
        <f aca="false">IF(AND(F39="Free",G39=""),1,0)</f>
        <v>0</v>
      </c>
      <c r="T39" s="3" t="n">
        <f aca="false">IF(LEN(TRIM(K39))&lt;15,1,0)</f>
        <v>0</v>
      </c>
      <c r="U39" s="3" t="n">
        <f aca="false">IF(COUNTIF($E$2:$E$801,E39)&gt;1,1,0)</f>
        <v>0</v>
      </c>
      <c r="V39" s="3" t="n">
        <f aca="false">Q39*'Spam Rules'!$H$6+R39*'Spam Rules'!$H$7+S39*'Spam Rules'!$H$8+T39*'Spam Rules'!$H$9+U39*'Spam Rules'!$H$10</f>
        <v>0</v>
      </c>
      <c r="W39" s="3" t="str">
        <f aca="false">IF(V39&gt;='Spam Rules'!$B$3,"Likely Spam","Genuine")</f>
        <v>Genuine</v>
      </c>
      <c r="X39" s="3" t="n">
        <f aca="false">IFERROR(INDEX('Scoring Model'!$B$5:$B$11,MATCH(C39,'Scoring Model'!$A$5:$A$11,0)),0)</f>
        <v>25</v>
      </c>
      <c r="Y39" s="3" t="n">
        <f aca="false">IFERROR(INDEX('Scoring Model'!$E$5:$E$7,MATCH(F39,'Scoring Model'!$D$5:$D$7,0)),0)</f>
        <v>0</v>
      </c>
      <c r="Z39" s="3" t="n">
        <f aca="false">IFERROR(INDEX('Scoring Model'!$H$5:$H$13,MATCH(J39,'Scoring Model'!$G$5:$G$13,0)),0)</f>
        <v>5</v>
      </c>
      <c r="AA39" s="3" t="n">
        <f aca="false">IF(L39&gt;='Scoring Model'!$B$14,'Scoring Model'!$B$15,IF(L39&gt;='Scoring Model'!$B$16,'Scoring Model'!$B$17,0))</f>
        <v>0</v>
      </c>
      <c r="AB39" s="3" t="n">
        <f aca="false">IF(SUMPRODUCT(--ISNUMBER(SEARCH('Scoring Model'!$D$16:$D$25,K39)))&gt;0,'Scoring Model'!$B$18,0)</f>
        <v>0</v>
      </c>
      <c r="AC39" s="3" t="n">
        <f aca="false">IF(SUMPRODUCT(--ISNUMBER(SEARCH('Scoring Model'!$G$16:$G$23,K39)))&gt;0,'Scoring Model'!$B$19,0)</f>
        <v>-30</v>
      </c>
      <c r="AD39" s="3" t="n">
        <f aca="false">IF(W39="Likely Spam","",SUM(X39:AC39))</f>
        <v>0</v>
      </c>
      <c r="AE39" s="3" t="str">
        <f aca="false">IF(W39="Likely Spam","Spam",IF(AD39&gt;='Scoring Model'!$B$21,"Hot",IF(AD39&gt;='Scoring Model'!$B$22,"Warm","Nurture")))</f>
        <v>Nurture</v>
      </c>
      <c r="AF39" s="3" t="str">
        <f aca="false">IF(W39="Likely Spam","Flagged by spam rules",TRIM(IF(X39&gt;=20,"Strong source. ","")&amp;IF(Y39&gt;0,"Company email. ","")&amp;IF(Z39&gt;=15,"High-value product. ","")&amp;IF(AA39&gt;='Scoring Model'!$B$15,"High engagement. ","")&amp;IF(AB39&gt;0,"Buying intent in message. ","")&amp;IF(AC39&lt;0,"Negative intent in message. ","")))</f>
        <v>Strong source. Negative intent in message.</v>
      </c>
      <c r="AG39" s="11" t="n">
        <f aca="false">IF(W39="Likely Spam","",1/(1+EXP(-('Conversion Model'!$B$5+IFERROR(INDEX('Conversion Model'!$B$8:$B$14,MATCH(C39,'Conversion Model'!$A$8:$A$14,0)),0)+IFERROR(INDEX('Conversion Model'!$E$8:$E$9,MATCH(F39,'Conversion Model'!$D$8:$D$9,0)),0)+IFERROR(INDEX('Conversion Model'!$H$8:$H$12,MATCH(IF(LEFT(J39,8)="Payments","Payments",IF(LEFT(J39,7)="Lending","Lending",J39)),'Conversion Model'!$G$8:$G$12,0)),0)+MIN(L39,15)*'Conversion Model'!$B$17+IF(SUMPRODUCT(--ISNUMBER(SEARCH('Scoring Model'!$D$16:$D$25,K39)))&gt;0,'Conversion Model'!$B$18,0)+IF(SUMPRODUCT(--ISNUMBER(SEARCH('Scoring Model'!$G$16:$G$23,K39)))&gt;0,'Conversion Model'!$B$19,0)))))</f>
        <v>0.00216536203495134</v>
      </c>
      <c r="AH39" s="3" t="n">
        <f aca="false">IF(OR(O39="Qualified",O39="Won",O39="Lost"),1,IF(O39="Unqualified",0,""))</f>
        <v>0</v>
      </c>
    </row>
    <row r="40" customFormat="false" ht="15" hidden="false" customHeight="true" outlineLevel="0" collapsed="false">
      <c r="A40" s="3" t="s">
        <v>276</v>
      </c>
      <c r="B40" s="9" t="n">
        <v>45951.6944444445</v>
      </c>
      <c r="C40" s="3" t="s">
        <v>112</v>
      </c>
      <c r="D40" s="3" t="s">
        <v>277</v>
      </c>
      <c r="E40" s="3" t="s">
        <v>278</v>
      </c>
      <c r="F40" s="3" t="s">
        <v>54</v>
      </c>
      <c r="G40" s="3" t="s">
        <v>279</v>
      </c>
      <c r="H40" s="3"/>
      <c r="I40" s="3" t="s">
        <v>107</v>
      </c>
      <c r="J40" s="3" t="s">
        <v>145</v>
      </c>
      <c r="K40" s="3" t="s">
        <v>213</v>
      </c>
      <c r="L40" s="3" t="n">
        <v>3</v>
      </c>
      <c r="M40" s="3" t="n">
        <v>32.2</v>
      </c>
      <c r="N40" s="3" t="s">
        <v>171</v>
      </c>
      <c r="O40" s="3"/>
      <c r="P40" s="10"/>
      <c r="Q40" s="3" t="n">
        <f aca="false">IF(F40="Disposable",1,0)</f>
        <v>0</v>
      </c>
      <c r="R40" s="3" t="n">
        <f aca="false">IF(SUMPRODUCT(--ISNUMBER(SEARCH('Spam Rules'!$A$22:$A$35,K40)))&gt;0,1,0)</f>
        <v>0</v>
      </c>
      <c r="S40" s="3" t="n">
        <f aca="false">IF(AND(F40="Free",G40=""),1,0)</f>
        <v>0</v>
      </c>
      <c r="T40" s="3" t="n">
        <f aca="false">IF(LEN(TRIM(K40))&lt;15,1,0)</f>
        <v>0</v>
      </c>
      <c r="U40" s="3" t="n">
        <f aca="false">IF(COUNTIF($E$2:$E$801,E40)&gt;1,1,0)</f>
        <v>0</v>
      </c>
      <c r="V40" s="3" t="n">
        <f aca="false">Q40*'Spam Rules'!$H$6+R40*'Spam Rules'!$H$7+S40*'Spam Rules'!$H$8+T40*'Spam Rules'!$H$9+U40*'Spam Rules'!$H$10</f>
        <v>0</v>
      </c>
      <c r="W40" s="3" t="str">
        <f aca="false">IF(V40&gt;='Spam Rules'!$B$3,"Likely Spam","Genuine")</f>
        <v>Genuine</v>
      </c>
      <c r="X40" s="3" t="n">
        <f aca="false">IFERROR(INDEX('Scoring Model'!$B$5:$B$11,MATCH(C40,'Scoring Model'!$A$5:$A$11,0)),0)</f>
        <v>15</v>
      </c>
      <c r="Y40" s="3" t="n">
        <f aca="false">IFERROR(INDEX('Scoring Model'!$E$5:$E$7,MATCH(F40,'Scoring Model'!$D$5:$D$7,0)),0)</f>
        <v>0</v>
      </c>
      <c r="Z40" s="3" t="n">
        <f aca="false">IFERROR(INDEX('Scoring Model'!$H$5:$H$13,MATCH(J40,'Scoring Model'!$G$5:$G$13,0)),0)</f>
        <v>5</v>
      </c>
      <c r="AA40" s="3" t="n">
        <f aca="false">IF(L40&gt;='Scoring Model'!$B$14,'Scoring Model'!$B$15,IF(L40&gt;='Scoring Model'!$B$16,'Scoring Model'!$B$17,0))</f>
        <v>0</v>
      </c>
      <c r="AB40" s="3" t="n">
        <f aca="false">IF(SUMPRODUCT(--ISNUMBER(SEARCH('Scoring Model'!$D$16:$D$25,K40)))&gt;0,'Scoring Model'!$B$18,0)</f>
        <v>0</v>
      </c>
      <c r="AC40" s="3" t="n">
        <f aca="false">IF(SUMPRODUCT(--ISNUMBER(SEARCH('Scoring Model'!$G$16:$G$23,K40)))&gt;0,'Scoring Model'!$B$19,0)</f>
        <v>-30</v>
      </c>
      <c r="AD40" s="3" t="n">
        <f aca="false">IF(W40="Likely Spam","",SUM(X40:AC40))</f>
        <v>-10</v>
      </c>
      <c r="AE40" s="3" t="str">
        <f aca="false">IF(W40="Likely Spam","Spam",IF(AD40&gt;='Scoring Model'!$B$21,"Hot",IF(AD40&gt;='Scoring Model'!$B$22,"Warm","Nurture")))</f>
        <v>Nurture</v>
      </c>
      <c r="AF40" s="3" t="str">
        <f aca="false">IF(W40="Likely Spam","Flagged by spam rules",TRIM(IF(X40&gt;=20,"Strong source. ","")&amp;IF(Y40&gt;0,"Company email. ","")&amp;IF(Z40&gt;=15,"High-value product. ","")&amp;IF(AA40&gt;='Scoring Model'!$B$15,"High engagement. ","")&amp;IF(AB40&gt;0,"Buying intent in message. ","")&amp;IF(AC40&lt;0,"Negative intent in message. ","")))</f>
        <v>Negative intent in message.</v>
      </c>
      <c r="AG40" s="11" t="n">
        <f aca="false">IF(W40="Likely Spam","",1/(1+EXP(-('Conversion Model'!$B$5+IFERROR(INDEX('Conversion Model'!$B$8:$B$14,MATCH(C40,'Conversion Model'!$A$8:$A$14,0)),0)+IFERROR(INDEX('Conversion Model'!$E$8:$E$9,MATCH(F40,'Conversion Model'!$D$8:$D$9,0)),0)+IFERROR(INDEX('Conversion Model'!$H$8:$H$12,MATCH(IF(LEFT(J40,8)="Payments","Payments",IF(LEFT(J40,7)="Lending","Lending",J40)),'Conversion Model'!$G$8:$G$12,0)),0)+MIN(L40,15)*'Conversion Model'!$B$17+IF(SUMPRODUCT(--ISNUMBER(SEARCH('Scoring Model'!$D$16:$D$25,K40)))&gt;0,'Conversion Model'!$B$18,0)+IF(SUMPRODUCT(--ISNUMBER(SEARCH('Scoring Model'!$G$16:$G$23,K40)))&gt;0,'Conversion Model'!$B$19,0)))))</f>
        <v>0.0065938643916765</v>
      </c>
      <c r="AH40" s="3" t="str">
        <f aca="false">IF(OR(O40="Qualified",O40="Won",O40="Lost"),1,IF(O40="Unqualified",0,""))</f>
        <v/>
      </c>
    </row>
    <row r="41" customFormat="false" ht="15" hidden="false" customHeight="true" outlineLevel="0" collapsed="false">
      <c r="A41" s="3" t="s">
        <v>280</v>
      </c>
      <c r="B41" s="9" t="n">
        <v>45953.0756944444</v>
      </c>
      <c r="C41" s="3" t="s">
        <v>51</v>
      </c>
      <c r="D41" s="3" t="s">
        <v>281</v>
      </c>
      <c r="E41" s="3" t="s">
        <v>282</v>
      </c>
      <c r="F41" s="3" t="s">
        <v>22</v>
      </c>
      <c r="G41" s="3" t="s">
        <v>283</v>
      </c>
      <c r="H41" s="3" t="s">
        <v>284</v>
      </c>
      <c r="I41" s="3" t="s">
        <v>227</v>
      </c>
      <c r="J41" s="3" t="s">
        <v>81</v>
      </c>
      <c r="K41" s="3" t="s">
        <v>189</v>
      </c>
      <c r="L41" s="3" t="n">
        <v>6</v>
      </c>
      <c r="M41" s="3" t="n">
        <v>6.8</v>
      </c>
      <c r="N41" s="3" t="s">
        <v>59</v>
      </c>
      <c r="O41" s="3" t="s">
        <v>194</v>
      </c>
      <c r="P41" s="10"/>
      <c r="Q41" s="3" t="n">
        <f aca="false">IF(F41="Disposable",1,0)</f>
        <v>0</v>
      </c>
      <c r="R41" s="3" t="n">
        <f aca="false">IF(SUMPRODUCT(--ISNUMBER(SEARCH('Spam Rules'!$A$22:$A$35,K41)))&gt;0,1,0)</f>
        <v>0</v>
      </c>
      <c r="S41" s="3" t="n">
        <f aca="false">IF(AND(F41="Free",G41=""),1,0)</f>
        <v>0</v>
      </c>
      <c r="T41" s="3" t="n">
        <f aca="false">IF(LEN(TRIM(K41))&lt;15,1,0)</f>
        <v>0</v>
      </c>
      <c r="U41" s="3" t="n">
        <f aca="false">IF(COUNTIF($E$2:$E$801,E41)&gt;1,1,0)</f>
        <v>0</v>
      </c>
      <c r="V41" s="3" t="n">
        <f aca="false">Q41*'Spam Rules'!$H$6+R41*'Spam Rules'!$H$7+S41*'Spam Rules'!$H$8+T41*'Spam Rules'!$H$9+U41*'Spam Rules'!$H$10</f>
        <v>0</v>
      </c>
      <c r="W41" s="3" t="str">
        <f aca="false">IF(V41&gt;='Spam Rules'!$B$3,"Likely Spam","Genuine")</f>
        <v>Genuine</v>
      </c>
      <c r="X41" s="3" t="n">
        <f aca="false">IFERROR(INDEX('Scoring Model'!$B$5:$B$11,MATCH(C41,'Scoring Model'!$A$5:$A$11,0)),0)</f>
        <v>10</v>
      </c>
      <c r="Y41" s="3" t="n">
        <f aca="false">IFERROR(INDEX('Scoring Model'!$E$5:$E$7,MATCH(F41,'Scoring Model'!$D$5:$D$7,0)),0)</f>
        <v>20</v>
      </c>
      <c r="Z41" s="3" t="n">
        <f aca="false">IFERROR(INDEX('Scoring Model'!$H$5:$H$13,MATCH(J41,'Scoring Model'!$G$5:$G$13,0)),0)</f>
        <v>5</v>
      </c>
      <c r="AA41" s="3" t="n">
        <f aca="false">IF(L41&gt;='Scoring Model'!$B$14,'Scoring Model'!$B$15,IF(L41&gt;='Scoring Model'!$B$16,'Scoring Model'!$B$17,0))</f>
        <v>8</v>
      </c>
      <c r="AB41" s="3" t="n">
        <f aca="false">IF(SUMPRODUCT(--ISNUMBER(SEARCH('Scoring Model'!$D$16:$D$25,K41)))&gt;0,'Scoring Model'!$B$18,0)</f>
        <v>15</v>
      </c>
      <c r="AC41" s="3" t="n">
        <f aca="false">IF(SUMPRODUCT(--ISNUMBER(SEARCH('Scoring Model'!$G$16:$G$23,K41)))&gt;0,'Scoring Model'!$B$19,0)</f>
        <v>0</v>
      </c>
      <c r="AD41" s="3" t="n">
        <f aca="false">IF(W41="Likely Spam","",SUM(X41:AC41))</f>
        <v>58</v>
      </c>
      <c r="AE41" s="3" t="str">
        <f aca="false">IF(W41="Likely Spam","Spam",IF(AD41&gt;='Scoring Model'!$B$21,"Hot",IF(AD41&gt;='Scoring Model'!$B$22,"Warm","Nurture")))</f>
        <v>Warm</v>
      </c>
      <c r="AF41" s="3" t="str">
        <f aca="false">IF(W41="Likely Spam","Flagged by spam rules",TRIM(IF(X41&gt;=20,"Strong source. ","")&amp;IF(Y41&gt;0,"Company email. ","")&amp;IF(Z41&gt;=15,"High-value product. ","")&amp;IF(AA41&gt;='Scoring Model'!$B$15,"High engagement. ","")&amp;IF(AB41&gt;0,"Buying intent in message. ","")&amp;IF(AC41&lt;0,"Negative intent in message. ","")))</f>
        <v>Company email. Buying intent in message.</v>
      </c>
      <c r="AG41" s="11" t="n">
        <f aca="false">IF(W41="Likely Spam","",1/(1+EXP(-('Conversion Model'!$B$5+IFERROR(INDEX('Conversion Model'!$B$8:$B$14,MATCH(C41,'Conversion Model'!$A$8:$A$14,0)),0)+IFERROR(INDEX('Conversion Model'!$E$8:$E$9,MATCH(F41,'Conversion Model'!$D$8:$D$9,0)),0)+IFERROR(INDEX('Conversion Model'!$H$8:$H$12,MATCH(IF(LEFT(J41,8)="Payments","Payments",IF(LEFT(J41,7)="Lending","Lending",J41)),'Conversion Model'!$G$8:$G$12,0)),0)+MIN(L41,15)*'Conversion Model'!$B$17+IF(SUMPRODUCT(--ISNUMBER(SEARCH('Scoring Model'!$D$16:$D$25,K41)))&gt;0,'Conversion Model'!$B$18,0)+IF(SUMPRODUCT(--ISNUMBER(SEARCH('Scoring Model'!$G$16:$G$23,K41)))&gt;0,'Conversion Model'!$B$19,0)))))</f>
        <v>0.768702630168605</v>
      </c>
      <c r="AH41" s="3" t="n">
        <f aca="false">IF(OR(O41="Qualified",O41="Won",O41="Lost"),1,IF(O41="Unqualified",0,""))</f>
        <v>0</v>
      </c>
    </row>
    <row r="42" customFormat="false" ht="15" hidden="false" customHeight="true" outlineLevel="0" collapsed="false">
      <c r="A42" s="3" t="s">
        <v>285</v>
      </c>
      <c r="B42" s="9" t="n">
        <v>45953.2888888889</v>
      </c>
      <c r="C42" s="3" t="s">
        <v>51</v>
      </c>
      <c r="D42" s="3" t="s">
        <v>286</v>
      </c>
      <c r="E42" s="3" t="s">
        <v>287</v>
      </c>
      <c r="F42" s="3" t="s">
        <v>63</v>
      </c>
      <c r="G42" s="3"/>
      <c r="H42" s="3"/>
      <c r="I42" s="3" t="s">
        <v>116</v>
      </c>
      <c r="J42" s="3" t="s">
        <v>81</v>
      </c>
      <c r="K42" s="3" t="s">
        <v>126</v>
      </c>
      <c r="L42" s="3" t="n">
        <v>2</v>
      </c>
      <c r="M42" s="3"/>
      <c r="N42" s="3" t="s">
        <v>96</v>
      </c>
      <c r="O42" s="3" t="s">
        <v>68</v>
      </c>
      <c r="P42" s="10"/>
      <c r="Q42" s="3" t="n">
        <f aca="false">IF(F42="Disposable",1,0)</f>
        <v>1</v>
      </c>
      <c r="R42" s="3" t="n">
        <f aca="false">IF(SUMPRODUCT(--ISNUMBER(SEARCH('Spam Rules'!$A$22:$A$35,K42)))&gt;0,1,0)</f>
        <v>0</v>
      </c>
      <c r="S42" s="3" t="n">
        <f aca="false">IF(AND(F42="Free",G42=""),1,0)</f>
        <v>0</v>
      </c>
      <c r="T42" s="3" t="n">
        <f aca="false">IF(LEN(TRIM(K42))&lt;15,1,0)</f>
        <v>1</v>
      </c>
      <c r="U42" s="3" t="n">
        <f aca="false">IF(COUNTIF($E$2:$E$801,E42)&gt;1,1,0)</f>
        <v>0</v>
      </c>
      <c r="V42" s="3" t="n">
        <f aca="false">Q42*'Spam Rules'!$H$6+R42*'Spam Rules'!$H$7+S42*'Spam Rules'!$H$8+T42*'Spam Rules'!$H$9+U42*'Spam Rules'!$H$10</f>
        <v>2</v>
      </c>
      <c r="W42" s="3" t="str">
        <f aca="false">IF(V42&gt;='Spam Rules'!$B$3,"Likely Spam","Genuine")</f>
        <v>Likely Spam</v>
      </c>
      <c r="X42" s="3" t="n">
        <f aca="false">IFERROR(INDEX('Scoring Model'!$B$5:$B$11,MATCH(C42,'Scoring Model'!$A$5:$A$11,0)),0)</f>
        <v>10</v>
      </c>
      <c r="Y42" s="3" t="n">
        <f aca="false">IFERROR(INDEX('Scoring Model'!$E$5:$E$7,MATCH(F42,'Scoring Model'!$D$5:$D$7,0)),0)</f>
        <v>0</v>
      </c>
      <c r="Z42" s="3" t="n">
        <f aca="false">IFERROR(INDEX('Scoring Model'!$H$5:$H$13,MATCH(J42,'Scoring Model'!$G$5:$G$13,0)),0)</f>
        <v>5</v>
      </c>
      <c r="AA42" s="3" t="n">
        <f aca="false">IF(L42&gt;='Scoring Model'!$B$14,'Scoring Model'!$B$15,IF(L42&gt;='Scoring Model'!$B$16,'Scoring Model'!$B$17,0))</f>
        <v>0</v>
      </c>
      <c r="AB42" s="3" t="n">
        <f aca="false">IF(SUMPRODUCT(--ISNUMBER(SEARCH('Scoring Model'!$D$16:$D$25,K42)))&gt;0,'Scoring Model'!$B$18,0)</f>
        <v>0</v>
      </c>
      <c r="AC42" s="3" t="n">
        <f aca="false">IF(SUMPRODUCT(--ISNUMBER(SEARCH('Scoring Model'!$G$16:$G$23,K42)))&gt;0,'Scoring Model'!$B$19,0)</f>
        <v>0</v>
      </c>
      <c r="AD42" s="3" t="str">
        <f aca="false">IF(W42="Likely Spam","",SUM(X42:AC42))</f>
        <v/>
      </c>
      <c r="AE42" s="3" t="str">
        <f aca="false">IF(W42="Likely Spam","Spam",IF(AD42&gt;='Scoring Model'!$B$21,"Hot",IF(AD42&gt;='Scoring Model'!$B$22,"Warm","Nurture")))</f>
        <v>Spam</v>
      </c>
      <c r="AF42" s="3" t="str">
        <f aca="false">IF(W42="Likely Spam","Flagged by spam rules",TRIM(IF(X42&gt;=20,"Strong source. ","")&amp;IF(Y42&gt;0,"Company email. ","")&amp;IF(Z42&gt;=15,"High-value product. ","")&amp;IF(AA42&gt;='Scoring Model'!$B$15,"High engagement. ","")&amp;IF(AB42&gt;0,"Buying intent in message. ","")&amp;IF(AC42&lt;0,"Negative intent in message. ","")))</f>
        <v>Flagged by spam rules</v>
      </c>
      <c r="AG42" s="11" t="str">
        <f aca="false">IF(W42="Likely Spam","",1/(1+EXP(-('Conversion Model'!$B$5+IFERROR(INDEX('Conversion Model'!$B$8:$B$14,MATCH(C42,'Conversion Model'!$A$8:$A$14,0)),0)+IFERROR(INDEX('Conversion Model'!$E$8:$E$9,MATCH(F42,'Conversion Model'!$D$8:$D$9,0)),0)+IFERROR(INDEX('Conversion Model'!$H$8:$H$12,MATCH(IF(LEFT(J42,8)="Payments","Payments",IF(LEFT(J42,7)="Lending","Lending",J42)),'Conversion Model'!$G$8:$G$12,0)),0)+MIN(L42,15)*'Conversion Model'!$B$17+IF(SUMPRODUCT(--ISNUMBER(SEARCH('Scoring Model'!$D$16:$D$25,K42)))&gt;0,'Conversion Model'!$B$18,0)+IF(SUMPRODUCT(--ISNUMBER(SEARCH('Scoring Model'!$G$16:$G$23,K42)))&gt;0,'Conversion Model'!$B$19,0)))))</f>
        <v/>
      </c>
      <c r="AH42" s="3" t="str">
        <f aca="false">IF(OR(O42="Qualified",O42="Won",O42="Lost"),1,IF(O42="Unqualified",0,""))</f>
        <v/>
      </c>
    </row>
    <row r="43" customFormat="false" ht="15" hidden="false" customHeight="true" outlineLevel="0" collapsed="false">
      <c r="A43" s="3" t="s">
        <v>288</v>
      </c>
      <c r="B43" s="9" t="n">
        <v>45953.6173611111</v>
      </c>
      <c r="C43" s="3" t="s">
        <v>135</v>
      </c>
      <c r="D43" s="3" t="s">
        <v>289</v>
      </c>
      <c r="E43" s="3" t="s">
        <v>290</v>
      </c>
      <c r="F43" s="3" t="s">
        <v>22</v>
      </c>
      <c r="G43" s="3" t="s">
        <v>291</v>
      </c>
      <c r="H43" s="3" t="s">
        <v>292</v>
      </c>
      <c r="I43" s="3" t="s">
        <v>56</v>
      </c>
      <c r="J43" s="3" t="s">
        <v>81</v>
      </c>
      <c r="K43" s="3" t="s">
        <v>183</v>
      </c>
      <c r="L43" s="3" t="n">
        <v>6</v>
      </c>
      <c r="M43" s="3" t="n">
        <v>10.8</v>
      </c>
      <c r="N43" s="3" t="s">
        <v>96</v>
      </c>
      <c r="O43" s="3"/>
      <c r="P43" s="10"/>
      <c r="Q43" s="3" t="n">
        <f aca="false">IF(F43="Disposable",1,0)</f>
        <v>0</v>
      </c>
      <c r="R43" s="3" t="n">
        <f aca="false">IF(SUMPRODUCT(--ISNUMBER(SEARCH('Spam Rules'!$A$22:$A$35,K43)))&gt;0,1,0)</f>
        <v>0</v>
      </c>
      <c r="S43" s="3" t="n">
        <f aca="false">IF(AND(F43="Free",G43=""),1,0)</f>
        <v>0</v>
      </c>
      <c r="T43" s="3" t="n">
        <f aca="false">IF(LEN(TRIM(K43))&lt;15,1,0)</f>
        <v>0</v>
      </c>
      <c r="U43" s="3" t="n">
        <f aca="false">IF(COUNTIF($E$2:$E$801,E43)&gt;1,1,0)</f>
        <v>0</v>
      </c>
      <c r="V43" s="3" t="n">
        <f aca="false">Q43*'Spam Rules'!$H$6+R43*'Spam Rules'!$H$7+S43*'Spam Rules'!$H$8+T43*'Spam Rules'!$H$9+U43*'Spam Rules'!$H$10</f>
        <v>0</v>
      </c>
      <c r="W43" s="3" t="str">
        <f aca="false">IF(V43&gt;='Spam Rules'!$B$3,"Likely Spam","Genuine")</f>
        <v>Genuine</v>
      </c>
      <c r="X43" s="3" t="n">
        <f aca="false">IFERROR(INDEX('Scoring Model'!$B$5:$B$11,MATCH(C43,'Scoring Model'!$A$5:$A$11,0)),0)</f>
        <v>20</v>
      </c>
      <c r="Y43" s="3" t="n">
        <f aca="false">IFERROR(INDEX('Scoring Model'!$E$5:$E$7,MATCH(F43,'Scoring Model'!$D$5:$D$7,0)),0)</f>
        <v>20</v>
      </c>
      <c r="Z43" s="3" t="n">
        <f aca="false">IFERROR(INDEX('Scoring Model'!$H$5:$H$13,MATCH(J43,'Scoring Model'!$G$5:$G$13,0)),0)</f>
        <v>5</v>
      </c>
      <c r="AA43" s="3" t="n">
        <f aca="false">IF(L43&gt;='Scoring Model'!$B$14,'Scoring Model'!$B$15,IF(L43&gt;='Scoring Model'!$B$16,'Scoring Model'!$B$17,0))</f>
        <v>8</v>
      </c>
      <c r="AB43" s="3" t="n">
        <f aca="false">IF(SUMPRODUCT(--ISNUMBER(SEARCH('Scoring Model'!$D$16:$D$25,K43)))&gt;0,'Scoring Model'!$B$18,0)</f>
        <v>15</v>
      </c>
      <c r="AC43" s="3" t="n">
        <f aca="false">IF(SUMPRODUCT(--ISNUMBER(SEARCH('Scoring Model'!$G$16:$G$23,K43)))&gt;0,'Scoring Model'!$B$19,0)</f>
        <v>0</v>
      </c>
      <c r="AD43" s="3" t="n">
        <f aca="false">IF(W43="Likely Spam","",SUM(X43:AC43))</f>
        <v>68</v>
      </c>
      <c r="AE43" s="3" t="str">
        <f aca="false">IF(W43="Likely Spam","Spam",IF(AD43&gt;='Scoring Model'!$B$21,"Hot",IF(AD43&gt;='Scoring Model'!$B$22,"Warm","Nurture")))</f>
        <v>Warm</v>
      </c>
      <c r="AF43" s="3" t="str">
        <f aca="false">IF(W43="Likely Spam","Flagged by spam rules",TRIM(IF(X43&gt;=20,"Strong source. ","")&amp;IF(Y43&gt;0,"Company email. ","")&amp;IF(Z43&gt;=15,"High-value product. ","")&amp;IF(AA43&gt;='Scoring Model'!$B$15,"High engagement. ","")&amp;IF(AB43&gt;0,"Buying intent in message. ","")&amp;IF(AC43&lt;0,"Negative intent in message. ","")))</f>
        <v>Strong source. Company email. Buying intent in message.</v>
      </c>
      <c r="AG43" s="11" t="n">
        <f aca="false">IF(W43="Likely Spam","",1/(1+EXP(-('Conversion Model'!$B$5+IFERROR(INDEX('Conversion Model'!$B$8:$B$14,MATCH(C43,'Conversion Model'!$A$8:$A$14,0)),0)+IFERROR(INDEX('Conversion Model'!$E$8:$E$9,MATCH(F43,'Conversion Model'!$D$8:$D$9,0)),0)+IFERROR(INDEX('Conversion Model'!$H$8:$H$12,MATCH(IF(LEFT(J43,8)="Payments","Payments",IF(LEFT(J43,7)="Lending","Lending",J43)),'Conversion Model'!$G$8:$G$12,0)),0)+MIN(L43,15)*'Conversion Model'!$B$17+IF(SUMPRODUCT(--ISNUMBER(SEARCH('Scoring Model'!$D$16:$D$25,K43)))&gt;0,'Conversion Model'!$B$18,0)+IF(SUMPRODUCT(--ISNUMBER(SEARCH('Scoring Model'!$G$16:$G$23,K43)))&gt;0,'Conversion Model'!$B$19,0)))))</f>
        <v>0.888647519912745</v>
      </c>
      <c r="AH43" s="3" t="str">
        <f aca="false">IF(OR(O43="Qualified",O43="Won",O43="Lost"),1,IF(O43="Unqualified",0,""))</f>
        <v/>
      </c>
    </row>
    <row r="44" customFormat="false" ht="15" hidden="false" customHeight="true" outlineLevel="0" collapsed="false">
      <c r="A44" s="3" t="s">
        <v>293</v>
      </c>
      <c r="B44" s="9" t="n">
        <v>45954.4298611111</v>
      </c>
      <c r="C44" s="3" t="s">
        <v>112</v>
      </c>
      <c r="D44" s="3" t="s">
        <v>294</v>
      </c>
      <c r="E44" s="3" t="s">
        <v>295</v>
      </c>
      <c r="F44" s="3" t="s">
        <v>22</v>
      </c>
      <c r="G44" s="3" t="s">
        <v>296</v>
      </c>
      <c r="H44" s="3" t="s">
        <v>297</v>
      </c>
      <c r="I44" s="3" t="s">
        <v>88</v>
      </c>
      <c r="J44" s="3" t="s">
        <v>122</v>
      </c>
      <c r="K44" s="3" t="s">
        <v>213</v>
      </c>
      <c r="L44" s="3" t="n">
        <v>3</v>
      </c>
      <c r="M44" s="3" t="n">
        <v>9.8</v>
      </c>
      <c r="N44" s="3" t="s">
        <v>96</v>
      </c>
      <c r="O44" s="3" t="s">
        <v>194</v>
      </c>
      <c r="P44" s="10"/>
      <c r="Q44" s="3" t="n">
        <f aca="false">IF(F44="Disposable",1,0)</f>
        <v>0</v>
      </c>
      <c r="R44" s="3" t="n">
        <f aca="false">IF(SUMPRODUCT(--ISNUMBER(SEARCH('Spam Rules'!$A$22:$A$35,K44)))&gt;0,1,0)</f>
        <v>0</v>
      </c>
      <c r="S44" s="3" t="n">
        <f aca="false">IF(AND(F44="Free",G44=""),1,0)</f>
        <v>0</v>
      </c>
      <c r="T44" s="3" t="n">
        <f aca="false">IF(LEN(TRIM(K44))&lt;15,1,0)</f>
        <v>0</v>
      </c>
      <c r="U44" s="3" t="n">
        <f aca="false">IF(COUNTIF($E$2:$E$801,E44)&gt;1,1,0)</f>
        <v>0</v>
      </c>
      <c r="V44" s="3" t="n">
        <f aca="false">Q44*'Spam Rules'!$H$6+R44*'Spam Rules'!$H$7+S44*'Spam Rules'!$H$8+T44*'Spam Rules'!$H$9+U44*'Spam Rules'!$H$10</f>
        <v>0</v>
      </c>
      <c r="W44" s="3" t="str">
        <f aca="false">IF(V44&gt;='Spam Rules'!$B$3,"Likely Spam","Genuine")</f>
        <v>Genuine</v>
      </c>
      <c r="X44" s="3" t="n">
        <f aca="false">IFERROR(INDEX('Scoring Model'!$B$5:$B$11,MATCH(C44,'Scoring Model'!$A$5:$A$11,0)),0)</f>
        <v>15</v>
      </c>
      <c r="Y44" s="3" t="n">
        <f aca="false">IFERROR(INDEX('Scoring Model'!$E$5:$E$7,MATCH(F44,'Scoring Model'!$D$5:$D$7,0)),0)</f>
        <v>20</v>
      </c>
      <c r="Z44" s="3" t="n">
        <f aca="false">IFERROR(INDEX('Scoring Model'!$H$5:$H$13,MATCH(J44,'Scoring Model'!$G$5:$G$13,0)),0)</f>
        <v>15</v>
      </c>
      <c r="AA44" s="3" t="n">
        <f aca="false">IF(L44&gt;='Scoring Model'!$B$14,'Scoring Model'!$B$15,IF(L44&gt;='Scoring Model'!$B$16,'Scoring Model'!$B$17,0))</f>
        <v>0</v>
      </c>
      <c r="AB44" s="3" t="n">
        <f aca="false">IF(SUMPRODUCT(--ISNUMBER(SEARCH('Scoring Model'!$D$16:$D$25,K44)))&gt;0,'Scoring Model'!$B$18,0)</f>
        <v>0</v>
      </c>
      <c r="AC44" s="3" t="n">
        <f aca="false">IF(SUMPRODUCT(--ISNUMBER(SEARCH('Scoring Model'!$G$16:$G$23,K44)))&gt;0,'Scoring Model'!$B$19,0)</f>
        <v>-30</v>
      </c>
      <c r="AD44" s="3" t="n">
        <f aca="false">IF(W44="Likely Spam","",SUM(X44:AC44))</f>
        <v>20</v>
      </c>
      <c r="AE44" s="3" t="str">
        <f aca="false">IF(W44="Likely Spam","Spam",IF(AD44&gt;='Scoring Model'!$B$21,"Hot",IF(AD44&gt;='Scoring Model'!$B$22,"Warm","Nurture")))</f>
        <v>Nurture</v>
      </c>
      <c r="AF44" s="3" t="str">
        <f aca="false">IF(W44="Likely Spam","Flagged by spam rules",TRIM(IF(X44&gt;=20,"Strong source. ","")&amp;IF(Y44&gt;0,"Company email. ","")&amp;IF(Z44&gt;=15,"High-value product. ","")&amp;IF(AA44&gt;='Scoring Model'!$B$15,"High engagement. ","")&amp;IF(AB44&gt;0,"Buying intent in message. ","")&amp;IF(AC44&lt;0,"Negative intent in message. ","")))</f>
        <v>Company email. High-value product. Negative intent in message.</v>
      </c>
      <c r="AG44" s="11" t="n">
        <f aca="false">IF(W44="Likely Spam","",1/(1+EXP(-('Conversion Model'!$B$5+IFERROR(INDEX('Conversion Model'!$B$8:$B$14,MATCH(C44,'Conversion Model'!$A$8:$A$14,0)),0)+IFERROR(INDEX('Conversion Model'!$E$8:$E$9,MATCH(F44,'Conversion Model'!$D$8:$D$9,0)),0)+IFERROR(INDEX('Conversion Model'!$H$8:$H$12,MATCH(IF(LEFT(J44,8)="Payments","Payments",IF(LEFT(J44,7)="Lending","Lending",J44)),'Conversion Model'!$G$8:$G$12,0)),0)+MIN(L44,15)*'Conversion Model'!$B$17+IF(SUMPRODUCT(--ISNUMBER(SEARCH('Scoring Model'!$D$16:$D$25,K44)))&gt;0,'Conversion Model'!$B$18,0)+IF(SUMPRODUCT(--ISNUMBER(SEARCH('Scoring Model'!$G$16:$G$23,K44)))&gt;0,'Conversion Model'!$B$19,0)))))</f>
        <v>0.0134265988505949</v>
      </c>
      <c r="AH44" s="3" t="n">
        <f aca="false">IF(OR(O44="Qualified",O44="Won",O44="Lost"),1,IF(O44="Unqualified",0,""))</f>
        <v>0</v>
      </c>
    </row>
    <row r="45" customFormat="false" ht="15" hidden="false" customHeight="true" outlineLevel="0" collapsed="false">
      <c r="A45" s="3" t="s">
        <v>298</v>
      </c>
      <c r="B45" s="9" t="n">
        <v>45955.4409722222</v>
      </c>
      <c r="C45" s="3" t="s">
        <v>160</v>
      </c>
      <c r="D45" s="3" t="s">
        <v>299</v>
      </c>
      <c r="E45" s="3" t="s">
        <v>300</v>
      </c>
      <c r="F45" s="3" t="s">
        <v>22</v>
      </c>
      <c r="G45" s="3" t="s">
        <v>301</v>
      </c>
      <c r="H45" s="3" t="s">
        <v>302</v>
      </c>
      <c r="I45" s="3" t="s">
        <v>94</v>
      </c>
      <c r="J45" s="3" t="s">
        <v>122</v>
      </c>
      <c r="K45" s="3" t="s">
        <v>303</v>
      </c>
      <c r="L45" s="3" t="n">
        <v>5</v>
      </c>
      <c r="M45" s="3" t="n">
        <v>105.7</v>
      </c>
      <c r="N45" s="3" t="s">
        <v>96</v>
      </c>
      <c r="O45" s="3"/>
      <c r="P45" s="10"/>
      <c r="Q45" s="3" t="n">
        <f aca="false">IF(F45="Disposable",1,0)</f>
        <v>0</v>
      </c>
      <c r="R45" s="3" t="n">
        <f aca="false">IF(SUMPRODUCT(--ISNUMBER(SEARCH('Spam Rules'!$A$22:$A$35,K45)))&gt;0,1,0)</f>
        <v>0</v>
      </c>
      <c r="S45" s="3" t="n">
        <f aca="false">IF(AND(F45="Free",G45=""),1,0)</f>
        <v>0</v>
      </c>
      <c r="T45" s="3" t="n">
        <f aca="false">IF(LEN(TRIM(K45))&lt;15,1,0)</f>
        <v>0</v>
      </c>
      <c r="U45" s="3" t="n">
        <f aca="false">IF(COUNTIF($E$2:$E$801,E45)&gt;1,1,0)</f>
        <v>0</v>
      </c>
      <c r="V45" s="3" t="n">
        <f aca="false">Q45*'Spam Rules'!$H$6+R45*'Spam Rules'!$H$7+S45*'Spam Rules'!$H$8+T45*'Spam Rules'!$H$9+U45*'Spam Rules'!$H$10</f>
        <v>0</v>
      </c>
      <c r="W45" s="3" t="str">
        <f aca="false">IF(V45&gt;='Spam Rules'!$B$3,"Likely Spam","Genuine")</f>
        <v>Genuine</v>
      </c>
      <c r="X45" s="3" t="n">
        <f aca="false">IFERROR(INDEX('Scoring Model'!$B$5:$B$11,MATCH(C45,'Scoring Model'!$A$5:$A$11,0)),0)</f>
        <v>25</v>
      </c>
      <c r="Y45" s="3" t="n">
        <f aca="false">IFERROR(INDEX('Scoring Model'!$E$5:$E$7,MATCH(F45,'Scoring Model'!$D$5:$D$7,0)),0)</f>
        <v>20</v>
      </c>
      <c r="Z45" s="3" t="n">
        <f aca="false">IFERROR(INDEX('Scoring Model'!$H$5:$H$13,MATCH(J45,'Scoring Model'!$G$5:$G$13,0)),0)</f>
        <v>15</v>
      </c>
      <c r="AA45" s="3" t="n">
        <f aca="false">IF(L45&gt;='Scoring Model'!$B$14,'Scoring Model'!$B$15,IF(L45&gt;='Scoring Model'!$B$16,'Scoring Model'!$B$17,0))</f>
        <v>8</v>
      </c>
      <c r="AB45" s="3" t="n">
        <f aca="false">IF(SUMPRODUCT(--ISNUMBER(SEARCH('Scoring Model'!$D$16:$D$25,K45)))&gt;0,'Scoring Model'!$B$18,0)</f>
        <v>15</v>
      </c>
      <c r="AC45" s="3" t="n">
        <f aca="false">IF(SUMPRODUCT(--ISNUMBER(SEARCH('Scoring Model'!$G$16:$G$23,K45)))&gt;0,'Scoring Model'!$B$19,0)</f>
        <v>0</v>
      </c>
      <c r="AD45" s="3" t="n">
        <f aca="false">IF(W45="Likely Spam","",SUM(X45:AC45))</f>
        <v>83</v>
      </c>
      <c r="AE45" s="3" t="str">
        <f aca="false">IF(W45="Likely Spam","Spam",IF(AD45&gt;='Scoring Model'!$B$21,"Hot",IF(AD45&gt;='Scoring Model'!$B$22,"Warm","Nurture")))</f>
        <v>Hot</v>
      </c>
      <c r="AF45" s="3" t="str">
        <f aca="false">IF(W45="Likely Spam","Flagged by spam rules",TRIM(IF(X45&gt;=20,"Strong source. ","")&amp;IF(Y45&gt;0,"Company email. ","")&amp;IF(Z45&gt;=15,"High-value product. ","")&amp;IF(AA45&gt;='Scoring Model'!$B$15,"High engagement. ","")&amp;IF(AB45&gt;0,"Buying intent in message. ","")&amp;IF(AC45&lt;0,"Negative intent in message. ","")))</f>
        <v>Strong source. Company email. High-value product. Buying intent in message.</v>
      </c>
      <c r="AG45" s="11" t="n">
        <f aca="false">IF(W45="Likely Spam","",1/(1+EXP(-('Conversion Model'!$B$5+IFERROR(INDEX('Conversion Model'!$B$8:$B$14,MATCH(C45,'Conversion Model'!$A$8:$A$14,0)),0)+IFERROR(INDEX('Conversion Model'!$E$8:$E$9,MATCH(F45,'Conversion Model'!$D$8:$D$9,0)),0)+IFERROR(INDEX('Conversion Model'!$H$8:$H$12,MATCH(IF(LEFT(J45,8)="Payments","Payments",IF(LEFT(J45,7)="Lending","Lending",J45)),'Conversion Model'!$G$8:$G$12,0)),0)+MIN(L45,15)*'Conversion Model'!$B$17+IF(SUMPRODUCT(--ISNUMBER(SEARCH('Scoring Model'!$D$16:$D$25,K45)))&gt;0,'Conversion Model'!$B$18,0)+IF(SUMPRODUCT(--ISNUMBER(SEARCH('Scoring Model'!$G$16:$G$23,K45)))&gt;0,'Conversion Model'!$B$19,0)))))</f>
        <v>0.786171387343127</v>
      </c>
      <c r="AH45" s="3" t="str">
        <f aca="false">IF(OR(O45="Qualified",O45="Won",O45="Lost"),1,IF(O45="Unqualified",0,""))</f>
        <v/>
      </c>
    </row>
    <row r="46" customFormat="false" ht="15" hidden="false" customHeight="true" outlineLevel="0" collapsed="false">
      <c r="A46" s="3" t="s">
        <v>304</v>
      </c>
      <c r="B46" s="9" t="n">
        <v>45955.6416666667</v>
      </c>
      <c r="C46" s="3" t="s">
        <v>91</v>
      </c>
      <c r="D46" s="3" t="s">
        <v>305</v>
      </c>
      <c r="E46" s="3" t="s">
        <v>306</v>
      </c>
      <c r="F46" s="3" t="s">
        <v>22</v>
      </c>
      <c r="G46" s="3" t="s">
        <v>307</v>
      </c>
      <c r="H46" s="3" t="s">
        <v>308</v>
      </c>
      <c r="I46" s="3" t="s">
        <v>188</v>
      </c>
      <c r="J46" s="3" t="s">
        <v>108</v>
      </c>
      <c r="K46" s="3" t="s">
        <v>309</v>
      </c>
      <c r="L46" s="3" t="n">
        <v>5</v>
      </c>
      <c r="M46" s="3" t="n">
        <v>35</v>
      </c>
      <c r="N46" s="3" t="s">
        <v>67</v>
      </c>
      <c r="O46" s="3" t="s">
        <v>194</v>
      </c>
      <c r="P46" s="10"/>
      <c r="Q46" s="3" t="n">
        <f aca="false">IF(F46="Disposable",1,0)</f>
        <v>0</v>
      </c>
      <c r="R46" s="3" t="n">
        <f aca="false">IF(SUMPRODUCT(--ISNUMBER(SEARCH('Spam Rules'!$A$22:$A$35,K46)))&gt;0,1,0)</f>
        <v>0</v>
      </c>
      <c r="S46" s="3" t="n">
        <f aca="false">IF(AND(F46="Free",G46=""),1,0)</f>
        <v>0</v>
      </c>
      <c r="T46" s="3" t="n">
        <f aca="false">IF(LEN(TRIM(K46))&lt;15,1,0)</f>
        <v>0</v>
      </c>
      <c r="U46" s="3" t="n">
        <f aca="false">IF(COUNTIF($E$2:$E$801,E46)&gt;1,1,0)</f>
        <v>0</v>
      </c>
      <c r="V46" s="3" t="n">
        <f aca="false">Q46*'Spam Rules'!$H$6+R46*'Spam Rules'!$H$7+S46*'Spam Rules'!$H$8+T46*'Spam Rules'!$H$9+U46*'Spam Rules'!$H$10</f>
        <v>0</v>
      </c>
      <c r="W46" s="3" t="str">
        <f aca="false">IF(V46&gt;='Spam Rules'!$B$3,"Likely Spam","Genuine")</f>
        <v>Genuine</v>
      </c>
      <c r="X46" s="3" t="n">
        <f aca="false">IFERROR(INDEX('Scoring Model'!$B$5:$B$11,MATCH(C46,'Scoring Model'!$A$5:$A$11,0)),0)</f>
        <v>5</v>
      </c>
      <c r="Y46" s="3" t="n">
        <f aca="false">IFERROR(INDEX('Scoring Model'!$E$5:$E$7,MATCH(F46,'Scoring Model'!$D$5:$D$7,0)),0)</f>
        <v>20</v>
      </c>
      <c r="Z46" s="3" t="n">
        <f aca="false">IFERROR(INDEX('Scoring Model'!$H$5:$H$13,MATCH(J46,'Scoring Model'!$G$5:$G$13,0)),0)</f>
        <v>15</v>
      </c>
      <c r="AA46" s="3" t="n">
        <f aca="false">IF(L46&gt;='Scoring Model'!$B$14,'Scoring Model'!$B$15,IF(L46&gt;='Scoring Model'!$B$16,'Scoring Model'!$B$17,0))</f>
        <v>8</v>
      </c>
      <c r="AB46" s="3" t="n">
        <f aca="false">IF(SUMPRODUCT(--ISNUMBER(SEARCH('Scoring Model'!$D$16:$D$25,K46)))&gt;0,'Scoring Model'!$B$18,0)</f>
        <v>15</v>
      </c>
      <c r="AC46" s="3" t="n">
        <f aca="false">IF(SUMPRODUCT(--ISNUMBER(SEARCH('Scoring Model'!$G$16:$G$23,K46)))&gt;0,'Scoring Model'!$B$19,0)</f>
        <v>0</v>
      </c>
      <c r="AD46" s="3" t="n">
        <f aca="false">IF(W46="Likely Spam","",SUM(X46:AC46))</f>
        <v>63</v>
      </c>
      <c r="AE46" s="3" t="str">
        <f aca="false">IF(W46="Likely Spam","Spam",IF(AD46&gt;='Scoring Model'!$B$21,"Hot",IF(AD46&gt;='Scoring Model'!$B$22,"Warm","Nurture")))</f>
        <v>Warm</v>
      </c>
      <c r="AF46" s="3" t="str">
        <f aca="false">IF(W46="Likely Spam","Flagged by spam rules",TRIM(IF(X46&gt;=20,"Strong source. ","")&amp;IF(Y46&gt;0,"Company email. ","")&amp;IF(Z46&gt;=15,"High-value product. ","")&amp;IF(AA46&gt;='Scoring Model'!$B$15,"High engagement. ","")&amp;IF(AB46&gt;0,"Buying intent in message. ","")&amp;IF(AC46&lt;0,"Negative intent in message. ","")))</f>
        <v>Company email. High-value product. Buying intent in message.</v>
      </c>
      <c r="AG46" s="11" t="n">
        <f aca="false">IF(W46="Likely Spam","",1/(1+EXP(-('Conversion Model'!$B$5+IFERROR(INDEX('Conversion Model'!$B$8:$B$14,MATCH(C46,'Conversion Model'!$A$8:$A$14,0)),0)+IFERROR(INDEX('Conversion Model'!$E$8:$E$9,MATCH(F46,'Conversion Model'!$D$8:$D$9,0)),0)+IFERROR(INDEX('Conversion Model'!$H$8:$H$12,MATCH(IF(LEFT(J46,8)="Payments","Payments",IF(LEFT(J46,7)="Lending","Lending",J46)),'Conversion Model'!$G$8:$G$12,0)),0)+MIN(L46,15)*'Conversion Model'!$B$17+IF(SUMPRODUCT(--ISNUMBER(SEARCH('Scoring Model'!$D$16:$D$25,K46)))&gt;0,'Conversion Model'!$B$18,0)+IF(SUMPRODUCT(--ISNUMBER(SEARCH('Scoring Model'!$G$16:$G$23,K46)))&gt;0,'Conversion Model'!$B$19,0)))))</f>
        <v>0.616093569922251</v>
      </c>
      <c r="AH46" s="3" t="n">
        <f aca="false">IF(OR(O46="Qualified",O46="Won",O46="Lost"),1,IF(O46="Unqualified",0,""))</f>
        <v>0</v>
      </c>
    </row>
    <row r="47" customFormat="false" ht="15" hidden="false" customHeight="true" outlineLevel="0" collapsed="false">
      <c r="A47" s="3" t="s">
        <v>310</v>
      </c>
      <c r="B47" s="9" t="n">
        <v>45957.0854166667</v>
      </c>
      <c r="C47" s="3" t="s">
        <v>51</v>
      </c>
      <c r="D47" s="3" t="s">
        <v>311</v>
      </c>
      <c r="E47" s="3" t="s">
        <v>312</v>
      </c>
      <c r="F47" s="3" t="s">
        <v>54</v>
      </c>
      <c r="G47" s="3" t="s">
        <v>237</v>
      </c>
      <c r="H47" s="3"/>
      <c r="I47" s="3" t="s">
        <v>94</v>
      </c>
      <c r="J47" s="3" t="s">
        <v>122</v>
      </c>
      <c r="K47" s="3" t="s">
        <v>239</v>
      </c>
      <c r="L47" s="3" t="n">
        <v>2</v>
      </c>
      <c r="M47" s="3" t="n">
        <v>26.5</v>
      </c>
      <c r="N47" s="3" t="s">
        <v>96</v>
      </c>
      <c r="O47" s="3"/>
      <c r="P47" s="10"/>
      <c r="Q47" s="3" t="n">
        <f aca="false">IF(F47="Disposable",1,0)</f>
        <v>0</v>
      </c>
      <c r="R47" s="3" t="n">
        <f aca="false">IF(SUMPRODUCT(--ISNUMBER(SEARCH('Spam Rules'!$A$22:$A$35,K47)))&gt;0,1,0)</f>
        <v>1</v>
      </c>
      <c r="S47" s="3" t="n">
        <f aca="false">IF(AND(F47="Free",G47=""),1,0)</f>
        <v>0</v>
      </c>
      <c r="T47" s="3" t="n">
        <f aca="false">IF(LEN(TRIM(K47))&lt;15,1,0)</f>
        <v>0</v>
      </c>
      <c r="U47" s="3" t="n">
        <f aca="false">IF(COUNTIF($E$2:$E$801,E47)&gt;1,1,0)</f>
        <v>0</v>
      </c>
      <c r="V47" s="3" t="n">
        <f aca="false">Q47*'Spam Rules'!$H$6+R47*'Spam Rules'!$H$7+S47*'Spam Rules'!$H$8+T47*'Spam Rules'!$H$9+U47*'Spam Rules'!$H$10</f>
        <v>1</v>
      </c>
      <c r="W47" s="3" t="str">
        <f aca="false">IF(V47&gt;='Spam Rules'!$B$3,"Likely Spam","Genuine")</f>
        <v>Likely Spam</v>
      </c>
      <c r="X47" s="3" t="n">
        <f aca="false">IFERROR(INDEX('Scoring Model'!$B$5:$B$11,MATCH(C47,'Scoring Model'!$A$5:$A$11,0)),0)</f>
        <v>10</v>
      </c>
      <c r="Y47" s="3" t="n">
        <f aca="false">IFERROR(INDEX('Scoring Model'!$E$5:$E$7,MATCH(F47,'Scoring Model'!$D$5:$D$7,0)),0)</f>
        <v>0</v>
      </c>
      <c r="Z47" s="3" t="n">
        <f aca="false">IFERROR(INDEX('Scoring Model'!$H$5:$H$13,MATCH(J47,'Scoring Model'!$G$5:$G$13,0)),0)</f>
        <v>15</v>
      </c>
      <c r="AA47" s="3" t="n">
        <f aca="false">IF(L47&gt;='Scoring Model'!$B$14,'Scoring Model'!$B$15,IF(L47&gt;='Scoring Model'!$B$16,'Scoring Model'!$B$17,0))</f>
        <v>0</v>
      </c>
      <c r="AB47" s="3" t="n">
        <f aca="false">IF(SUMPRODUCT(--ISNUMBER(SEARCH('Scoring Model'!$D$16:$D$25,K47)))&gt;0,'Scoring Model'!$B$18,0)</f>
        <v>0</v>
      </c>
      <c r="AC47" s="3" t="n">
        <f aca="false">IF(SUMPRODUCT(--ISNUMBER(SEARCH('Scoring Model'!$G$16:$G$23,K47)))&gt;0,'Scoring Model'!$B$19,0)</f>
        <v>0</v>
      </c>
      <c r="AD47" s="3" t="str">
        <f aca="false">IF(W47="Likely Spam","",SUM(X47:AC47))</f>
        <v/>
      </c>
      <c r="AE47" s="3" t="str">
        <f aca="false">IF(W47="Likely Spam","Spam",IF(AD47&gt;='Scoring Model'!$B$21,"Hot",IF(AD47&gt;='Scoring Model'!$B$22,"Warm","Nurture")))</f>
        <v>Spam</v>
      </c>
      <c r="AF47" s="3" t="str">
        <f aca="false">IF(W47="Likely Spam","Flagged by spam rules",TRIM(IF(X47&gt;=20,"Strong source. ","")&amp;IF(Y47&gt;0,"Company email. ","")&amp;IF(Z47&gt;=15,"High-value product. ","")&amp;IF(AA47&gt;='Scoring Model'!$B$15,"High engagement. ","")&amp;IF(AB47&gt;0,"Buying intent in message. ","")&amp;IF(AC47&lt;0,"Negative intent in message. ","")))</f>
        <v>Flagged by spam rules</v>
      </c>
      <c r="AG47" s="11" t="str">
        <f aca="false">IF(W47="Likely Spam","",1/(1+EXP(-('Conversion Model'!$B$5+IFERROR(INDEX('Conversion Model'!$B$8:$B$14,MATCH(C47,'Conversion Model'!$A$8:$A$14,0)),0)+IFERROR(INDEX('Conversion Model'!$E$8:$E$9,MATCH(F47,'Conversion Model'!$D$8:$D$9,0)),0)+IFERROR(INDEX('Conversion Model'!$H$8:$H$12,MATCH(IF(LEFT(J47,8)="Payments","Payments",IF(LEFT(J47,7)="Lending","Lending",J47)),'Conversion Model'!$G$8:$G$12,0)),0)+MIN(L47,15)*'Conversion Model'!$B$17+IF(SUMPRODUCT(--ISNUMBER(SEARCH('Scoring Model'!$D$16:$D$25,K47)))&gt;0,'Conversion Model'!$B$18,0)+IF(SUMPRODUCT(--ISNUMBER(SEARCH('Scoring Model'!$G$16:$G$23,K47)))&gt;0,'Conversion Model'!$B$19,0)))))</f>
        <v/>
      </c>
      <c r="AH47" s="3" t="str">
        <f aca="false">IF(OR(O47="Qualified",O47="Won",O47="Lost"),1,IF(O47="Unqualified",0,""))</f>
        <v/>
      </c>
    </row>
    <row r="48" customFormat="false" ht="15" hidden="false" customHeight="true" outlineLevel="0" collapsed="false">
      <c r="A48" s="3" t="s">
        <v>313</v>
      </c>
      <c r="B48" s="9" t="n">
        <v>45957.1083333333</v>
      </c>
      <c r="C48" s="3" t="s">
        <v>51</v>
      </c>
      <c r="D48" s="3" t="s">
        <v>314</v>
      </c>
      <c r="E48" s="3" t="s">
        <v>315</v>
      </c>
      <c r="F48" s="3" t="s">
        <v>54</v>
      </c>
      <c r="G48" s="3" t="s">
        <v>316</v>
      </c>
      <c r="H48" s="3"/>
      <c r="I48" s="3" t="s">
        <v>227</v>
      </c>
      <c r="J48" s="3" t="s">
        <v>165</v>
      </c>
      <c r="K48" s="3" t="s">
        <v>317</v>
      </c>
      <c r="L48" s="3" t="n">
        <v>1</v>
      </c>
      <c r="M48" s="3" t="n">
        <v>9.2</v>
      </c>
      <c r="N48" s="3" t="s">
        <v>67</v>
      </c>
      <c r="O48" s="3" t="s">
        <v>133</v>
      </c>
      <c r="P48" s="10"/>
      <c r="Q48" s="3" t="n">
        <f aca="false">IF(F48="Disposable",1,0)</f>
        <v>0</v>
      </c>
      <c r="R48" s="3" t="n">
        <f aca="false">IF(SUMPRODUCT(--ISNUMBER(SEARCH('Spam Rules'!$A$22:$A$35,K48)))&gt;0,1,0)</f>
        <v>0</v>
      </c>
      <c r="S48" s="3" t="n">
        <f aca="false">IF(AND(F48="Free",G48=""),1,0)</f>
        <v>0</v>
      </c>
      <c r="T48" s="3" t="n">
        <f aca="false">IF(LEN(TRIM(K48))&lt;15,1,0)</f>
        <v>0</v>
      </c>
      <c r="U48" s="3" t="n">
        <f aca="false">IF(COUNTIF($E$2:$E$801,E48)&gt;1,1,0)</f>
        <v>0</v>
      </c>
      <c r="V48" s="3" t="n">
        <f aca="false">Q48*'Spam Rules'!$H$6+R48*'Spam Rules'!$H$7+S48*'Spam Rules'!$H$8+T48*'Spam Rules'!$H$9+U48*'Spam Rules'!$H$10</f>
        <v>0</v>
      </c>
      <c r="W48" s="3" t="str">
        <f aca="false">IF(V48&gt;='Spam Rules'!$B$3,"Likely Spam","Genuine")</f>
        <v>Genuine</v>
      </c>
      <c r="X48" s="3" t="n">
        <f aca="false">IFERROR(INDEX('Scoring Model'!$B$5:$B$11,MATCH(C48,'Scoring Model'!$A$5:$A$11,0)),0)</f>
        <v>10</v>
      </c>
      <c r="Y48" s="3" t="n">
        <f aca="false">IFERROR(INDEX('Scoring Model'!$E$5:$E$7,MATCH(F48,'Scoring Model'!$D$5:$D$7,0)),0)</f>
        <v>0</v>
      </c>
      <c r="Z48" s="3" t="n">
        <f aca="false">IFERROR(INDEX('Scoring Model'!$H$5:$H$13,MATCH(J48,'Scoring Model'!$G$5:$G$13,0)),0)</f>
        <v>15</v>
      </c>
      <c r="AA48" s="3" t="n">
        <f aca="false">IF(L48&gt;='Scoring Model'!$B$14,'Scoring Model'!$B$15,IF(L48&gt;='Scoring Model'!$B$16,'Scoring Model'!$B$17,0))</f>
        <v>0</v>
      </c>
      <c r="AB48" s="3" t="n">
        <f aca="false">IF(SUMPRODUCT(--ISNUMBER(SEARCH('Scoring Model'!$D$16:$D$25,K48)))&gt;0,'Scoring Model'!$B$18,0)</f>
        <v>15</v>
      </c>
      <c r="AC48" s="3" t="n">
        <f aca="false">IF(SUMPRODUCT(--ISNUMBER(SEARCH('Scoring Model'!$G$16:$G$23,K48)))&gt;0,'Scoring Model'!$B$19,0)</f>
        <v>0</v>
      </c>
      <c r="AD48" s="3" t="n">
        <f aca="false">IF(W48="Likely Spam","",SUM(X48:AC48))</f>
        <v>40</v>
      </c>
      <c r="AE48" s="3" t="str">
        <f aca="false">IF(W48="Likely Spam","Spam",IF(AD48&gt;='Scoring Model'!$B$21,"Hot",IF(AD48&gt;='Scoring Model'!$B$22,"Warm","Nurture")))</f>
        <v>Nurture</v>
      </c>
      <c r="AF48" s="3" t="str">
        <f aca="false">IF(W48="Likely Spam","Flagged by spam rules",TRIM(IF(X48&gt;=20,"Strong source. ","")&amp;IF(Y48&gt;0,"Company email. ","")&amp;IF(Z48&gt;=15,"High-value product. ","")&amp;IF(AA48&gt;='Scoring Model'!$B$15,"High engagement. ","")&amp;IF(AB48&gt;0,"Buying intent in message. ","")&amp;IF(AC48&lt;0,"Negative intent in message. ","")))</f>
        <v>High-value product. Buying intent in message.</v>
      </c>
      <c r="AG48" s="11" t="n">
        <f aca="false">IF(W48="Likely Spam","",1/(1+EXP(-('Conversion Model'!$B$5+IFERROR(INDEX('Conversion Model'!$B$8:$B$14,MATCH(C48,'Conversion Model'!$A$8:$A$14,0)),0)+IFERROR(INDEX('Conversion Model'!$E$8:$E$9,MATCH(F48,'Conversion Model'!$D$8:$D$9,0)),0)+IFERROR(INDEX('Conversion Model'!$H$8:$H$12,MATCH(IF(LEFT(J48,8)="Payments","Payments",IF(LEFT(J48,7)="Lending","Lending",J48)),'Conversion Model'!$G$8:$G$12,0)),0)+MIN(L48,15)*'Conversion Model'!$B$17+IF(SUMPRODUCT(--ISNUMBER(SEARCH('Scoring Model'!$D$16:$D$25,K48)))&gt;0,'Conversion Model'!$B$18,0)+IF(SUMPRODUCT(--ISNUMBER(SEARCH('Scoring Model'!$G$16:$G$23,K48)))&gt;0,'Conversion Model'!$B$19,0)))))</f>
        <v>0.0354342203853855</v>
      </c>
      <c r="AH48" s="3" t="str">
        <f aca="false">IF(OR(O48="Qualified",O48="Won",O48="Lost"),1,IF(O48="Unqualified",0,""))</f>
        <v/>
      </c>
    </row>
    <row r="49" customFormat="false" ht="15" hidden="false" customHeight="true" outlineLevel="0" collapsed="false">
      <c r="A49" s="3" t="s">
        <v>318</v>
      </c>
      <c r="B49" s="9" t="n">
        <v>45957.1958333333</v>
      </c>
      <c r="C49" s="3" t="s">
        <v>91</v>
      </c>
      <c r="D49" s="3" t="s">
        <v>319</v>
      </c>
      <c r="E49" s="3" t="s">
        <v>320</v>
      </c>
      <c r="F49" s="3" t="s">
        <v>54</v>
      </c>
      <c r="G49" s="3" t="s">
        <v>321</v>
      </c>
      <c r="H49" s="3"/>
      <c r="I49" s="3" t="s">
        <v>204</v>
      </c>
      <c r="J49" s="3" t="s">
        <v>65</v>
      </c>
      <c r="K49" s="3" t="s">
        <v>322</v>
      </c>
      <c r="L49" s="3" t="n">
        <v>1</v>
      </c>
      <c r="M49" s="3" t="n">
        <v>57</v>
      </c>
      <c r="N49" s="3" t="s">
        <v>59</v>
      </c>
      <c r="O49" s="3"/>
      <c r="P49" s="10"/>
      <c r="Q49" s="3" t="n">
        <f aca="false">IF(F49="Disposable",1,0)</f>
        <v>0</v>
      </c>
      <c r="R49" s="3" t="n">
        <f aca="false">IF(SUMPRODUCT(--ISNUMBER(SEARCH('Spam Rules'!$A$22:$A$35,K49)))&gt;0,1,0)</f>
        <v>0</v>
      </c>
      <c r="S49" s="3" t="n">
        <f aca="false">IF(AND(F49="Free",G49=""),1,0)</f>
        <v>0</v>
      </c>
      <c r="T49" s="3" t="n">
        <f aca="false">IF(LEN(TRIM(K49))&lt;15,1,0)</f>
        <v>1</v>
      </c>
      <c r="U49" s="3" t="n">
        <f aca="false">IF(COUNTIF($E$2:$E$801,E49)&gt;1,1,0)</f>
        <v>0</v>
      </c>
      <c r="V49" s="3" t="n">
        <f aca="false">Q49*'Spam Rules'!$H$6+R49*'Spam Rules'!$H$7+S49*'Spam Rules'!$H$8+T49*'Spam Rules'!$H$9+U49*'Spam Rules'!$H$10</f>
        <v>1</v>
      </c>
      <c r="W49" s="3" t="str">
        <f aca="false">IF(V49&gt;='Spam Rules'!$B$3,"Likely Spam","Genuine")</f>
        <v>Likely Spam</v>
      </c>
      <c r="X49" s="3" t="n">
        <f aca="false">IFERROR(INDEX('Scoring Model'!$B$5:$B$11,MATCH(C49,'Scoring Model'!$A$5:$A$11,0)),0)</f>
        <v>5</v>
      </c>
      <c r="Y49" s="3" t="n">
        <f aca="false">IFERROR(INDEX('Scoring Model'!$E$5:$E$7,MATCH(F49,'Scoring Model'!$D$5:$D$7,0)),0)</f>
        <v>0</v>
      </c>
      <c r="Z49" s="3" t="n">
        <f aca="false">IFERROR(INDEX('Scoring Model'!$H$5:$H$13,MATCH(J49,'Scoring Model'!$G$5:$G$13,0)),0)</f>
        <v>0</v>
      </c>
      <c r="AA49" s="3" t="n">
        <f aca="false">IF(L49&gt;='Scoring Model'!$B$14,'Scoring Model'!$B$15,IF(L49&gt;='Scoring Model'!$B$16,'Scoring Model'!$B$17,0))</f>
        <v>0</v>
      </c>
      <c r="AB49" s="3" t="n">
        <f aca="false">IF(SUMPRODUCT(--ISNUMBER(SEARCH('Scoring Model'!$D$16:$D$25,K49)))&gt;0,'Scoring Model'!$B$18,0)</f>
        <v>0</v>
      </c>
      <c r="AC49" s="3" t="n">
        <f aca="false">IF(SUMPRODUCT(--ISNUMBER(SEARCH('Scoring Model'!$G$16:$G$23,K49)))&gt;0,'Scoring Model'!$B$19,0)</f>
        <v>0</v>
      </c>
      <c r="AD49" s="3" t="str">
        <f aca="false">IF(W49="Likely Spam","",SUM(X49:AC49))</f>
        <v/>
      </c>
      <c r="AE49" s="3" t="str">
        <f aca="false">IF(W49="Likely Spam","Spam",IF(AD49&gt;='Scoring Model'!$B$21,"Hot",IF(AD49&gt;='Scoring Model'!$B$22,"Warm","Nurture")))</f>
        <v>Spam</v>
      </c>
      <c r="AF49" s="3" t="str">
        <f aca="false">IF(W49="Likely Spam","Flagged by spam rules",TRIM(IF(X49&gt;=20,"Strong source. ","")&amp;IF(Y49&gt;0,"Company email. ","")&amp;IF(Z49&gt;=15,"High-value product. ","")&amp;IF(AA49&gt;='Scoring Model'!$B$15,"High engagement. ","")&amp;IF(AB49&gt;0,"Buying intent in message. ","")&amp;IF(AC49&lt;0,"Negative intent in message. ","")))</f>
        <v>Flagged by spam rules</v>
      </c>
      <c r="AG49" s="11" t="str">
        <f aca="false">IF(W49="Likely Spam","",1/(1+EXP(-('Conversion Model'!$B$5+IFERROR(INDEX('Conversion Model'!$B$8:$B$14,MATCH(C49,'Conversion Model'!$A$8:$A$14,0)),0)+IFERROR(INDEX('Conversion Model'!$E$8:$E$9,MATCH(F49,'Conversion Model'!$D$8:$D$9,0)),0)+IFERROR(INDEX('Conversion Model'!$H$8:$H$12,MATCH(IF(LEFT(J49,8)="Payments","Payments",IF(LEFT(J49,7)="Lending","Lending",J49)),'Conversion Model'!$G$8:$G$12,0)),0)+MIN(L49,15)*'Conversion Model'!$B$17+IF(SUMPRODUCT(--ISNUMBER(SEARCH('Scoring Model'!$D$16:$D$25,K49)))&gt;0,'Conversion Model'!$B$18,0)+IF(SUMPRODUCT(--ISNUMBER(SEARCH('Scoring Model'!$G$16:$G$23,K49)))&gt;0,'Conversion Model'!$B$19,0)))))</f>
        <v/>
      </c>
      <c r="AH49" s="3" t="str">
        <f aca="false">IF(OR(O49="Qualified",O49="Won",O49="Lost"),1,IF(O49="Unqualified",0,""))</f>
        <v/>
      </c>
    </row>
    <row r="50" customFormat="false" ht="15" hidden="false" customHeight="true" outlineLevel="0" collapsed="false">
      <c r="A50" s="3" t="s">
        <v>323</v>
      </c>
      <c r="B50" s="9" t="n">
        <v>45957.4923611111</v>
      </c>
      <c r="C50" s="3" t="s">
        <v>112</v>
      </c>
      <c r="D50" s="3" t="s">
        <v>324</v>
      </c>
      <c r="E50" s="3" t="s">
        <v>325</v>
      </c>
      <c r="F50" s="3" t="s">
        <v>54</v>
      </c>
      <c r="G50" s="3" t="s">
        <v>181</v>
      </c>
      <c r="H50" s="3"/>
      <c r="I50" s="3" t="s">
        <v>188</v>
      </c>
      <c r="J50" s="3" t="s">
        <v>122</v>
      </c>
      <c r="K50" s="3" t="s">
        <v>193</v>
      </c>
      <c r="L50" s="3" t="n">
        <v>2</v>
      </c>
      <c r="M50" s="3" t="n">
        <v>15</v>
      </c>
      <c r="N50" s="3" t="s">
        <v>59</v>
      </c>
      <c r="O50" s="3" t="s">
        <v>194</v>
      </c>
      <c r="P50" s="10"/>
      <c r="Q50" s="3" t="n">
        <f aca="false">IF(F50="Disposable",1,0)</f>
        <v>0</v>
      </c>
      <c r="R50" s="3" t="n">
        <f aca="false">IF(SUMPRODUCT(--ISNUMBER(SEARCH('Spam Rules'!$A$22:$A$35,K50)))&gt;0,1,0)</f>
        <v>0</v>
      </c>
      <c r="S50" s="3" t="n">
        <f aca="false">IF(AND(F50="Free",G50=""),1,0)</f>
        <v>0</v>
      </c>
      <c r="T50" s="3" t="n">
        <f aca="false">IF(LEN(TRIM(K50))&lt;15,1,0)</f>
        <v>0</v>
      </c>
      <c r="U50" s="3" t="n">
        <f aca="false">IF(COUNTIF($E$2:$E$801,E50)&gt;1,1,0)</f>
        <v>0</v>
      </c>
      <c r="V50" s="3" t="n">
        <f aca="false">Q50*'Spam Rules'!$H$6+R50*'Spam Rules'!$H$7+S50*'Spam Rules'!$H$8+T50*'Spam Rules'!$H$9+U50*'Spam Rules'!$H$10</f>
        <v>0</v>
      </c>
      <c r="W50" s="3" t="str">
        <f aca="false">IF(V50&gt;='Spam Rules'!$B$3,"Likely Spam","Genuine")</f>
        <v>Genuine</v>
      </c>
      <c r="X50" s="3" t="n">
        <f aca="false">IFERROR(INDEX('Scoring Model'!$B$5:$B$11,MATCH(C50,'Scoring Model'!$A$5:$A$11,0)),0)</f>
        <v>15</v>
      </c>
      <c r="Y50" s="3" t="n">
        <f aca="false">IFERROR(INDEX('Scoring Model'!$E$5:$E$7,MATCH(F50,'Scoring Model'!$D$5:$D$7,0)),0)</f>
        <v>0</v>
      </c>
      <c r="Z50" s="3" t="n">
        <f aca="false">IFERROR(INDEX('Scoring Model'!$H$5:$H$13,MATCH(J50,'Scoring Model'!$G$5:$G$13,0)),0)</f>
        <v>15</v>
      </c>
      <c r="AA50" s="3" t="n">
        <f aca="false">IF(L50&gt;='Scoring Model'!$B$14,'Scoring Model'!$B$15,IF(L50&gt;='Scoring Model'!$B$16,'Scoring Model'!$B$17,0))</f>
        <v>0</v>
      </c>
      <c r="AB50" s="3" t="n">
        <f aca="false">IF(SUMPRODUCT(--ISNUMBER(SEARCH('Scoring Model'!$D$16:$D$25,K50)))&gt;0,'Scoring Model'!$B$18,0)</f>
        <v>0</v>
      </c>
      <c r="AC50" s="3" t="n">
        <f aca="false">IF(SUMPRODUCT(--ISNUMBER(SEARCH('Scoring Model'!$G$16:$G$23,K50)))&gt;0,'Scoring Model'!$B$19,0)</f>
        <v>-30</v>
      </c>
      <c r="AD50" s="3" t="n">
        <f aca="false">IF(W50="Likely Spam","",SUM(X50:AC50))</f>
        <v>0</v>
      </c>
      <c r="AE50" s="3" t="str">
        <f aca="false">IF(W50="Likely Spam","Spam",IF(AD50&gt;='Scoring Model'!$B$21,"Hot",IF(AD50&gt;='Scoring Model'!$B$22,"Warm","Nurture")))</f>
        <v>Nurture</v>
      </c>
      <c r="AF50" s="3" t="str">
        <f aca="false">IF(W50="Likely Spam","Flagged by spam rules",TRIM(IF(X50&gt;=20,"Strong source. ","")&amp;IF(Y50&gt;0,"Company email. ","")&amp;IF(Z50&gt;=15,"High-value product. ","")&amp;IF(AA50&gt;='Scoring Model'!$B$15,"High engagement. ","")&amp;IF(AB50&gt;0,"Buying intent in message. ","")&amp;IF(AC50&lt;0,"Negative intent in message. ","")))</f>
        <v>High-value product. Negative intent in message.</v>
      </c>
      <c r="AG50" s="11" t="n">
        <f aca="false">IF(W50="Likely Spam","",1/(1+EXP(-('Conversion Model'!$B$5+IFERROR(INDEX('Conversion Model'!$B$8:$B$14,MATCH(C50,'Conversion Model'!$A$8:$A$14,0)),0)+IFERROR(INDEX('Conversion Model'!$E$8:$E$9,MATCH(F50,'Conversion Model'!$D$8:$D$9,0)),0)+IFERROR(INDEX('Conversion Model'!$H$8:$H$12,MATCH(IF(LEFT(J50,8)="Payments","Payments",IF(LEFT(J50,7)="Lending","Lending",J50)),'Conversion Model'!$G$8:$G$12,0)),0)+MIN(L50,15)*'Conversion Model'!$B$17+IF(SUMPRODUCT(--ISNUMBER(SEARCH('Scoring Model'!$D$16:$D$25,K50)))&gt;0,'Conversion Model'!$B$18,0)+IF(SUMPRODUCT(--ISNUMBER(SEARCH('Scoring Model'!$G$16:$G$23,K50)))&gt;0,'Conversion Model'!$B$19,0)))))</f>
        <v>0.00252244746076969</v>
      </c>
      <c r="AH50" s="3" t="n">
        <f aca="false">IF(OR(O50="Qualified",O50="Won",O50="Lost"),1,IF(O50="Unqualified",0,""))</f>
        <v>0</v>
      </c>
    </row>
    <row r="51" customFormat="false" ht="15" hidden="false" customHeight="true" outlineLevel="0" collapsed="false">
      <c r="A51" s="3" t="s">
        <v>326</v>
      </c>
      <c r="B51" s="9" t="n">
        <v>45959.0388888889</v>
      </c>
      <c r="C51" s="3" t="s">
        <v>160</v>
      </c>
      <c r="D51" s="3" t="s">
        <v>327</v>
      </c>
      <c r="E51" s="3" t="s">
        <v>328</v>
      </c>
      <c r="F51" s="3" t="s">
        <v>22</v>
      </c>
      <c r="G51" s="3" t="s">
        <v>329</v>
      </c>
      <c r="H51" s="3" t="s">
        <v>330</v>
      </c>
      <c r="I51" s="3" t="s">
        <v>227</v>
      </c>
      <c r="J51" s="3" t="s">
        <v>122</v>
      </c>
      <c r="K51" s="3" t="s">
        <v>228</v>
      </c>
      <c r="L51" s="3" t="n">
        <v>11</v>
      </c>
      <c r="M51" s="3" t="n">
        <v>24.2</v>
      </c>
      <c r="N51" s="3" t="s">
        <v>59</v>
      </c>
      <c r="O51" s="3" t="s">
        <v>331</v>
      </c>
      <c r="P51" s="10"/>
      <c r="Q51" s="3" t="n">
        <f aca="false">IF(F51="Disposable",1,0)</f>
        <v>0</v>
      </c>
      <c r="R51" s="3" t="n">
        <f aca="false">IF(SUMPRODUCT(--ISNUMBER(SEARCH('Spam Rules'!$A$22:$A$35,K51)))&gt;0,1,0)</f>
        <v>0</v>
      </c>
      <c r="S51" s="3" t="n">
        <f aca="false">IF(AND(F51="Free",G51=""),1,0)</f>
        <v>0</v>
      </c>
      <c r="T51" s="3" t="n">
        <f aca="false">IF(LEN(TRIM(K51))&lt;15,1,0)</f>
        <v>0</v>
      </c>
      <c r="U51" s="3" t="n">
        <f aca="false">IF(COUNTIF($E$2:$E$801,E51)&gt;1,1,0)</f>
        <v>0</v>
      </c>
      <c r="V51" s="3" t="n">
        <f aca="false">Q51*'Spam Rules'!$H$6+R51*'Spam Rules'!$H$7+S51*'Spam Rules'!$H$8+T51*'Spam Rules'!$H$9+U51*'Spam Rules'!$H$10</f>
        <v>0</v>
      </c>
      <c r="W51" s="3" t="str">
        <f aca="false">IF(V51&gt;='Spam Rules'!$B$3,"Likely Spam","Genuine")</f>
        <v>Genuine</v>
      </c>
      <c r="X51" s="3" t="n">
        <f aca="false">IFERROR(INDEX('Scoring Model'!$B$5:$B$11,MATCH(C51,'Scoring Model'!$A$5:$A$11,0)),0)</f>
        <v>25</v>
      </c>
      <c r="Y51" s="3" t="n">
        <f aca="false">IFERROR(INDEX('Scoring Model'!$E$5:$E$7,MATCH(F51,'Scoring Model'!$D$5:$D$7,0)),0)</f>
        <v>20</v>
      </c>
      <c r="Z51" s="3" t="n">
        <f aca="false">IFERROR(INDEX('Scoring Model'!$H$5:$H$13,MATCH(J51,'Scoring Model'!$G$5:$G$13,0)),0)</f>
        <v>15</v>
      </c>
      <c r="AA51" s="3" t="n">
        <f aca="false">IF(L51&gt;='Scoring Model'!$B$14,'Scoring Model'!$B$15,IF(L51&gt;='Scoring Model'!$B$16,'Scoring Model'!$B$17,0))</f>
        <v>15</v>
      </c>
      <c r="AB51" s="3" t="n">
        <f aca="false">IF(SUMPRODUCT(--ISNUMBER(SEARCH('Scoring Model'!$D$16:$D$25,K51)))&gt;0,'Scoring Model'!$B$18,0)</f>
        <v>15</v>
      </c>
      <c r="AC51" s="3" t="n">
        <f aca="false">IF(SUMPRODUCT(--ISNUMBER(SEARCH('Scoring Model'!$G$16:$G$23,K51)))&gt;0,'Scoring Model'!$B$19,0)</f>
        <v>0</v>
      </c>
      <c r="AD51" s="3" t="n">
        <f aca="false">IF(W51="Likely Spam","",SUM(X51:AC51))</f>
        <v>90</v>
      </c>
      <c r="AE51" s="3" t="str">
        <f aca="false">IF(W51="Likely Spam","Spam",IF(AD51&gt;='Scoring Model'!$B$21,"Hot",IF(AD51&gt;='Scoring Model'!$B$22,"Warm","Nurture")))</f>
        <v>Hot</v>
      </c>
      <c r="AF51" s="3" t="str">
        <f aca="false">IF(W51="Likely Spam","Flagged by spam rules",TRIM(IF(X51&gt;=20,"Strong source. ","")&amp;IF(Y51&gt;0,"Company email. ","")&amp;IF(Z51&gt;=15,"High-value product. ","")&amp;IF(AA51&gt;='Scoring Model'!$B$15,"High engagement. ","")&amp;IF(AB51&gt;0,"Buying intent in message. ","")&amp;IF(AC51&lt;0,"Negative intent in message. ","")))</f>
        <v>Strong source. Company email. High-value product. High engagement. Buying intent in message.</v>
      </c>
      <c r="AG51" s="11" t="n">
        <f aca="false">IF(W51="Likely Spam","",1/(1+EXP(-('Conversion Model'!$B$5+IFERROR(INDEX('Conversion Model'!$B$8:$B$14,MATCH(C51,'Conversion Model'!$A$8:$A$14,0)),0)+IFERROR(INDEX('Conversion Model'!$E$8:$E$9,MATCH(F51,'Conversion Model'!$D$8:$D$9,0)),0)+IFERROR(INDEX('Conversion Model'!$H$8:$H$12,MATCH(IF(LEFT(J51,8)="Payments","Payments",IF(LEFT(J51,7)="Lending","Lending",J51)),'Conversion Model'!$G$8:$G$12,0)),0)+MIN(L51,15)*'Conversion Model'!$B$17+IF(SUMPRODUCT(--ISNUMBER(SEARCH('Scoring Model'!$D$16:$D$25,K51)))&gt;0,'Conversion Model'!$B$18,0)+IF(SUMPRODUCT(--ISNUMBER(SEARCH('Scoring Model'!$G$16:$G$23,K51)))&gt;0,'Conversion Model'!$B$19,0)))))</f>
        <v>0.997793194411506</v>
      </c>
      <c r="AH51" s="3" t="n">
        <f aca="false">IF(OR(O51="Qualified",O51="Won",O51="Lost"),1,IF(O51="Unqualified",0,""))</f>
        <v>1</v>
      </c>
    </row>
    <row r="52" customFormat="false" ht="15" hidden="false" customHeight="true" outlineLevel="0" collapsed="false">
      <c r="A52" s="3" t="s">
        <v>332</v>
      </c>
      <c r="B52" s="9" t="n">
        <v>45959.0715277778</v>
      </c>
      <c r="C52" s="3" t="s">
        <v>51</v>
      </c>
      <c r="D52" s="3" t="s">
        <v>324</v>
      </c>
      <c r="E52" s="3" t="s">
        <v>333</v>
      </c>
      <c r="F52" s="3" t="s">
        <v>22</v>
      </c>
      <c r="G52" s="3" t="s">
        <v>237</v>
      </c>
      <c r="H52" s="3" t="s">
        <v>238</v>
      </c>
      <c r="I52" s="3" t="s">
        <v>334</v>
      </c>
      <c r="J52" s="3" t="s">
        <v>65</v>
      </c>
      <c r="K52" s="3" t="s">
        <v>322</v>
      </c>
      <c r="L52" s="3" t="n">
        <v>1</v>
      </c>
      <c r="M52" s="3" t="n">
        <v>47.4</v>
      </c>
      <c r="N52" s="3" t="s">
        <v>96</v>
      </c>
      <c r="O52" s="3"/>
      <c r="P52" s="10"/>
      <c r="Q52" s="3" t="n">
        <f aca="false">IF(F52="Disposable",1,0)</f>
        <v>0</v>
      </c>
      <c r="R52" s="3" t="n">
        <f aca="false">IF(SUMPRODUCT(--ISNUMBER(SEARCH('Spam Rules'!$A$22:$A$35,K52)))&gt;0,1,0)</f>
        <v>0</v>
      </c>
      <c r="S52" s="3" t="n">
        <f aca="false">IF(AND(F52="Free",G52=""),1,0)</f>
        <v>0</v>
      </c>
      <c r="T52" s="3" t="n">
        <f aca="false">IF(LEN(TRIM(K52))&lt;15,1,0)</f>
        <v>1</v>
      </c>
      <c r="U52" s="3" t="n">
        <f aca="false">IF(COUNTIF($E$2:$E$801,E52)&gt;1,1,0)</f>
        <v>0</v>
      </c>
      <c r="V52" s="3" t="n">
        <f aca="false">Q52*'Spam Rules'!$H$6+R52*'Spam Rules'!$H$7+S52*'Spam Rules'!$H$8+T52*'Spam Rules'!$H$9+U52*'Spam Rules'!$H$10</f>
        <v>1</v>
      </c>
      <c r="W52" s="3" t="str">
        <f aca="false">IF(V52&gt;='Spam Rules'!$B$3,"Likely Spam","Genuine")</f>
        <v>Likely Spam</v>
      </c>
      <c r="X52" s="3" t="n">
        <f aca="false">IFERROR(INDEX('Scoring Model'!$B$5:$B$11,MATCH(C52,'Scoring Model'!$A$5:$A$11,0)),0)</f>
        <v>10</v>
      </c>
      <c r="Y52" s="3" t="n">
        <f aca="false">IFERROR(INDEX('Scoring Model'!$E$5:$E$7,MATCH(F52,'Scoring Model'!$D$5:$D$7,0)),0)</f>
        <v>20</v>
      </c>
      <c r="Z52" s="3" t="n">
        <f aca="false">IFERROR(INDEX('Scoring Model'!$H$5:$H$13,MATCH(J52,'Scoring Model'!$G$5:$G$13,0)),0)</f>
        <v>0</v>
      </c>
      <c r="AA52" s="3" t="n">
        <f aca="false">IF(L52&gt;='Scoring Model'!$B$14,'Scoring Model'!$B$15,IF(L52&gt;='Scoring Model'!$B$16,'Scoring Model'!$B$17,0))</f>
        <v>0</v>
      </c>
      <c r="AB52" s="3" t="n">
        <f aca="false">IF(SUMPRODUCT(--ISNUMBER(SEARCH('Scoring Model'!$D$16:$D$25,K52)))&gt;0,'Scoring Model'!$B$18,0)</f>
        <v>0</v>
      </c>
      <c r="AC52" s="3" t="n">
        <f aca="false">IF(SUMPRODUCT(--ISNUMBER(SEARCH('Scoring Model'!$G$16:$G$23,K52)))&gt;0,'Scoring Model'!$B$19,0)</f>
        <v>0</v>
      </c>
      <c r="AD52" s="3" t="str">
        <f aca="false">IF(W52="Likely Spam","",SUM(X52:AC52))</f>
        <v/>
      </c>
      <c r="AE52" s="3" t="str">
        <f aca="false">IF(W52="Likely Spam","Spam",IF(AD52&gt;='Scoring Model'!$B$21,"Hot",IF(AD52&gt;='Scoring Model'!$B$22,"Warm","Nurture")))</f>
        <v>Spam</v>
      </c>
      <c r="AF52" s="3" t="str">
        <f aca="false">IF(W52="Likely Spam","Flagged by spam rules",TRIM(IF(X52&gt;=20,"Strong source. ","")&amp;IF(Y52&gt;0,"Company email. ","")&amp;IF(Z52&gt;=15,"High-value product. ","")&amp;IF(AA52&gt;='Scoring Model'!$B$15,"High engagement. ","")&amp;IF(AB52&gt;0,"Buying intent in message. ","")&amp;IF(AC52&lt;0,"Negative intent in message. ","")))</f>
        <v>Flagged by spam rules</v>
      </c>
      <c r="AG52" s="11" t="str">
        <f aca="false">IF(W52="Likely Spam","",1/(1+EXP(-('Conversion Model'!$B$5+IFERROR(INDEX('Conversion Model'!$B$8:$B$14,MATCH(C52,'Conversion Model'!$A$8:$A$14,0)),0)+IFERROR(INDEX('Conversion Model'!$E$8:$E$9,MATCH(F52,'Conversion Model'!$D$8:$D$9,0)),0)+IFERROR(INDEX('Conversion Model'!$H$8:$H$12,MATCH(IF(LEFT(J52,8)="Payments","Payments",IF(LEFT(J52,7)="Lending","Lending",J52)),'Conversion Model'!$G$8:$G$12,0)),0)+MIN(L52,15)*'Conversion Model'!$B$17+IF(SUMPRODUCT(--ISNUMBER(SEARCH('Scoring Model'!$D$16:$D$25,K52)))&gt;0,'Conversion Model'!$B$18,0)+IF(SUMPRODUCT(--ISNUMBER(SEARCH('Scoring Model'!$G$16:$G$23,K52)))&gt;0,'Conversion Model'!$B$19,0)))))</f>
        <v/>
      </c>
      <c r="AH52" s="3" t="str">
        <f aca="false">IF(OR(O52="Qualified",O52="Won",O52="Lost"),1,IF(O52="Unqualified",0,""))</f>
        <v/>
      </c>
    </row>
    <row r="53" customFormat="false" ht="15" hidden="false" customHeight="true" outlineLevel="0" collapsed="false">
      <c r="A53" s="3" t="s">
        <v>335</v>
      </c>
      <c r="B53" s="9" t="n">
        <v>45959.9972222222</v>
      </c>
      <c r="C53" s="3" t="s">
        <v>135</v>
      </c>
      <c r="D53" s="3" t="s">
        <v>336</v>
      </c>
      <c r="E53" s="3" t="s">
        <v>337</v>
      </c>
      <c r="F53" s="3" t="s">
        <v>22</v>
      </c>
      <c r="G53" s="3" t="s">
        <v>338</v>
      </c>
      <c r="H53" s="3" t="s">
        <v>339</v>
      </c>
      <c r="I53" s="3" t="s">
        <v>94</v>
      </c>
      <c r="J53" s="3" t="s">
        <v>122</v>
      </c>
      <c r="K53" s="3" t="s">
        <v>228</v>
      </c>
      <c r="L53" s="3" t="n">
        <v>11</v>
      </c>
      <c r="M53" s="3" t="n">
        <v>30.4</v>
      </c>
      <c r="N53" s="3" t="s">
        <v>59</v>
      </c>
      <c r="O53" s="3" t="s">
        <v>331</v>
      </c>
      <c r="P53" s="10"/>
      <c r="Q53" s="3" t="n">
        <f aca="false">IF(F53="Disposable",1,0)</f>
        <v>0</v>
      </c>
      <c r="R53" s="3" t="n">
        <f aca="false">IF(SUMPRODUCT(--ISNUMBER(SEARCH('Spam Rules'!$A$22:$A$35,K53)))&gt;0,1,0)</f>
        <v>0</v>
      </c>
      <c r="S53" s="3" t="n">
        <f aca="false">IF(AND(F53="Free",G53=""),1,0)</f>
        <v>0</v>
      </c>
      <c r="T53" s="3" t="n">
        <f aca="false">IF(LEN(TRIM(K53))&lt;15,1,0)</f>
        <v>0</v>
      </c>
      <c r="U53" s="3" t="n">
        <f aca="false">IF(COUNTIF($E$2:$E$801,E53)&gt;1,1,0)</f>
        <v>0</v>
      </c>
      <c r="V53" s="3" t="n">
        <f aca="false">Q53*'Spam Rules'!$H$6+R53*'Spam Rules'!$H$7+S53*'Spam Rules'!$H$8+T53*'Spam Rules'!$H$9+U53*'Spam Rules'!$H$10</f>
        <v>0</v>
      </c>
      <c r="W53" s="3" t="str">
        <f aca="false">IF(V53&gt;='Spam Rules'!$B$3,"Likely Spam","Genuine")</f>
        <v>Genuine</v>
      </c>
      <c r="X53" s="3" t="n">
        <f aca="false">IFERROR(INDEX('Scoring Model'!$B$5:$B$11,MATCH(C53,'Scoring Model'!$A$5:$A$11,0)),0)</f>
        <v>20</v>
      </c>
      <c r="Y53" s="3" t="n">
        <f aca="false">IFERROR(INDEX('Scoring Model'!$E$5:$E$7,MATCH(F53,'Scoring Model'!$D$5:$D$7,0)),0)</f>
        <v>20</v>
      </c>
      <c r="Z53" s="3" t="n">
        <f aca="false">IFERROR(INDEX('Scoring Model'!$H$5:$H$13,MATCH(J53,'Scoring Model'!$G$5:$G$13,0)),0)</f>
        <v>15</v>
      </c>
      <c r="AA53" s="3" t="n">
        <f aca="false">IF(L53&gt;='Scoring Model'!$B$14,'Scoring Model'!$B$15,IF(L53&gt;='Scoring Model'!$B$16,'Scoring Model'!$B$17,0))</f>
        <v>15</v>
      </c>
      <c r="AB53" s="3" t="n">
        <f aca="false">IF(SUMPRODUCT(--ISNUMBER(SEARCH('Scoring Model'!$D$16:$D$25,K53)))&gt;0,'Scoring Model'!$B$18,0)</f>
        <v>15</v>
      </c>
      <c r="AC53" s="3" t="n">
        <f aca="false">IF(SUMPRODUCT(--ISNUMBER(SEARCH('Scoring Model'!$G$16:$G$23,K53)))&gt;0,'Scoring Model'!$B$19,0)</f>
        <v>0</v>
      </c>
      <c r="AD53" s="3" t="n">
        <f aca="false">IF(W53="Likely Spam","",SUM(X53:AC53))</f>
        <v>85</v>
      </c>
      <c r="AE53" s="3" t="str">
        <f aca="false">IF(W53="Likely Spam","Spam",IF(AD53&gt;='Scoring Model'!$B$21,"Hot",IF(AD53&gt;='Scoring Model'!$B$22,"Warm","Nurture")))</f>
        <v>Hot</v>
      </c>
      <c r="AF53" s="3" t="str">
        <f aca="false">IF(W53="Likely Spam","Flagged by spam rules",TRIM(IF(X53&gt;=20,"Strong source. ","")&amp;IF(Y53&gt;0,"Company email. ","")&amp;IF(Z53&gt;=15,"High-value product. ","")&amp;IF(AA53&gt;='Scoring Model'!$B$15,"High engagement. ","")&amp;IF(AB53&gt;0,"Buying intent in message. ","")&amp;IF(AC53&lt;0,"Negative intent in message. ","")))</f>
        <v>Strong source. Company email. High-value product. High engagement. Buying intent in message.</v>
      </c>
      <c r="AG53" s="11" t="n">
        <f aca="false">IF(W53="Likely Spam","",1/(1+EXP(-('Conversion Model'!$B$5+IFERROR(INDEX('Conversion Model'!$B$8:$B$14,MATCH(C53,'Conversion Model'!$A$8:$A$14,0)),0)+IFERROR(INDEX('Conversion Model'!$E$8:$E$9,MATCH(F53,'Conversion Model'!$D$8:$D$9,0)),0)+IFERROR(INDEX('Conversion Model'!$H$8:$H$12,MATCH(IF(LEFT(J53,8)="Payments","Payments",IF(LEFT(J53,7)="Lending","Lending",J53)),'Conversion Model'!$G$8:$G$12,0)),0)+MIN(L53,15)*'Conversion Model'!$B$17+IF(SUMPRODUCT(--ISNUMBER(SEARCH('Scoring Model'!$D$16:$D$25,K53)))&gt;0,'Conversion Model'!$B$18,0)+IF(SUMPRODUCT(--ISNUMBER(SEARCH('Scoring Model'!$G$16:$G$23,K53)))&gt;0,'Conversion Model'!$B$19,0)))))</f>
        <v>0.998457797043307</v>
      </c>
      <c r="AH53" s="3" t="n">
        <f aca="false">IF(OR(O53="Qualified",O53="Won",O53="Lost"),1,IF(O53="Unqualified",0,""))</f>
        <v>1</v>
      </c>
    </row>
    <row r="54" customFormat="false" ht="15" hidden="false" customHeight="true" outlineLevel="0" collapsed="false">
      <c r="A54" s="3" t="s">
        <v>340</v>
      </c>
      <c r="B54" s="9" t="n">
        <v>45961.3625</v>
      </c>
      <c r="C54" s="3" t="s">
        <v>112</v>
      </c>
      <c r="D54" s="3" t="s">
        <v>341</v>
      </c>
      <c r="E54" s="3" t="s">
        <v>342</v>
      </c>
      <c r="F54" s="3" t="s">
        <v>22</v>
      </c>
      <c r="G54" s="3" t="s">
        <v>343</v>
      </c>
      <c r="H54" s="3" t="s">
        <v>344</v>
      </c>
      <c r="I54" s="3" t="s">
        <v>260</v>
      </c>
      <c r="J54" s="3" t="s">
        <v>165</v>
      </c>
      <c r="K54" s="3" t="s">
        <v>345</v>
      </c>
      <c r="L54" s="3" t="n">
        <v>2</v>
      </c>
      <c r="M54" s="3" t="n">
        <v>9.3</v>
      </c>
      <c r="N54" s="3" t="s">
        <v>96</v>
      </c>
      <c r="O54" s="3"/>
      <c r="P54" s="10"/>
      <c r="Q54" s="3" t="n">
        <f aca="false">IF(F54="Disposable",1,0)</f>
        <v>0</v>
      </c>
      <c r="R54" s="3" t="n">
        <f aca="false">IF(SUMPRODUCT(--ISNUMBER(SEARCH('Spam Rules'!$A$22:$A$35,K54)))&gt;0,1,0)</f>
        <v>0</v>
      </c>
      <c r="S54" s="3" t="n">
        <f aca="false">IF(AND(F54="Free",G54=""),1,0)</f>
        <v>0</v>
      </c>
      <c r="T54" s="3" t="n">
        <f aca="false">IF(LEN(TRIM(K54))&lt;15,1,0)</f>
        <v>0</v>
      </c>
      <c r="U54" s="3" t="n">
        <f aca="false">IF(COUNTIF($E$2:$E$801,E54)&gt;1,1,0)</f>
        <v>0</v>
      </c>
      <c r="V54" s="3" t="n">
        <f aca="false">Q54*'Spam Rules'!$H$6+R54*'Spam Rules'!$H$7+S54*'Spam Rules'!$H$8+T54*'Spam Rules'!$H$9+U54*'Spam Rules'!$H$10</f>
        <v>0</v>
      </c>
      <c r="W54" s="3" t="str">
        <f aca="false">IF(V54&gt;='Spam Rules'!$B$3,"Likely Spam","Genuine")</f>
        <v>Genuine</v>
      </c>
      <c r="X54" s="3" t="n">
        <f aca="false">IFERROR(INDEX('Scoring Model'!$B$5:$B$11,MATCH(C54,'Scoring Model'!$A$5:$A$11,0)),0)</f>
        <v>15</v>
      </c>
      <c r="Y54" s="3" t="n">
        <f aca="false">IFERROR(INDEX('Scoring Model'!$E$5:$E$7,MATCH(F54,'Scoring Model'!$D$5:$D$7,0)),0)</f>
        <v>20</v>
      </c>
      <c r="Z54" s="3" t="n">
        <f aca="false">IFERROR(INDEX('Scoring Model'!$H$5:$H$13,MATCH(J54,'Scoring Model'!$G$5:$G$13,0)),0)</f>
        <v>15</v>
      </c>
      <c r="AA54" s="3" t="n">
        <f aca="false">IF(L54&gt;='Scoring Model'!$B$14,'Scoring Model'!$B$15,IF(L54&gt;='Scoring Model'!$B$16,'Scoring Model'!$B$17,0))</f>
        <v>0</v>
      </c>
      <c r="AB54" s="3" t="n">
        <f aca="false">IF(SUMPRODUCT(--ISNUMBER(SEARCH('Scoring Model'!$D$16:$D$25,K54)))&gt;0,'Scoring Model'!$B$18,0)</f>
        <v>15</v>
      </c>
      <c r="AC54" s="3" t="n">
        <f aca="false">IF(SUMPRODUCT(--ISNUMBER(SEARCH('Scoring Model'!$G$16:$G$23,K54)))&gt;0,'Scoring Model'!$B$19,0)</f>
        <v>0</v>
      </c>
      <c r="AD54" s="3" t="n">
        <f aca="false">IF(W54="Likely Spam","",SUM(X54:AC54))</f>
        <v>65</v>
      </c>
      <c r="AE54" s="3" t="str">
        <f aca="false">IF(W54="Likely Spam","Spam",IF(AD54&gt;='Scoring Model'!$B$21,"Hot",IF(AD54&gt;='Scoring Model'!$B$22,"Warm","Nurture")))</f>
        <v>Warm</v>
      </c>
      <c r="AF54" s="3" t="str">
        <f aca="false">IF(W54="Likely Spam","Flagged by spam rules",TRIM(IF(X54&gt;=20,"Strong source. ","")&amp;IF(Y54&gt;0,"Company email. ","")&amp;IF(Z54&gt;=15,"High-value product. ","")&amp;IF(AA54&gt;='Scoring Model'!$B$15,"High engagement. ","")&amp;IF(AB54&gt;0,"Buying intent in message. ","")&amp;IF(AC54&lt;0,"Negative intent in message. ","")))</f>
        <v>Company email. High-value product. Buying intent in message.</v>
      </c>
      <c r="AG54" s="11" t="n">
        <f aca="false">IF(W54="Likely Spam","",1/(1+EXP(-('Conversion Model'!$B$5+IFERROR(INDEX('Conversion Model'!$B$8:$B$14,MATCH(C54,'Conversion Model'!$A$8:$A$14,0)),0)+IFERROR(INDEX('Conversion Model'!$E$8:$E$9,MATCH(F54,'Conversion Model'!$D$8:$D$9,0)),0)+IFERROR(INDEX('Conversion Model'!$H$8:$H$12,MATCH(IF(LEFT(J54,8)="Payments","Payments",IF(LEFT(J54,7)="Lending","Lending",J54)),'Conversion Model'!$G$8:$G$12,0)),0)+MIN(L54,15)*'Conversion Model'!$B$17+IF(SUMPRODUCT(--ISNUMBER(SEARCH('Scoring Model'!$D$16:$D$25,K54)))&gt;0,'Conversion Model'!$B$18,0)+IF(SUMPRODUCT(--ISNUMBER(SEARCH('Scoring Model'!$G$16:$G$23,K54)))&gt;0,'Conversion Model'!$B$19,0)))))</f>
        <v>0.169383896934019</v>
      </c>
      <c r="AH54" s="3" t="str">
        <f aca="false">IF(OR(O54="Qualified",O54="Won",O54="Lost"),1,IF(O54="Unqualified",0,""))</f>
        <v/>
      </c>
    </row>
    <row r="55" customFormat="false" ht="15" hidden="false" customHeight="true" outlineLevel="0" collapsed="false">
      <c r="A55" s="3" t="s">
        <v>346</v>
      </c>
      <c r="B55" s="9" t="n">
        <v>45961.4854166667</v>
      </c>
      <c r="C55" s="3" t="s">
        <v>91</v>
      </c>
      <c r="D55" s="3" t="s">
        <v>347</v>
      </c>
      <c r="E55" s="3" t="s">
        <v>348</v>
      </c>
      <c r="F55" s="3" t="s">
        <v>54</v>
      </c>
      <c r="G55" s="3"/>
      <c r="H55" s="3"/>
      <c r="I55" s="3" t="s">
        <v>64</v>
      </c>
      <c r="J55" s="3" t="s">
        <v>65</v>
      </c>
      <c r="K55" s="3" t="s">
        <v>349</v>
      </c>
      <c r="L55" s="3" t="n">
        <v>1</v>
      </c>
      <c r="M55" s="3" t="n">
        <v>1.6</v>
      </c>
      <c r="N55" s="3" t="s">
        <v>171</v>
      </c>
      <c r="O55" s="3" t="s">
        <v>194</v>
      </c>
      <c r="P55" s="10"/>
      <c r="Q55" s="3" t="n">
        <f aca="false">IF(F55="Disposable",1,0)</f>
        <v>0</v>
      </c>
      <c r="R55" s="3" t="n">
        <f aca="false">IF(SUMPRODUCT(--ISNUMBER(SEARCH('Spam Rules'!$A$22:$A$35,K55)))&gt;0,1,0)</f>
        <v>0</v>
      </c>
      <c r="S55" s="3" t="n">
        <f aca="false">IF(AND(F55="Free",G55=""),1,0)</f>
        <v>1</v>
      </c>
      <c r="T55" s="3" t="n">
        <f aca="false">IF(LEN(TRIM(K55))&lt;15,1,0)</f>
        <v>0</v>
      </c>
      <c r="U55" s="3" t="n">
        <f aca="false">IF(COUNTIF($E$2:$E$801,E55)&gt;1,1,0)</f>
        <v>0</v>
      </c>
      <c r="V55" s="3" t="n">
        <f aca="false">Q55*'Spam Rules'!$H$6+R55*'Spam Rules'!$H$7+S55*'Spam Rules'!$H$8+T55*'Spam Rules'!$H$9+U55*'Spam Rules'!$H$10</f>
        <v>0</v>
      </c>
      <c r="W55" s="3" t="str">
        <f aca="false">IF(V55&gt;='Spam Rules'!$B$3,"Likely Spam","Genuine")</f>
        <v>Genuine</v>
      </c>
      <c r="X55" s="3" t="n">
        <f aca="false">IFERROR(INDEX('Scoring Model'!$B$5:$B$11,MATCH(C55,'Scoring Model'!$A$5:$A$11,0)),0)</f>
        <v>5</v>
      </c>
      <c r="Y55" s="3" t="n">
        <f aca="false">IFERROR(INDEX('Scoring Model'!$E$5:$E$7,MATCH(F55,'Scoring Model'!$D$5:$D$7,0)),0)</f>
        <v>0</v>
      </c>
      <c r="Z55" s="3" t="n">
        <f aca="false">IFERROR(INDEX('Scoring Model'!$H$5:$H$13,MATCH(J55,'Scoring Model'!$G$5:$G$13,0)),0)</f>
        <v>0</v>
      </c>
      <c r="AA55" s="3" t="n">
        <f aca="false">IF(L55&gt;='Scoring Model'!$B$14,'Scoring Model'!$B$15,IF(L55&gt;='Scoring Model'!$B$16,'Scoring Model'!$B$17,0))</f>
        <v>0</v>
      </c>
      <c r="AB55" s="3" t="n">
        <f aca="false">IF(SUMPRODUCT(--ISNUMBER(SEARCH('Scoring Model'!$D$16:$D$25,K55)))&gt;0,'Scoring Model'!$B$18,0)</f>
        <v>0</v>
      </c>
      <c r="AC55" s="3" t="n">
        <f aca="false">IF(SUMPRODUCT(--ISNUMBER(SEARCH('Scoring Model'!$G$16:$G$23,K55)))&gt;0,'Scoring Model'!$B$19,0)</f>
        <v>-30</v>
      </c>
      <c r="AD55" s="3" t="n">
        <f aca="false">IF(W55="Likely Spam","",SUM(X55:AC55))</f>
        <v>-25</v>
      </c>
      <c r="AE55" s="3" t="str">
        <f aca="false">IF(W55="Likely Spam","Spam",IF(AD55&gt;='Scoring Model'!$B$21,"Hot",IF(AD55&gt;='Scoring Model'!$B$22,"Warm","Nurture")))</f>
        <v>Nurture</v>
      </c>
      <c r="AF55" s="3" t="str">
        <f aca="false">IF(W55="Likely Spam","Flagged by spam rules",TRIM(IF(X55&gt;=20,"Strong source. ","")&amp;IF(Y55&gt;0,"Company email. ","")&amp;IF(Z55&gt;=15,"High-value product. ","")&amp;IF(AA55&gt;='Scoring Model'!$B$15,"High engagement. ","")&amp;IF(AB55&gt;0,"Buying intent in message. ","")&amp;IF(AC55&lt;0,"Negative intent in message. ","")))</f>
        <v>Negative intent in message.</v>
      </c>
      <c r="AG55" s="11" t="n">
        <f aca="false">IF(W55="Likely Spam","",1/(1+EXP(-('Conversion Model'!$B$5+IFERROR(INDEX('Conversion Model'!$B$8:$B$14,MATCH(C55,'Conversion Model'!$A$8:$A$14,0)),0)+IFERROR(INDEX('Conversion Model'!$E$8:$E$9,MATCH(F55,'Conversion Model'!$D$8:$D$9,0)),0)+IFERROR(INDEX('Conversion Model'!$H$8:$H$12,MATCH(IF(LEFT(J55,8)="Payments","Payments",IF(LEFT(J55,7)="Lending","Lending",J55)),'Conversion Model'!$G$8:$G$12,0)),0)+MIN(L55,15)*'Conversion Model'!$B$17+IF(SUMPRODUCT(--ISNUMBER(SEARCH('Scoring Model'!$D$16:$D$25,K55)))&gt;0,'Conversion Model'!$B$18,0)+IF(SUMPRODUCT(--ISNUMBER(SEARCH('Scoring Model'!$G$16:$G$23,K55)))&gt;0,'Conversion Model'!$B$19,0)))))</f>
        <v>0.000679142643711316</v>
      </c>
      <c r="AH55" s="3" t="n">
        <f aca="false">IF(OR(O55="Qualified",O55="Won",O55="Lost"),1,IF(O55="Unqualified",0,""))</f>
        <v>0</v>
      </c>
    </row>
    <row r="56" customFormat="false" ht="15" hidden="false" customHeight="true" outlineLevel="0" collapsed="false">
      <c r="A56" s="3" t="s">
        <v>350</v>
      </c>
      <c r="B56" s="9" t="n">
        <v>45962.0388888889</v>
      </c>
      <c r="C56" s="3" t="s">
        <v>135</v>
      </c>
      <c r="D56" s="3" t="s">
        <v>351</v>
      </c>
      <c r="E56" s="3" t="s">
        <v>352</v>
      </c>
      <c r="F56" s="3" t="s">
        <v>22</v>
      </c>
      <c r="G56" s="3" t="s">
        <v>353</v>
      </c>
      <c r="H56" s="3" t="s">
        <v>354</v>
      </c>
      <c r="I56" s="3" t="s">
        <v>64</v>
      </c>
      <c r="J56" s="3" t="s">
        <v>245</v>
      </c>
      <c r="K56" s="3" t="s">
        <v>355</v>
      </c>
      <c r="L56" s="3" t="n">
        <v>8</v>
      </c>
      <c r="M56" s="3" t="n">
        <v>85.8</v>
      </c>
      <c r="N56" s="3" t="s">
        <v>59</v>
      </c>
      <c r="O56" s="3" t="s">
        <v>110</v>
      </c>
      <c r="P56" s="10"/>
      <c r="Q56" s="3" t="n">
        <f aca="false">IF(F56="Disposable",1,0)</f>
        <v>0</v>
      </c>
      <c r="R56" s="3" t="n">
        <f aca="false">IF(SUMPRODUCT(--ISNUMBER(SEARCH('Spam Rules'!$A$22:$A$35,K56)))&gt;0,1,0)</f>
        <v>0</v>
      </c>
      <c r="S56" s="3" t="n">
        <f aca="false">IF(AND(F56="Free",G56=""),1,0)</f>
        <v>0</v>
      </c>
      <c r="T56" s="3" t="n">
        <f aca="false">IF(LEN(TRIM(K56))&lt;15,1,0)</f>
        <v>0</v>
      </c>
      <c r="U56" s="3" t="n">
        <f aca="false">IF(COUNTIF($E$2:$E$801,E56)&gt;1,1,0)</f>
        <v>0</v>
      </c>
      <c r="V56" s="3" t="n">
        <f aca="false">Q56*'Spam Rules'!$H$6+R56*'Spam Rules'!$H$7+S56*'Spam Rules'!$H$8+T56*'Spam Rules'!$H$9+U56*'Spam Rules'!$H$10</f>
        <v>0</v>
      </c>
      <c r="W56" s="3" t="str">
        <f aca="false">IF(V56&gt;='Spam Rules'!$B$3,"Likely Spam","Genuine")</f>
        <v>Genuine</v>
      </c>
      <c r="X56" s="3" t="n">
        <f aca="false">IFERROR(INDEX('Scoring Model'!$B$5:$B$11,MATCH(C56,'Scoring Model'!$A$5:$A$11,0)),0)</f>
        <v>20</v>
      </c>
      <c r="Y56" s="3" t="n">
        <f aca="false">IFERROR(INDEX('Scoring Model'!$E$5:$E$7,MATCH(F56,'Scoring Model'!$D$5:$D$7,0)),0)</f>
        <v>20</v>
      </c>
      <c r="Z56" s="3" t="n">
        <f aca="false">IFERROR(INDEX('Scoring Model'!$H$5:$H$13,MATCH(J56,'Scoring Model'!$G$5:$G$13,0)),0)</f>
        <v>15</v>
      </c>
      <c r="AA56" s="3" t="n">
        <f aca="false">IF(L56&gt;='Scoring Model'!$B$14,'Scoring Model'!$B$15,IF(L56&gt;='Scoring Model'!$B$16,'Scoring Model'!$B$17,0))</f>
        <v>15</v>
      </c>
      <c r="AB56" s="3" t="n">
        <f aca="false">IF(SUMPRODUCT(--ISNUMBER(SEARCH('Scoring Model'!$D$16:$D$25,K56)))&gt;0,'Scoring Model'!$B$18,0)</f>
        <v>15</v>
      </c>
      <c r="AC56" s="3" t="n">
        <f aca="false">IF(SUMPRODUCT(--ISNUMBER(SEARCH('Scoring Model'!$G$16:$G$23,K56)))&gt;0,'Scoring Model'!$B$19,0)</f>
        <v>0</v>
      </c>
      <c r="AD56" s="3" t="n">
        <f aca="false">IF(W56="Likely Spam","",SUM(X56:AC56))</f>
        <v>85</v>
      </c>
      <c r="AE56" s="3" t="str">
        <f aca="false">IF(W56="Likely Spam","Spam",IF(AD56&gt;='Scoring Model'!$B$21,"Hot",IF(AD56&gt;='Scoring Model'!$B$22,"Warm","Nurture")))</f>
        <v>Hot</v>
      </c>
      <c r="AF56" s="3" t="str">
        <f aca="false">IF(W56="Likely Spam","Flagged by spam rules",TRIM(IF(X56&gt;=20,"Strong source. ","")&amp;IF(Y56&gt;0,"Company email. ","")&amp;IF(Z56&gt;=15,"High-value product. ","")&amp;IF(AA56&gt;='Scoring Model'!$B$15,"High engagement. ","")&amp;IF(AB56&gt;0,"Buying intent in message. ","")&amp;IF(AC56&lt;0,"Negative intent in message. ","")))</f>
        <v>Strong source. Company email. High-value product. High engagement. Buying intent in message.</v>
      </c>
      <c r="AG56" s="11" t="n">
        <f aca="false">IF(W56="Likely Spam","",1/(1+EXP(-('Conversion Model'!$B$5+IFERROR(INDEX('Conversion Model'!$B$8:$B$14,MATCH(C56,'Conversion Model'!$A$8:$A$14,0)),0)+IFERROR(INDEX('Conversion Model'!$E$8:$E$9,MATCH(F56,'Conversion Model'!$D$8:$D$9,0)),0)+IFERROR(INDEX('Conversion Model'!$H$8:$H$12,MATCH(IF(LEFT(J56,8)="Payments","Payments",IF(LEFT(J56,7)="Lending","Lending",J56)),'Conversion Model'!$G$8:$G$12,0)),0)+MIN(L56,15)*'Conversion Model'!$B$17+IF(SUMPRODUCT(--ISNUMBER(SEARCH('Scoring Model'!$D$16:$D$25,K56)))&gt;0,'Conversion Model'!$B$18,0)+IF(SUMPRODUCT(--ISNUMBER(SEARCH('Scoring Model'!$G$16:$G$23,K56)))&gt;0,'Conversion Model'!$B$19,0)))))</f>
        <v>0.993320432079428</v>
      </c>
      <c r="AH56" s="3" t="n">
        <f aca="false">IF(OR(O56="Qualified",O56="Won",O56="Lost"),1,IF(O56="Unqualified",0,""))</f>
        <v>1</v>
      </c>
    </row>
    <row r="57" customFormat="false" ht="15" hidden="false" customHeight="true" outlineLevel="0" collapsed="false">
      <c r="A57" s="3" t="s">
        <v>356</v>
      </c>
      <c r="B57" s="9" t="n">
        <v>45962.0951388889</v>
      </c>
      <c r="C57" s="3" t="s">
        <v>128</v>
      </c>
      <c r="D57" s="3" t="s">
        <v>357</v>
      </c>
      <c r="E57" s="3" t="s">
        <v>358</v>
      </c>
      <c r="F57" s="3" t="s">
        <v>54</v>
      </c>
      <c r="G57" s="3" t="s">
        <v>359</v>
      </c>
      <c r="H57" s="3"/>
      <c r="I57" s="3" t="s">
        <v>116</v>
      </c>
      <c r="J57" s="3" t="s">
        <v>65</v>
      </c>
      <c r="K57" s="3" t="s">
        <v>74</v>
      </c>
      <c r="L57" s="3" t="n">
        <v>1</v>
      </c>
      <c r="M57" s="3" t="n">
        <v>14.6</v>
      </c>
      <c r="N57" s="3" t="s">
        <v>59</v>
      </c>
      <c r="O57" s="3"/>
      <c r="P57" s="10"/>
      <c r="Q57" s="3" t="n">
        <f aca="false">IF(F57="Disposable",1,0)</f>
        <v>0</v>
      </c>
      <c r="R57" s="3" t="n">
        <f aca="false">IF(SUMPRODUCT(--ISNUMBER(SEARCH('Spam Rules'!$A$22:$A$35,K57)))&gt;0,1,0)</f>
        <v>0</v>
      </c>
      <c r="S57" s="3" t="n">
        <f aca="false">IF(AND(F57="Free",G57=""),1,0)</f>
        <v>0</v>
      </c>
      <c r="T57" s="3" t="n">
        <f aca="false">IF(LEN(TRIM(K57))&lt;15,1,0)</f>
        <v>0</v>
      </c>
      <c r="U57" s="3" t="n">
        <f aca="false">IF(COUNTIF($E$2:$E$801,E57)&gt;1,1,0)</f>
        <v>0</v>
      </c>
      <c r="V57" s="3" t="n">
        <f aca="false">Q57*'Spam Rules'!$H$6+R57*'Spam Rules'!$H$7+S57*'Spam Rules'!$H$8+T57*'Spam Rules'!$H$9+U57*'Spam Rules'!$H$10</f>
        <v>0</v>
      </c>
      <c r="W57" s="3" t="str">
        <f aca="false">IF(V57&gt;='Spam Rules'!$B$3,"Likely Spam","Genuine")</f>
        <v>Genuine</v>
      </c>
      <c r="X57" s="3" t="n">
        <f aca="false">IFERROR(INDEX('Scoring Model'!$B$5:$B$11,MATCH(C57,'Scoring Model'!$A$5:$A$11,0)),0)</f>
        <v>30</v>
      </c>
      <c r="Y57" s="3" t="n">
        <f aca="false">IFERROR(INDEX('Scoring Model'!$E$5:$E$7,MATCH(F57,'Scoring Model'!$D$5:$D$7,0)),0)</f>
        <v>0</v>
      </c>
      <c r="Z57" s="3" t="n">
        <f aca="false">IFERROR(INDEX('Scoring Model'!$H$5:$H$13,MATCH(J57,'Scoring Model'!$G$5:$G$13,0)),0)</f>
        <v>0</v>
      </c>
      <c r="AA57" s="3" t="n">
        <f aca="false">IF(L57&gt;='Scoring Model'!$B$14,'Scoring Model'!$B$15,IF(L57&gt;='Scoring Model'!$B$16,'Scoring Model'!$B$17,0))</f>
        <v>0</v>
      </c>
      <c r="AB57" s="3" t="n">
        <f aca="false">IF(SUMPRODUCT(--ISNUMBER(SEARCH('Scoring Model'!$D$16:$D$25,K57)))&gt;0,'Scoring Model'!$B$18,0)</f>
        <v>0</v>
      </c>
      <c r="AC57" s="3" t="n">
        <f aca="false">IF(SUMPRODUCT(--ISNUMBER(SEARCH('Scoring Model'!$G$16:$G$23,K57)))&gt;0,'Scoring Model'!$B$19,0)</f>
        <v>-30</v>
      </c>
      <c r="AD57" s="3" t="n">
        <f aca="false">IF(W57="Likely Spam","",SUM(X57:AC57))</f>
        <v>0</v>
      </c>
      <c r="AE57" s="3" t="str">
        <f aca="false">IF(W57="Likely Spam","Spam",IF(AD57&gt;='Scoring Model'!$B$21,"Hot",IF(AD57&gt;='Scoring Model'!$B$22,"Warm","Nurture")))</f>
        <v>Nurture</v>
      </c>
      <c r="AF57" s="3" t="str">
        <f aca="false">IF(W57="Likely Spam","Flagged by spam rules",TRIM(IF(X57&gt;=20,"Strong source. ","")&amp;IF(Y57&gt;0,"Company email. ","")&amp;IF(Z57&gt;=15,"High-value product. ","")&amp;IF(AA57&gt;='Scoring Model'!$B$15,"High engagement. ","")&amp;IF(AB57&gt;0,"Buying intent in message. ","")&amp;IF(AC57&lt;0,"Negative intent in message. ","")))</f>
        <v>Strong source. Negative intent in message.</v>
      </c>
      <c r="AG57" s="11" t="n">
        <f aca="false">IF(W57="Likely Spam","",1/(1+EXP(-('Conversion Model'!$B$5+IFERROR(INDEX('Conversion Model'!$B$8:$B$14,MATCH(C57,'Conversion Model'!$A$8:$A$14,0)),0)+IFERROR(INDEX('Conversion Model'!$E$8:$E$9,MATCH(F57,'Conversion Model'!$D$8:$D$9,0)),0)+IFERROR(INDEX('Conversion Model'!$H$8:$H$12,MATCH(IF(LEFT(J57,8)="Payments","Payments",IF(LEFT(J57,7)="Lending","Lending",J57)),'Conversion Model'!$G$8:$G$12,0)),0)+MIN(L57,15)*'Conversion Model'!$B$17+IF(SUMPRODUCT(--ISNUMBER(SEARCH('Scoring Model'!$D$16:$D$25,K57)))&gt;0,'Conversion Model'!$B$18,0)+IF(SUMPRODUCT(--ISNUMBER(SEARCH('Scoring Model'!$G$16:$G$23,K57)))&gt;0,'Conversion Model'!$B$19,0)))))</f>
        <v>0.00306084108917207</v>
      </c>
      <c r="AH57" s="3" t="str">
        <f aca="false">IF(OR(O57="Qualified",O57="Won",O57="Lost"),1,IF(O57="Unqualified",0,""))</f>
        <v/>
      </c>
    </row>
    <row r="58" customFormat="false" ht="15" hidden="false" customHeight="true" outlineLevel="0" collapsed="false">
      <c r="A58" s="3" t="s">
        <v>360</v>
      </c>
      <c r="B58" s="9" t="n">
        <v>45963.4486111111</v>
      </c>
      <c r="C58" s="3" t="s">
        <v>51</v>
      </c>
      <c r="D58" s="3" t="s">
        <v>361</v>
      </c>
      <c r="E58" s="3" t="s">
        <v>362</v>
      </c>
      <c r="F58" s="3" t="s">
        <v>54</v>
      </c>
      <c r="G58" s="3"/>
      <c r="H58" s="3"/>
      <c r="I58" s="3" t="s">
        <v>227</v>
      </c>
      <c r="J58" s="3" t="s">
        <v>65</v>
      </c>
      <c r="K58" s="3" t="s">
        <v>363</v>
      </c>
      <c r="L58" s="3" t="n">
        <v>2</v>
      </c>
      <c r="M58" s="3"/>
      <c r="N58" s="3" t="s">
        <v>171</v>
      </c>
      <c r="O58" s="3"/>
      <c r="P58" s="10"/>
      <c r="Q58" s="3" t="n">
        <f aca="false">IF(F58="Disposable",1,0)</f>
        <v>0</v>
      </c>
      <c r="R58" s="3" t="n">
        <f aca="false">IF(SUMPRODUCT(--ISNUMBER(SEARCH('Spam Rules'!$A$22:$A$35,K58)))&gt;0,1,0)</f>
        <v>1</v>
      </c>
      <c r="S58" s="3" t="n">
        <f aca="false">IF(AND(F58="Free",G58=""),1,0)</f>
        <v>1</v>
      </c>
      <c r="T58" s="3" t="n">
        <f aca="false">IF(LEN(TRIM(K58))&lt;15,1,0)</f>
        <v>0</v>
      </c>
      <c r="U58" s="3" t="n">
        <f aca="false">IF(COUNTIF($E$2:$E$801,E58)&gt;1,1,0)</f>
        <v>1</v>
      </c>
      <c r="V58" s="3" t="n">
        <f aca="false">Q58*'Spam Rules'!$H$6+R58*'Spam Rules'!$H$7+S58*'Spam Rules'!$H$8+T58*'Spam Rules'!$H$9+U58*'Spam Rules'!$H$10</f>
        <v>1</v>
      </c>
      <c r="W58" s="3" t="str">
        <f aca="false">IF(V58&gt;='Spam Rules'!$B$3,"Likely Spam","Genuine")</f>
        <v>Likely Spam</v>
      </c>
      <c r="X58" s="3" t="n">
        <f aca="false">IFERROR(INDEX('Scoring Model'!$B$5:$B$11,MATCH(C58,'Scoring Model'!$A$5:$A$11,0)),0)</f>
        <v>10</v>
      </c>
      <c r="Y58" s="3" t="n">
        <f aca="false">IFERROR(INDEX('Scoring Model'!$E$5:$E$7,MATCH(F58,'Scoring Model'!$D$5:$D$7,0)),0)</f>
        <v>0</v>
      </c>
      <c r="Z58" s="3" t="n">
        <f aca="false">IFERROR(INDEX('Scoring Model'!$H$5:$H$13,MATCH(J58,'Scoring Model'!$G$5:$G$13,0)),0)</f>
        <v>0</v>
      </c>
      <c r="AA58" s="3" t="n">
        <f aca="false">IF(L58&gt;='Scoring Model'!$B$14,'Scoring Model'!$B$15,IF(L58&gt;='Scoring Model'!$B$16,'Scoring Model'!$B$17,0))</f>
        <v>0</v>
      </c>
      <c r="AB58" s="3" t="n">
        <f aca="false">IF(SUMPRODUCT(--ISNUMBER(SEARCH('Scoring Model'!$D$16:$D$25,K58)))&gt;0,'Scoring Model'!$B$18,0)</f>
        <v>0</v>
      </c>
      <c r="AC58" s="3" t="n">
        <f aca="false">IF(SUMPRODUCT(--ISNUMBER(SEARCH('Scoring Model'!$G$16:$G$23,K58)))&gt;0,'Scoring Model'!$B$19,0)</f>
        <v>0</v>
      </c>
      <c r="AD58" s="3" t="str">
        <f aca="false">IF(W58="Likely Spam","",SUM(X58:AC58))</f>
        <v/>
      </c>
      <c r="AE58" s="3" t="str">
        <f aca="false">IF(W58="Likely Spam","Spam",IF(AD58&gt;='Scoring Model'!$B$21,"Hot",IF(AD58&gt;='Scoring Model'!$B$22,"Warm","Nurture")))</f>
        <v>Spam</v>
      </c>
      <c r="AF58" s="3" t="str">
        <f aca="false">IF(W58="Likely Spam","Flagged by spam rules",TRIM(IF(X58&gt;=20,"Strong source. ","")&amp;IF(Y58&gt;0,"Company email. ","")&amp;IF(Z58&gt;=15,"High-value product. ","")&amp;IF(AA58&gt;='Scoring Model'!$B$15,"High engagement. ","")&amp;IF(AB58&gt;0,"Buying intent in message. ","")&amp;IF(AC58&lt;0,"Negative intent in message. ","")))</f>
        <v>Flagged by spam rules</v>
      </c>
      <c r="AG58" s="11" t="str">
        <f aca="false">IF(W58="Likely Spam","",1/(1+EXP(-('Conversion Model'!$B$5+IFERROR(INDEX('Conversion Model'!$B$8:$B$14,MATCH(C58,'Conversion Model'!$A$8:$A$14,0)),0)+IFERROR(INDEX('Conversion Model'!$E$8:$E$9,MATCH(F58,'Conversion Model'!$D$8:$D$9,0)),0)+IFERROR(INDEX('Conversion Model'!$H$8:$H$12,MATCH(IF(LEFT(J58,8)="Payments","Payments",IF(LEFT(J58,7)="Lending","Lending",J58)),'Conversion Model'!$G$8:$G$12,0)),0)+MIN(L58,15)*'Conversion Model'!$B$17+IF(SUMPRODUCT(--ISNUMBER(SEARCH('Scoring Model'!$D$16:$D$25,K58)))&gt;0,'Conversion Model'!$B$18,0)+IF(SUMPRODUCT(--ISNUMBER(SEARCH('Scoring Model'!$G$16:$G$23,K58)))&gt;0,'Conversion Model'!$B$19,0)))))</f>
        <v/>
      </c>
      <c r="AH58" s="3" t="str">
        <f aca="false">IF(OR(O58="Qualified",O58="Won",O58="Lost"),1,IF(O58="Unqualified",0,""))</f>
        <v/>
      </c>
    </row>
    <row r="59" customFormat="false" ht="15" hidden="false" customHeight="true" outlineLevel="0" collapsed="false">
      <c r="A59" s="3" t="s">
        <v>364</v>
      </c>
      <c r="B59" s="9" t="n">
        <v>45964.3097222222</v>
      </c>
      <c r="C59" s="3" t="s">
        <v>51</v>
      </c>
      <c r="D59" s="3" t="s">
        <v>365</v>
      </c>
      <c r="E59" s="3" t="s">
        <v>366</v>
      </c>
      <c r="F59" s="3" t="s">
        <v>54</v>
      </c>
      <c r="G59" s="3" t="s">
        <v>367</v>
      </c>
      <c r="H59" s="3"/>
      <c r="I59" s="3" t="s">
        <v>94</v>
      </c>
      <c r="J59" s="3" t="s">
        <v>122</v>
      </c>
      <c r="K59" s="3" t="s">
        <v>349</v>
      </c>
      <c r="L59" s="3" t="n">
        <v>4</v>
      </c>
      <c r="M59" s="3" t="n">
        <v>9.5</v>
      </c>
      <c r="N59" s="3" t="s">
        <v>171</v>
      </c>
      <c r="O59" s="3"/>
      <c r="P59" s="10"/>
      <c r="Q59" s="3" t="n">
        <f aca="false">IF(F59="Disposable",1,0)</f>
        <v>0</v>
      </c>
      <c r="R59" s="3" t="n">
        <f aca="false">IF(SUMPRODUCT(--ISNUMBER(SEARCH('Spam Rules'!$A$22:$A$35,K59)))&gt;0,1,0)</f>
        <v>0</v>
      </c>
      <c r="S59" s="3" t="n">
        <f aca="false">IF(AND(F59="Free",G59=""),1,0)</f>
        <v>0</v>
      </c>
      <c r="T59" s="3" t="n">
        <f aca="false">IF(LEN(TRIM(K59))&lt;15,1,0)</f>
        <v>0</v>
      </c>
      <c r="U59" s="3" t="n">
        <f aca="false">IF(COUNTIF($E$2:$E$801,E59)&gt;1,1,0)</f>
        <v>0</v>
      </c>
      <c r="V59" s="3" t="n">
        <f aca="false">Q59*'Spam Rules'!$H$6+R59*'Spam Rules'!$H$7+S59*'Spam Rules'!$H$8+T59*'Spam Rules'!$H$9+U59*'Spam Rules'!$H$10</f>
        <v>0</v>
      </c>
      <c r="W59" s="3" t="str">
        <f aca="false">IF(V59&gt;='Spam Rules'!$B$3,"Likely Spam","Genuine")</f>
        <v>Genuine</v>
      </c>
      <c r="X59" s="3" t="n">
        <f aca="false">IFERROR(INDEX('Scoring Model'!$B$5:$B$11,MATCH(C59,'Scoring Model'!$A$5:$A$11,0)),0)</f>
        <v>10</v>
      </c>
      <c r="Y59" s="3" t="n">
        <f aca="false">IFERROR(INDEX('Scoring Model'!$E$5:$E$7,MATCH(F59,'Scoring Model'!$D$5:$D$7,0)),0)</f>
        <v>0</v>
      </c>
      <c r="Z59" s="3" t="n">
        <f aca="false">IFERROR(INDEX('Scoring Model'!$H$5:$H$13,MATCH(J59,'Scoring Model'!$G$5:$G$13,0)),0)</f>
        <v>15</v>
      </c>
      <c r="AA59" s="3" t="n">
        <f aca="false">IF(L59&gt;='Scoring Model'!$B$14,'Scoring Model'!$B$15,IF(L59&gt;='Scoring Model'!$B$16,'Scoring Model'!$B$17,0))</f>
        <v>8</v>
      </c>
      <c r="AB59" s="3" t="n">
        <f aca="false">IF(SUMPRODUCT(--ISNUMBER(SEARCH('Scoring Model'!$D$16:$D$25,K59)))&gt;0,'Scoring Model'!$B$18,0)</f>
        <v>0</v>
      </c>
      <c r="AC59" s="3" t="n">
        <f aca="false">IF(SUMPRODUCT(--ISNUMBER(SEARCH('Scoring Model'!$G$16:$G$23,K59)))&gt;0,'Scoring Model'!$B$19,0)</f>
        <v>-30</v>
      </c>
      <c r="AD59" s="3" t="n">
        <f aca="false">IF(W59="Likely Spam","",SUM(X59:AC59))</f>
        <v>3</v>
      </c>
      <c r="AE59" s="3" t="str">
        <f aca="false">IF(W59="Likely Spam","Spam",IF(AD59&gt;='Scoring Model'!$B$21,"Hot",IF(AD59&gt;='Scoring Model'!$B$22,"Warm","Nurture")))</f>
        <v>Nurture</v>
      </c>
      <c r="AF59" s="3" t="str">
        <f aca="false">IF(W59="Likely Spam","Flagged by spam rules",TRIM(IF(X59&gt;=20,"Strong source. ","")&amp;IF(Y59&gt;0,"Company email. ","")&amp;IF(Z59&gt;=15,"High-value product. ","")&amp;IF(AA59&gt;='Scoring Model'!$B$15,"High engagement. ","")&amp;IF(AB59&gt;0,"Buying intent in message. ","")&amp;IF(AC59&lt;0,"Negative intent in message. ","")))</f>
        <v>High-value product. Negative intent in message.</v>
      </c>
      <c r="AG59" s="11" t="n">
        <f aca="false">IF(W59="Likely Spam","",1/(1+EXP(-('Conversion Model'!$B$5+IFERROR(INDEX('Conversion Model'!$B$8:$B$14,MATCH(C59,'Conversion Model'!$A$8:$A$14,0)),0)+IFERROR(INDEX('Conversion Model'!$E$8:$E$9,MATCH(F59,'Conversion Model'!$D$8:$D$9,0)),0)+IFERROR(INDEX('Conversion Model'!$H$8:$H$12,MATCH(IF(LEFT(J59,8)="Payments","Payments",IF(LEFT(J59,7)="Lending","Lending",J59)),'Conversion Model'!$G$8:$G$12,0)),0)+MIN(L59,15)*'Conversion Model'!$B$17+IF(SUMPRODUCT(--ISNUMBER(SEARCH('Scoring Model'!$D$16:$D$25,K59)))&gt;0,'Conversion Model'!$B$18,0)+IF(SUMPRODUCT(--ISNUMBER(SEARCH('Scoring Model'!$G$16:$G$23,K59)))&gt;0,'Conversion Model'!$B$19,0)))))</f>
        <v>0.0120448514195415</v>
      </c>
      <c r="AH59" s="3" t="str">
        <f aca="false">IF(OR(O59="Qualified",O59="Won",O59="Lost"),1,IF(O59="Unqualified",0,""))</f>
        <v/>
      </c>
    </row>
    <row r="60" customFormat="false" ht="15" hidden="false" customHeight="true" outlineLevel="0" collapsed="false">
      <c r="A60" s="3" t="s">
        <v>368</v>
      </c>
      <c r="B60" s="9" t="n">
        <v>45965.0333333333</v>
      </c>
      <c r="C60" s="3" t="s">
        <v>135</v>
      </c>
      <c r="D60" s="3" t="s">
        <v>369</v>
      </c>
      <c r="E60" s="3" t="s">
        <v>370</v>
      </c>
      <c r="F60" s="3" t="s">
        <v>22</v>
      </c>
      <c r="G60" s="3" t="s">
        <v>371</v>
      </c>
      <c r="H60" s="3" t="s">
        <v>372</v>
      </c>
      <c r="I60" s="3" t="s">
        <v>139</v>
      </c>
      <c r="J60" s="3" t="s">
        <v>145</v>
      </c>
      <c r="K60" s="3" t="s">
        <v>349</v>
      </c>
      <c r="L60" s="3" t="n">
        <v>1</v>
      </c>
      <c r="M60" s="3" t="n">
        <v>10.8</v>
      </c>
      <c r="N60" s="3" t="s">
        <v>171</v>
      </c>
      <c r="O60" s="3" t="s">
        <v>194</v>
      </c>
      <c r="P60" s="10"/>
      <c r="Q60" s="3" t="n">
        <f aca="false">IF(F60="Disposable",1,0)</f>
        <v>0</v>
      </c>
      <c r="R60" s="3" t="n">
        <f aca="false">IF(SUMPRODUCT(--ISNUMBER(SEARCH('Spam Rules'!$A$22:$A$35,K60)))&gt;0,1,0)</f>
        <v>0</v>
      </c>
      <c r="S60" s="3" t="n">
        <f aca="false">IF(AND(F60="Free",G60=""),1,0)</f>
        <v>0</v>
      </c>
      <c r="T60" s="3" t="n">
        <f aca="false">IF(LEN(TRIM(K60))&lt;15,1,0)</f>
        <v>0</v>
      </c>
      <c r="U60" s="3" t="n">
        <f aca="false">IF(COUNTIF($E$2:$E$801,E60)&gt;1,1,0)</f>
        <v>0</v>
      </c>
      <c r="V60" s="3" t="n">
        <f aca="false">Q60*'Spam Rules'!$H$6+R60*'Spam Rules'!$H$7+S60*'Spam Rules'!$H$8+T60*'Spam Rules'!$H$9+U60*'Spam Rules'!$H$10</f>
        <v>0</v>
      </c>
      <c r="W60" s="3" t="str">
        <f aca="false">IF(V60&gt;='Spam Rules'!$B$3,"Likely Spam","Genuine")</f>
        <v>Genuine</v>
      </c>
      <c r="X60" s="3" t="n">
        <f aca="false">IFERROR(INDEX('Scoring Model'!$B$5:$B$11,MATCH(C60,'Scoring Model'!$A$5:$A$11,0)),0)</f>
        <v>20</v>
      </c>
      <c r="Y60" s="3" t="n">
        <f aca="false">IFERROR(INDEX('Scoring Model'!$E$5:$E$7,MATCH(F60,'Scoring Model'!$D$5:$D$7,0)),0)</f>
        <v>20</v>
      </c>
      <c r="Z60" s="3" t="n">
        <f aca="false">IFERROR(INDEX('Scoring Model'!$H$5:$H$13,MATCH(J60,'Scoring Model'!$G$5:$G$13,0)),0)</f>
        <v>5</v>
      </c>
      <c r="AA60" s="3" t="n">
        <f aca="false">IF(L60&gt;='Scoring Model'!$B$14,'Scoring Model'!$B$15,IF(L60&gt;='Scoring Model'!$B$16,'Scoring Model'!$B$17,0))</f>
        <v>0</v>
      </c>
      <c r="AB60" s="3" t="n">
        <f aca="false">IF(SUMPRODUCT(--ISNUMBER(SEARCH('Scoring Model'!$D$16:$D$25,K60)))&gt;0,'Scoring Model'!$B$18,0)</f>
        <v>0</v>
      </c>
      <c r="AC60" s="3" t="n">
        <f aca="false">IF(SUMPRODUCT(--ISNUMBER(SEARCH('Scoring Model'!$G$16:$G$23,K60)))&gt;0,'Scoring Model'!$B$19,0)</f>
        <v>-30</v>
      </c>
      <c r="AD60" s="3" t="n">
        <f aca="false">IF(W60="Likely Spam","",SUM(X60:AC60))</f>
        <v>15</v>
      </c>
      <c r="AE60" s="3" t="str">
        <f aca="false">IF(W60="Likely Spam","Spam",IF(AD60&gt;='Scoring Model'!$B$21,"Hot",IF(AD60&gt;='Scoring Model'!$B$22,"Warm","Nurture")))</f>
        <v>Nurture</v>
      </c>
      <c r="AF60" s="3" t="str">
        <f aca="false">IF(W60="Likely Spam","Flagged by spam rules",TRIM(IF(X60&gt;=20,"Strong source. ","")&amp;IF(Y60&gt;0,"Company email. ","")&amp;IF(Z60&gt;=15,"High-value product. ","")&amp;IF(AA60&gt;='Scoring Model'!$B$15,"High engagement. ","")&amp;IF(AB60&gt;0,"Buying intent in message. ","")&amp;IF(AC60&lt;0,"Negative intent in message. ","")))</f>
        <v>Strong source. Company email. Negative intent in message.</v>
      </c>
      <c r="AG60" s="11" t="n">
        <f aca="false">IF(W60="Likely Spam","",1/(1+EXP(-('Conversion Model'!$B$5+IFERROR(INDEX('Conversion Model'!$B$8:$B$14,MATCH(C60,'Conversion Model'!$A$8:$A$14,0)),0)+IFERROR(INDEX('Conversion Model'!$E$8:$E$9,MATCH(F60,'Conversion Model'!$D$8:$D$9,0)),0)+IFERROR(INDEX('Conversion Model'!$H$8:$H$12,MATCH(IF(LEFT(J60,8)="Payments","Payments",IF(LEFT(J60,7)="Lending","Lending",J60)),'Conversion Model'!$G$8:$G$12,0)),0)+MIN(L60,15)*'Conversion Model'!$B$17+IF(SUMPRODUCT(--ISNUMBER(SEARCH('Scoring Model'!$D$16:$D$25,K60)))&gt;0,'Conversion Model'!$B$18,0)+IF(SUMPRODUCT(--ISNUMBER(SEARCH('Scoring Model'!$G$16:$G$23,K60)))&gt;0,'Conversion Model'!$B$19,0)))))</f>
        <v>0.00744307718801781</v>
      </c>
      <c r="AH60" s="3" t="n">
        <f aca="false">IF(OR(O60="Qualified",O60="Won",O60="Lost"),1,IF(O60="Unqualified",0,""))</f>
        <v>0</v>
      </c>
    </row>
    <row r="61" customFormat="false" ht="15" hidden="false" customHeight="true" outlineLevel="0" collapsed="false">
      <c r="A61" s="3" t="s">
        <v>373</v>
      </c>
      <c r="B61" s="9" t="n">
        <v>45965.2416666667</v>
      </c>
      <c r="C61" s="3" t="s">
        <v>160</v>
      </c>
      <c r="D61" s="3" t="s">
        <v>374</v>
      </c>
      <c r="E61" s="3" t="s">
        <v>375</v>
      </c>
      <c r="F61" s="3" t="s">
        <v>54</v>
      </c>
      <c r="G61" s="3" t="s">
        <v>237</v>
      </c>
      <c r="H61" s="3"/>
      <c r="I61" s="3" t="s">
        <v>334</v>
      </c>
      <c r="J61" s="3" t="s">
        <v>65</v>
      </c>
      <c r="K61" s="3" t="s">
        <v>89</v>
      </c>
      <c r="L61" s="3" t="n">
        <v>2</v>
      </c>
      <c r="M61" s="3" t="n">
        <v>36.3</v>
      </c>
      <c r="N61" s="3" t="s">
        <v>67</v>
      </c>
      <c r="O61" s="3" t="s">
        <v>68</v>
      </c>
      <c r="P61" s="10"/>
      <c r="Q61" s="3" t="n">
        <f aca="false">IF(F61="Disposable",1,0)</f>
        <v>0</v>
      </c>
      <c r="R61" s="3" t="n">
        <f aca="false">IF(SUMPRODUCT(--ISNUMBER(SEARCH('Spam Rules'!$A$22:$A$35,K61)))&gt;0,1,0)</f>
        <v>1</v>
      </c>
      <c r="S61" s="3" t="n">
        <f aca="false">IF(AND(F61="Free",G61=""),1,0)</f>
        <v>0</v>
      </c>
      <c r="T61" s="3" t="n">
        <f aca="false">IF(LEN(TRIM(K61))&lt;15,1,0)</f>
        <v>0</v>
      </c>
      <c r="U61" s="3" t="n">
        <f aca="false">IF(COUNTIF($E$2:$E$801,E61)&gt;1,1,0)</f>
        <v>0</v>
      </c>
      <c r="V61" s="3" t="n">
        <f aca="false">Q61*'Spam Rules'!$H$6+R61*'Spam Rules'!$H$7+S61*'Spam Rules'!$H$8+T61*'Spam Rules'!$H$9+U61*'Spam Rules'!$H$10</f>
        <v>1</v>
      </c>
      <c r="W61" s="3" t="str">
        <f aca="false">IF(V61&gt;='Spam Rules'!$B$3,"Likely Spam","Genuine")</f>
        <v>Likely Spam</v>
      </c>
      <c r="X61" s="3" t="n">
        <f aca="false">IFERROR(INDEX('Scoring Model'!$B$5:$B$11,MATCH(C61,'Scoring Model'!$A$5:$A$11,0)),0)</f>
        <v>25</v>
      </c>
      <c r="Y61" s="3" t="n">
        <f aca="false">IFERROR(INDEX('Scoring Model'!$E$5:$E$7,MATCH(F61,'Scoring Model'!$D$5:$D$7,0)),0)</f>
        <v>0</v>
      </c>
      <c r="Z61" s="3" t="n">
        <f aca="false">IFERROR(INDEX('Scoring Model'!$H$5:$H$13,MATCH(J61,'Scoring Model'!$G$5:$G$13,0)),0)</f>
        <v>0</v>
      </c>
      <c r="AA61" s="3" t="n">
        <f aca="false">IF(L61&gt;='Scoring Model'!$B$14,'Scoring Model'!$B$15,IF(L61&gt;='Scoring Model'!$B$16,'Scoring Model'!$B$17,0))</f>
        <v>0</v>
      </c>
      <c r="AB61" s="3" t="n">
        <f aca="false">IF(SUMPRODUCT(--ISNUMBER(SEARCH('Scoring Model'!$D$16:$D$25,K61)))&gt;0,'Scoring Model'!$B$18,0)</f>
        <v>0</v>
      </c>
      <c r="AC61" s="3" t="n">
        <f aca="false">IF(SUMPRODUCT(--ISNUMBER(SEARCH('Scoring Model'!$G$16:$G$23,K61)))&gt;0,'Scoring Model'!$B$19,0)</f>
        <v>0</v>
      </c>
      <c r="AD61" s="3" t="str">
        <f aca="false">IF(W61="Likely Spam","",SUM(X61:AC61))</f>
        <v/>
      </c>
      <c r="AE61" s="3" t="str">
        <f aca="false">IF(W61="Likely Spam","Spam",IF(AD61&gt;='Scoring Model'!$B$21,"Hot",IF(AD61&gt;='Scoring Model'!$B$22,"Warm","Nurture")))</f>
        <v>Spam</v>
      </c>
      <c r="AF61" s="3" t="str">
        <f aca="false">IF(W61="Likely Spam","Flagged by spam rules",TRIM(IF(X61&gt;=20,"Strong source. ","")&amp;IF(Y61&gt;0,"Company email. ","")&amp;IF(Z61&gt;=15,"High-value product. ","")&amp;IF(AA61&gt;='Scoring Model'!$B$15,"High engagement. ","")&amp;IF(AB61&gt;0,"Buying intent in message. ","")&amp;IF(AC61&lt;0,"Negative intent in message. ","")))</f>
        <v>Flagged by spam rules</v>
      </c>
      <c r="AG61" s="11" t="str">
        <f aca="false">IF(W61="Likely Spam","",1/(1+EXP(-('Conversion Model'!$B$5+IFERROR(INDEX('Conversion Model'!$B$8:$B$14,MATCH(C61,'Conversion Model'!$A$8:$A$14,0)),0)+IFERROR(INDEX('Conversion Model'!$E$8:$E$9,MATCH(F61,'Conversion Model'!$D$8:$D$9,0)),0)+IFERROR(INDEX('Conversion Model'!$H$8:$H$12,MATCH(IF(LEFT(J61,8)="Payments","Payments",IF(LEFT(J61,7)="Lending","Lending",J61)),'Conversion Model'!$G$8:$G$12,0)),0)+MIN(L61,15)*'Conversion Model'!$B$17+IF(SUMPRODUCT(--ISNUMBER(SEARCH('Scoring Model'!$D$16:$D$25,K61)))&gt;0,'Conversion Model'!$B$18,0)+IF(SUMPRODUCT(--ISNUMBER(SEARCH('Scoring Model'!$G$16:$G$23,K61)))&gt;0,'Conversion Model'!$B$19,0)))))</f>
        <v/>
      </c>
      <c r="AH61" s="3" t="str">
        <f aca="false">IF(OR(O61="Qualified",O61="Won",O61="Lost"),1,IF(O61="Unqualified",0,""))</f>
        <v/>
      </c>
    </row>
    <row r="62" customFormat="false" ht="15" hidden="false" customHeight="true" outlineLevel="0" collapsed="false">
      <c r="A62" s="3" t="s">
        <v>376</v>
      </c>
      <c r="B62" s="9" t="n">
        <v>45965.5993055556</v>
      </c>
      <c r="C62" s="3" t="s">
        <v>51</v>
      </c>
      <c r="D62" s="3" t="s">
        <v>149</v>
      </c>
      <c r="E62" s="3" t="s">
        <v>377</v>
      </c>
      <c r="F62" s="3" t="s">
        <v>54</v>
      </c>
      <c r="G62" s="3"/>
      <c r="H62" s="3"/>
      <c r="I62" s="3" t="s">
        <v>94</v>
      </c>
      <c r="J62" s="3" t="s">
        <v>65</v>
      </c>
      <c r="K62" s="3" t="s">
        <v>378</v>
      </c>
      <c r="L62" s="3" t="n">
        <v>1</v>
      </c>
      <c r="M62" s="3" t="n">
        <v>9.1</v>
      </c>
      <c r="N62" s="3" t="s">
        <v>67</v>
      </c>
      <c r="O62" s="3"/>
      <c r="P62" s="10"/>
      <c r="Q62" s="3" t="n">
        <f aca="false">IF(F62="Disposable",1,0)</f>
        <v>0</v>
      </c>
      <c r="R62" s="3" t="n">
        <f aca="false">IF(SUMPRODUCT(--ISNUMBER(SEARCH('Spam Rules'!$A$22:$A$35,K62)))&gt;0,1,0)</f>
        <v>0</v>
      </c>
      <c r="S62" s="3" t="n">
        <f aca="false">IF(AND(F62="Free",G62=""),1,0)</f>
        <v>1</v>
      </c>
      <c r="T62" s="3" t="n">
        <f aca="false">IF(LEN(TRIM(K62))&lt;15,1,0)</f>
        <v>0</v>
      </c>
      <c r="U62" s="3" t="n">
        <f aca="false">IF(COUNTIF($E$2:$E$801,E62)&gt;1,1,0)</f>
        <v>0</v>
      </c>
      <c r="V62" s="3" t="n">
        <f aca="false">Q62*'Spam Rules'!$H$6+R62*'Spam Rules'!$H$7+S62*'Spam Rules'!$H$8+T62*'Spam Rules'!$H$9+U62*'Spam Rules'!$H$10</f>
        <v>0</v>
      </c>
      <c r="W62" s="3" t="str">
        <f aca="false">IF(V62&gt;='Spam Rules'!$B$3,"Likely Spam","Genuine")</f>
        <v>Genuine</v>
      </c>
      <c r="X62" s="3" t="n">
        <f aca="false">IFERROR(INDEX('Scoring Model'!$B$5:$B$11,MATCH(C62,'Scoring Model'!$A$5:$A$11,0)),0)</f>
        <v>10</v>
      </c>
      <c r="Y62" s="3" t="n">
        <f aca="false">IFERROR(INDEX('Scoring Model'!$E$5:$E$7,MATCH(F62,'Scoring Model'!$D$5:$D$7,0)),0)</f>
        <v>0</v>
      </c>
      <c r="Z62" s="3" t="n">
        <f aca="false">IFERROR(INDEX('Scoring Model'!$H$5:$H$13,MATCH(J62,'Scoring Model'!$G$5:$G$13,0)),0)</f>
        <v>0</v>
      </c>
      <c r="AA62" s="3" t="n">
        <f aca="false">IF(L62&gt;='Scoring Model'!$B$14,'Scoring Model'!$B$15,IF(L62&gt;='Scoring Model'!$B$16,'Scoring Model'!$B$17,0))</f>
        <v>0</v>
      </c>
      <c r="AB62" s="3" t="n">
        <f aca="false">IF(SUMPRODUCT(--ISNUMBER(SEARCH('Scoring Model'!$D$16:$D$25,K62)))&gt;0,'Scoring Model'!$B$18,0)</f>
        <v>0</v>
      </c>
      <c r="AC62" s="3" t="n">
        <f aca="false">IF(SUMPRODUCT(--ISNUMBER(SEARCH('Scoring Model'!$G$16:$G$23,K62)))&gt;0,'Scoring Model'!$B$19,0)</f>
        <v>-30</v>
      </c>
      <c r="AD62" s="3" t="n">
        <f aca="false">IF(W62="Likely Spam","",SUM(X62:AC62))</f>
        <v>-20</v>
      </c>
      <c r="AE62" s="3" t="str">
        <f aca="false">IF(W62="Likely Spam","Spam",IF(AD62&gt;='Scoring Model'!$B$21,"Hot",IF(AD62&gt;='Scoring Model'!$B$22,"Warm","Nurture")))</f>
        <v>Nurture</v>
      </c>
      <c r="AF62" s="3" t="str">
        <f aca="false">IF(W62="Likely Spam","Flagged by spam rules",TRIM(IF(X62&gt;=20,"Strong source. ","")&amp;IF(Y62&gt;0,"Company email. ","")&amp;IF(Z62&gt;=15,"High-value product. ","")&amp;IF(AA62&gt;='Scoring Model'!$B$15,"High engagement. ","")&amp;IF(AB62&gt;0,"Buying intent in message. ","")&amp;IF(AC62&lt;0,"Negative intent in message. ","")))</f>
        <v>Negative intent in message.</v>
      </c>
      <c r="AG62" s="11" t="n">
        <f aca="false">IF(W62="Likely Spam","",1/(1+EXP(-('Conversion Model'!$B$5+IFERROR(INDEX('Conversion Model'!$B$8:$B$14,MATCH(C62,'Conversion Model'!$A$8:$A$14,0)),0)+IFERROR(INDEX('Conversion Model'!$E$8:$E$9,MATCH(F62,'Conversion Model'!$D$8:$D$9,0)),0)+IFERROR(INDEX('Conversion Model'!$H$8:$H$12,MATCH(IF(LEFT(J62,8)="Payments","Payments",IF(LEFT(J62,7)="Lending","Lending",J62)),'Conversion Model'!$G$8:$G$12,0)),0)+MIN(L62,15)*'Conversion Model'!$B$17+IF(SUMPRODUCT(--ISNUMBER(SEARCH('Scoring Model'!$D$16:$D$25,K62)))&gt;0,'Conversion Model'!$B$18,0)+IF(SUMPRODUCT(--ISNUMBER(SEARCH('Scoring Model'!$G$16:$G$23,K62)))&gt;0,'Conversion Model'!$B$19,0)))))</f>
        <v>0.000927583246642184</v>
      </c>
      <c r="AH62" s="3" t="str">
        <f aca="false">IF(OR(O62="Qualified",O62="Won",O62="Lost"),1,IF(O62="Unqualified",0,""))</f>
        <v/>
      </c>
    </row>
    <row r="63" customFormat="false" ht="15" hidden="false" customHeight="true" outlineLevel="0" collapsed="false">
      <c r="A63" s="3" t="s">
        <v>379</v>
      </c>
      <c r="B63" s="9" t="n">
        <v>45965.6201388889</v>
      </c>
      <c r="C63" s="3" t="s">
        <v>128</v>
      </c>
      <c r="D63" s="3" t="s">
        <v>380</v>
      </c>
      <c r="E63" s="3" t="s">
        <v>381</v>
      </c>
      <c r="F63" s="3" t="s">
        <v>22</v>
      </c>
      <c r="G63" s="3" t="s">
        <v>382</v>
      </c>
      <c r="H63" s="3" t="s">
        <v>383</v>
      </c>
      <c r="I63" s="3" t="s">
        <v>56</v>
      </c>
      <c r="J63" s="3" t="s">
        <v>57</v>
      </c>
      <c r="K63" s="3" t="s">
        <v>384</v>
      </c>
      <c r="L63" s="3" t="n">
        <v>2</v>
      </c>
      <c r="M63" s="3" t="n">
        <v>35.6</v>
      </c>
      <c r="N63" s="3" t="s">
        <v>59</v>
      </c>
      <c r="O63" s="3"/>
      <c r="P63" s="10"/>
      <c r="Q63" s="3" t="n">
        <f aca="false">IF(F63="Disposable",1,0)</f>
        <v>0</v>
      </c>
      <c r="R63" s="3" t="n">
        <f aca="false">IF(SUMPRODUCT(--ISNUMBER(SEARCH('Spam Rules'!$A$22:$A$35,K63)))&gt;0,1,0)</f>
        <v>0</v>
      </c>
      <c r="S63" s="3" t="n">
        <f aca="false">IF(AND(F63="Free",G63=""),1,0)</f>
        <v>0</v>
      </c>
      <c r="T63" s="3" t="n">
        <f aca="false">IF(LEN(TRIM(K63))&lt;15,1,0)</f>
        <v>0</v>
      </c>
      <c r="U63" s="3" t="n">
        <f aca="false">IF(COUNTIF($E$2:$E$801,E63)&gt;1,1,0)</f>
        <v>0</v>
      </c>
      <c r="V63" s="3" t="n">
        <f aca="false">Q63*'Spam Rules'!$H$6+R63*'Spam Rules'!$H$7+S63*'Spam Rules'!$H$8+T63*'Spam Rules'!$H$9+U63*'Spam Rules'!$H$10</f>
        <v>0</v>
      </c>
      <c r="W63" s="3" t="str">
        <f aca="false">IF(V63&gt;='Spam Rules'!$B$3,"Likely Spam","Genuine")</f>
        <v>Genuine</v>
      </c>
      <c r="X63" s="3" t="n">
        <f aca="false">IFERROR(INDEX('Scoring Model'!$B$5:$B$11,MATCH(C63,'Scoring Model'!$A$5:$A$11,0)),0)</f>
        <v>30</v>
      </c>
      <c r="Y63" s="3" t="n">
        <f aca="false">IFERROR(INDEX('Scoring Model'!$E$5:$E$7,MATCH(F63,'Scoring Model'!$D$5:$D$7,0)),0)</f>
        <v>20</v>
      </c>
      <c r="Z63" s="3" t="n">
        <f aca="false">IFERROR(INDEX('Scoring Model'!$H$5:$H$13,MATCH(J63,'Scoring Model'!$G$5:$G$13,0)),0)</f>
        <v>15</v>
      </c>
      <c r="AA63" s="3" t="n">
        <f aca="false">IF(L63&gt;='Scoring Model'!$B$14,'Scoring Model'!$B$15,IF(L63&gt;='Scoring Model'!$B$16,'Scoring Model'!$B$17,0))</f>
        <v>0</v>
      </c>
      <c r="AB63" s="3" t="n">
        <f aca="false">IF(SUMPRODUCT(--ISNUMBER(SEARCH('Scoring Model'!$D$16:$D$25,K63)))&gt;0,'Scoring Model'!$B$18,0)</f>
        <v>15</v>
      </c>
      <c r="AC63" s="3" t="n">
        <f aca="false">IF(SUMPRODUCT(--ISNUMBER(SEARCH('Scoring Model'!$G$16:$G$23,K63)))&gt;0,'Scoring Model'!$B$19,0)</f>
        <v>0</v>
      </c>
      <c r="AD63" s="3" t="n">
        <f aca="false">IF(W63="Likely Spam","",SUM(X63:AC63))</f>
        <v>80</v>
      </c>
      <c r="AE63" s="3" t="str">
        <f aca="false">IF(W63="Likely Spam","Spam",IF(AD63&gt;='Scoring Model'!$B$21,"Hot",IF(AD63&gt;='Scoring Model'!$B$22,"Warm","Nurture")))</f>
        <v>Hot</v>
      </c>
      <c r="AF63" s="3" t="str">
        <f aca="false">IF(W63="Likely Spam","Flagged by spam rules",TRIM(IF(X63&gt;=20,"Strong source. ","")&amp;IF(Y63&gt;0,"Company email. ","")&amp;IF(Z63&gt;=15,"High-value product. ","")&amp;IF(AA63&gt;='Scoring Model'!$B$15,"High engagement. ","")&amp;IF(AB63&gt;0,"Buying intent in message. ","")&amp;IF(AC63&lt;0,"Negative intent in message. ","")))</f>
        <v>Strong source. Company email. High-value product. Buying intent in message.</v>
      </c>
      <c r="AG63" s="11" t="n">
        <f aca="false">IF(W63="Likely Spam","",1/(1+EXP(-('Conversion Model'!$B$5+IFERROR(INDEX('Conversion Model'!$B$8:$B$14,MATCH(C63,'Conversion Model'!$A$8:$A$14,0)),0)+IFERROR(INDEX('Conversion Model'!$E$8:$E$9,MATCH(F63,'Conversion Model'!$D$8:$D$9,0)),0)+IFERROR(INDEX('Conversion Model'!$H$8:$H$12,MATCH(IF(LEFT(J63,8)="Payments","Payments",IF(LEFT(J63,7)="Lending","Lending",J63)),'Conversion Model'!$G$8:$G$12,0)),0)+MIN(L63,15)*'Conversion Model'!$B$17+IF(SUMPRODUCT(--ISNUMBER(SEARCH('Scoring Model'!$D$16:$D$25,K63)))&gt;0,'Conversion Model'!$B$18,0)+IF(SUMPRODUCT(--ISNUMBER(SEARCH('Scoring Model'!$G$16:$G$23,K63)))&gt;0,'Conversion Model'!$B$19,0)))))</f>
        <v>0.395320915285991</v>
      </c>
      <c r="AH63" s="3" t="str">
        <f aca="false">IF(OR(O63="Qualified",O63="Won",O63="Lost"),1,IF(O63="Unqualified",0,""))</f>
        <v/>
      </c>
    </row>
    <row r="64" customFormat="false" ht="15" hidden="false" customHeight="true" outlineLevel="0" collapsed="false">
      <c r="A64" s="3" t="s">
        <v>385</v>
      </c>
      <c r="B64" s="9" t="n">
        <v>45965.8458333333</v>
      </c>
      <c r="C64" s="3" t="s">
        <v>76</v>
      </c>
      <c r="D64" s="3" t="s">
        <v>386</v>
      </c>
      <c r="E64" s="3" t="s">
        <v>387</v>
      </c>
      <c r="F64" s="3" t="s">
        <v>22</v>
      </c>
      <c r="G64" s="3" t="s">
        <v>321</v>
      </c>
      <c r="H64" s="3" t="s">
        <v>388</v>
      </c>
      <c r="I64" s="3" t="s">
        <v>188</v>
      </c>
      <c r="J64" s="3" t="s">
        <v>65</v>
      </c>
      <c r="K64" s="3" t="s">
        <v>170</v>
      </c>
      <c r="L64" s="3" t="n">
        <v>1</v>
      </c>
      <c r="M64" s="3"/>
      <c r="N64" s="3" t="s">
        <v>67</v>
      </c>
      <c r="O64" s="3" t="s">
        <v>68</v>
      </c>
      <c r="P64" s="10"/>
      <c r="Q64" s="3" t="n">
        <f aca="false">IF(F64="Disposable",1,0)</f>
        <v>0</v>
      </c>
      <c r="R64" s="3" t="n">
        <f aca="false">IF(SUMPRODUCT(--ISNUMBER(SEARCH('Spam Rules'!$A$22:$A$35,K64)))&gt;0,1,0)</f>
        <v>0</v>
      </c>
      <c r="S64" s="3" t="n">
        <f aca="false">IF(AND(F64="Free",G64=""),1,0)</f>
        <v>0</v>
      </c>
      <c r="T64" s="3" t="n">
        <f aca="false">IF(LEN(TRIM(K64))&lt;15,1,0)</f>
        <v>1</v>
      </c>
      <c r="U64" s="3" t="n">
        <f aca="false">IF(COUNTIF($E$2:$E$801,E64)&gt;1,1,0)</f>
        <v>1</v>
      </c>
      <c r="V64" s="3" t="n">
        <f aca="false">Q64*'Spam Rules'!$H$6+R64*'Spam Rules'!$H$7+S64*'Spam Rules'!$H$8+T64*'Spam Rules'!$H$9+U64*'Spam Rules'!$H$10</f>
        <v>1</v>
      </c>
      <c r="W64" s="3" t="str">
        <f aca="false">IF(V64&gt;='Spam Rules'!$B$3,"Likely Spam","Genuine")</f>
        <v>Likely Spam</v>
      </c>
      <c r="X64" s="3" t="n">
        <f aca="false">IFERROR(INDEX('Scoring Model'!$B$5:$B$11,MATCH(C64,'Scoring Model'!$A$5:$A$11,0)),0)</f>
        <v>0</v>
      </c>
      <c r="Y64" s="3" t="n">
        <f aca="false">IFERROR(INDEX('Scoring Model'!$E$5:$E$7,MATCH(F64,'Scoring Model'!$D$5:$D$7,0)),0)</f>
        <v>20</v>
      </c>
      <c r="Z64" s="3" t="n">
        <f aca="false">IFERROR(INDEX('Scoring Model'!$H$5:$H$13,MATCH(J64,'Scoring Model'!$G$5:$G$13,0)),0)</f>
        <v>0</v>
      </c>
      <c r="AA64" s="3" t="n">
        <f aca="false">IF(L64&gt;='Scoring Model'!$B$14,'Scoring Model'!$B$15,IF(L64&gt;='Scoring Model'!$B$16,'Scoring Model'!$B$17,0))</f>
        <v>0</v>
      </c>
      <c r="AB64" s="3" t="n">
        <f aca="false">IF(SUMPRODUCT(--ISNUMBER(SEARCH('Scoring Model'!$D$16:$D$25,K64)))&gt;0,'Scoring Model'!$B$18,0)</f>
        <v>0</v>
      </c>
      <c r="AC64" s="3" t="n">
        <f aca="false">IF(SUMPRODUCT(--ISNUMBER(SEARCH('Scoring Model'!$G$16:$G$23,K64)))&gt;0,'Scoring Model'!$B$19,0)</f>
        <v>0</v>
      </c>
      <c r="AD64" s="3" t="str">
        <f aca="false">IF(W64="Likely Spam","",SUM(X64:AC64))</f>
        <v/>
      </c>
      <c r="AE64" s="3" t="str">
        <f aca="false">IF(W64="Likely Spam","Spam",IF(AD64&gt;='Scoring Model'!$B$21,"Hot",IF(AD64&gt;='Scoring Model'!$B$22,"Warm","Nurture")))</f>
        <v>Spam</v>
      </c>
      <c r="AF64" s="3" t="str">
        <f aca="false">IF(W64="Likely Spam","Flagged by spam rules",TRIM(IF(X64&gt;=20,"Strong source. ","")&amp;IF(Y64&gt;0,"Company email. ","")&amp;IF(Z64&gt;=15,"High-value product. ","")&amp;IF(AA64&gt;='Scoring Model'!$B$15,"High engagement. ","")&amp;IF(AB64&gt;0,"Buying intent in message. ","")&amp;IF(AC64&lt;0,"Negative intent in message. ","")))</f>
        <v>Flagged by spam rules</v>
      </c>
      <c r="AG64" s="11" t="str">
        <f aca="false">IF(W64="Likely Spam","",1/(1+EXP(-('Conversion Model'!$B$5+IFERROR(INDEX('Conversion Model'!$B$8:$B$14,MATCH(C64,'Conversion Model'!$A$8:$A$14,0)),0)+IFERROR(INDEX('Conversion Model'!$E$8:$E$9,MATCH(F64,'Conversion Model'!$D$8:$D$9,0)),0)+IFERROR(INDEX('Conversion Model'!$H$8:$H$12,MATCH(IF(LEFT(J64,8)="Payments","Payments",IF(LEFT(J64,7)="Lending","Lending",J64)),'Conversion Model'!$G$8:$G$12,0)),0)+MIN(L64,15)*'Conversion Model'!$B$17+IF(SUMPRODUCT(--ISNUMBER(SEARCH('Scoring Model'!$D$16:$D$25,K64)))&gt;0,'Conversion Model'!$B$18,0)+IF(SUMPRODUCT(--ISNUMBER(SEARCH('Scoring Model'!$G$16:$G$23,K64)))&gt;0,'Conversion Model'!$B$19,0)))))</f>
        <v/>
      </c>
      <c r="AH64" s="3" t="str">
        <f aca="false">IF(OR(O64="Qualified",O64="Won",O64="Lost"),1,IF(O64="Unqualified",0,""))</f>
        <v/>
      </c>
    </row>
    <row r="65" customFormat="false" ht="15" hidden="false" customHeight="true" outlineLevel="0" collapsed="false">
      <c r="A65" s="3" t="s">
        <v>389</v>
      </c>
      <c r="B65" s="9" t="n">
        <v>45966.3006944444</v>
      </c>
      <c r="C65" s="3" t="s">
        <v>128</v>
      </c>
      <c r="D65" s="3" t="s">
        <v>248</v>
      </c>
      <c r="E65" s="3" t="s">
        <v>390</v>
      </c>
      <c r="F65" s="3" t="s">
        <v>22</v>
      </c>
      <c r="G65" s="3" t="s">
        <v>175</v>
      </c>
      <c r="H65" s="3" t="s">
        <v>176</v>
      </c>
      <c r="I65" s="3" t="s">
        <v>334</v>
      </c>
      <c r="J65" s="3" t="s">
        <v>81</v>
      </c>
      <c r="K65" s="3" t="s">
        <v>213</v>
      </c>
      <c r="L65" s="3" t="n">
        <v>3</v>
      </c>
      <c r="M65" s="3" t="n">
        <v>25.2</v>
      </c>
      <c r="N65" s="3" t="s">
        <v>171</v>
      </c>
      <c r="O65" s="3"/>
      <c r="P65" s="10"/>
      <c r="Q65" s="3" t="n">
        <f aca="false">IF(F65="Disposable",1,0)</f>
        <v>0</v>
      </c>
      <c r="R65" s="3" t="n">
        <f aca="false">IF(SUMPRODUCT(--ISNUMBER(SEARCH('Spam Rules'!$A$22:$A$35,K65)))&gt;0,1,0)</f>
        <v>0</v>
      </c>
      <c r="S65" s="3" t="n">
        <f aca="false">IF(AND(F65="Free",G65=""),1,0)</f>
        <v>0</v>
      </c>
      <c r="T65" s="3" t="n">
        <f aca="false">IF(LEN(TRIM(K65))&lt;15,1,0)</f>
        <v>0</v>
      </c>
      <c r="U65" s="3" t="n">
        <f aca="false">IF(COUNTIF($E$2:$E$801,E65)&gt;1,1,0)</f>
        <v>0</v>
      </c>
      <c r="V65" s="3" t="n">
        <f aca="false">Q65*'Spam Rules'!$H$6+R65*'Spam Rules'!$H$7+S65*'Spam Rules'!$H$8+T65*'Spam Rules'!$H$9+U65*'Spam Rules'!$H$10</f>
        <v>0</v>
      </c>
      <c r="W65" s="3" t="str">
        <f aca="false">IF(V65&gt;='Spam Rules'!$B$3,"Likely Spam","Genuine")</f>
        <v>Genuine</v>
      </c>
      <c r="X65" s="3" t="n">
        <f aca="false">IFERROR(INDEX('Scoring Model'!$B$5:$B$11,MATCH(C65,'Scoring Model'!$A$5:$A$11,0)),0)</f>
        <v>30</v>
      </c>
      <c r="Y65" s="3" t="n">
        <f aca="false">IFERROR(INDEX('Scoring Model'!$E$5:$E$7,MATCH(F65,'Scoring Model'!$D$5:$D$7,0)),0)</f>
        <v>20</v>
      </c>
      <c r="Z65" s="3" t="n">
        <f aca="false">IFERROR(INDEX('Scoring Model'!$H$5:$H$13,MATCH(J65,'Scoring Model'!$G$5:$G$13,0)),0)</f>
        <v>5</v>
      </c>
      <c r="AA65" s="3" t="n">
        <f aca="false">IF(L65&gt;='Scoring Model'!$B$14,'Scoring Model'!$B$15,IF(L65&gt;='Scoring Model'!$B$16,'Scoring Model'!$B$17,0))</f>
        <v>0</v>
      </c>
      <c r="AB65" s="3" t="n">
        <f aca="false">IF(SUMPRODUCT(--ISNUMBER(SEARCH('Scoring Model'!$D$16:$D$25,K65)))&gt;0,'Scoring Model'!$B$18,0)</f>
        <v>0</v>
      </c>
      <c r="AC65" s="3" t="n">
        <f aca="false">IF(SUMPRODUCT(--ISNUMBER(SEARCH('Scoring Model'!$G$16:$G$23,K65)))&gt;0,'Scoring Model'!$B$19,0)</f>
        <v>-30</v>
      </c>
      <c r="AD65" s="3" t="n">
        <f aca="false">IF(W65="Likely Spam","",SUM(X65:AC65))</f>
        <v>25</v>
      </c>
      <c r="AE65" s="3" t="str">
        <f aca="false">IF(W65="Likely Spam","Spam",IF(AD65&gt;='Scoring Model'!$B$21,"Hot",IF(AD65&gt;='Scoring Model'!$B$22,"Warm","Nurture")))</f>
        <v>Nurture</v>
      </c>
      <c r="AF65" s="3" t="str">
        <f aca="false">IF(W65="Likely Spam","Flagged by spam rules",TRIM(IF(X65&gt;=20,"Strong source. ","")&amp;IF(Y65&gt;0,"Company email. ","")&amp;IF(Z65&gt;=15,"High-value product. ","")&amp;IF(AA65&gt;='Scoring Model'!$B$15,"High engagement. ","")&amp;IF(AB65&gt;0,"Buying intent in message. ","")&amp;IF(AC65&lt;0,"Negative intent in message. ","")))</f>
        <v>Strong source. Company email. Negative intent in message.</v>
      </c>
      <c r="AG65" s="11" t="n">
        <f aca="false">IF(W65="Likely Spam","",1/(1+EXP(-('Conversion Model'!$B$5+IFERROR(INDEX('Conversion Model'!$B$8:$B$14,MATCH(C65,'Conversion Model'!$A$8:$A$14,0)),0)+IFERROR(INDEX('Conversion Model'!$E$8:$E$9,MATCH(F65,'Conversion Model'!$D$8:$D$9,0)),0)+IFERROR(INDEX('Conversion Model'!$H$8:$H$12,MATCH(IF(LEFT(J65,8)="Payments","Payments",IF(LEFT(J65,7)="Lending","Lending",J65)),'Conversion Model'!$G$8:$G$12,0)),0)+MIN(L65,15)*'Conversion Model'!$B$17+IF(SUMPRODUCT(--ISNUMBER(SEARCH('Scoring Model'!$D$16:$D$25,K65)))&gt;0,'Conversion Model'!$B$18,0)+IF(SUMPRODUCT(--ISNUMBER(SEARCH('Scoring Model'!$G$16:$G$23,K65)))&gt;0,'Conversion Model'!$B$19,0)))))</f>
        <v>0.0288043926305364</v>
      </c>
      <c r="AH65" s="3" t="str">
        <f aca="false">IF(OR(O65="Qualified",O65="Won",O65="Lost"),1,IF(O65="Unqualified",0,""))</f>
        <v/>
      </c>
    </row>
    <row r="66" customFormat="false" ht="15" hidden="false" customHeight="true" outlineLevel="0" collapsed="false">
      <c r="A66" s="3" t="s">
        <v>391</v>
      </c>
      <c r="B66" s="9" t="n">
        <v>45966.8270833333</v>
      </c>
      <c r="C66" s="3" t="s">
        <v>135</v>
      </c>
      <c r="D66" s="3" t="s">
        <v>392</v>
      </c>
      <c r="E66" s="3" t="s">
        <v>393</v>
      </c>
      <c r="F66" s="3" t="s">
        <v>22</v>
      </c>
      <c r="G66" s="3" t="s">
        <v>394</v>
      </c>
      <c r="H66" s="3" t="s">
        <v>395</v>
      </c>
      <c r="I66" s="3" t="s">
        <v>260</v>
      </c>
      <c r="J66" s="3" t="s">
        <v>245</v>
      </c>
      <c r="K66" s="3" t="s">
        <v>396</v>
      </c>
      <c r="L66" s="3" t="n">
        <v>11</v>
      </c>
      <c r="M66" s="3" t="n">
        <v>28.5</v>
      </c>
      <c r="N66" s="3" t="s">
        <v>67</v>
      </c>
      <c r="O66" s="3" t="s">
        <v>110</v>
      </c>
      <c r="P66" s="10"/>
      <c r="Q66" s="3" t="n">
        <f aca="false">IF(F66="Disposable",1,0)</f>
        <v>0</v>
      </c>
      <c r="R66" s="3" t="n">
        <f aca="false">IF(SUMPRODUCT(--ISNUMBER(SEARCH('Spam Rules'!$A$22:$A$35,K66)))&gt;0,1,0)</f>
        <v>0</v>
      </c>
      <c r="S66" s="3" t="n">
        <f aca="false">IF(AND(F66="Free",G66=""),1,0)</f>
        <v>0</v>
      </c>
      <c r="T66" s="3" t="n">
        <f aca="false">IF(LEN(TRIM(K66))&lt;15,1,0)</f>
        <v>0</v>
      </c>
      <c r="U66" s="3" t="n">
        <f aca="false">IF(COUNTIF($E$2:$E$801,E66)&gt;1,1,0)</f>
        <v>0</v>
      </c>
      <c r="V66" s="3" t="n">
        <f aca="false">Q66*'Spam Rules'!$H$6+R66*'Spam Rules'!$H$7+S66*'Spam Rules'!$H$8+T66*'Spam Rules'!$H$9+U66*'Spam Rules'!$H$10</f>
        <v>0</v>
      </c>
      <c r="W66" s="3" t="str">
        <f aca="false">IF(V66&gt;='Spam Rules'!$B$3,"Likely Spam","Genuine")</f>
        <v>Genuine</v>
      </c>
      <c r="X66" s="3" t="n">
        <f aca="false">IFERROR(INDEX('Scoring Model'!$B$5:$B$11,MATCH(C66,'Scoring Model'!$A$5:$A$11,0)),0)</f>
        <v>20</v>
      </c>
      <c r="Y66" s="3" t="n">
        <f aca="false">IFERROR(INDEX('Scoring Model'!$E$5:$E$7,MATCH(F66,'Scoring Model'!$D$5:$D$7,0)),0)</f>
        <v>20</v>
      </c>
      <c r="Z66" s="3" t="n">
        <f aca="false">IFERROR(INDEX('Scoring Model'!$H$5:$H$13,MATCH(J66,'Scoring Model'!$G$5:$G$13,0)),0)</f>
        <v>15</v>
      </c>
      <c r="AA66" s="3" t="n">
        <f aca="false">IF(L66&gt;='Scoring Model'!$B$14,'Scoring Model'!$B$15,IF(L66&gt;='Scoring Model'!$B$16,'Scoring Model'!$B$17,0))</f>
        <v>15</v>
      </c>
      <c r="AB66" s="3" t="n">
        <f aca="false">IF(SUMPRODUCT(--ISNUMBER(SEARCH('Scoring Model'!$D$16:$D$25,K66)))&gt;0,'Scoring Model'!$B$18,0)</f>
        <v>15</v>
      </c>
      <c r="AC66" s="3" t="n">
        <f aca="false">IF(SUMPRODUCT(--ISNUMBER(SEARCH('Scoring Model'!$G$16:$G$23,K66)))&gt;0,'Scoring Model'!$B$19,0)</f>
        <v>0</v>
      </c>
      <c r="AD66" s="3" t="n">
        <f aca="false">IF(W66="Likely Spam","",SUM(X66:AC66))</f>
        <v>85</v>
      </c>
      <c r="AE66" s="3" t="str">
        <f aca="false">IF(W66="Likely Spam","Spam",IF(AD66&gt;='Scoring Model'!$B$21,"Hot",IF(AD66&gt;='Scoring Model'!$B$22,"Warm","Nurture")))</f>
        <v>Hot</v>
      </c>
      <c r="AF66" s="3" t="str">
        <f aca="false">IF(W66="Likely Spam","Flagged by spam rules",TRIM(IF(X66&gt;=20,"Strong source. ","")&amp;IF(Y66&gt;0,"Company email. ","")&amp;IF(Z66&gt;=15,"High-value product. ","")&amp;IF(AA66&gt;='Scoring Model'!$B$15,"High engagement. ","")&amp;IF(AB66&gt;0,"Buying intent in message. ","")&amp;IF(AC66&lt;0,"Negative intent in message. ","")))</f>
        <v>Strong source. Company email. High-value product. High engagement. Buying intent in message.</v>
      </c>
      <c r="AG66" s="11" t="n">
        <f aca="false">IF(W66="Likely Spam","",1/(1+EXP(-('Conversion Model'!$B$5+IFERROR(INDEX('Conversion Model'!$B$8:$B$14,MATCH(C66,'Conversion Model'!$A$8:$A$14,0)),0)+IFERROR(INDEX('Conversion Model'!$E$8:$E$9,MATCH(F66,'Conversion Model'!$D$8:$D$9,0)),0)+IFERROR(INDEX('Conversion Model'!$H$8:$H$12,MATCH(IF(LEFT(J66,8)="Payments","Payments",IF(LEFT(J66,7)="Lending","Lending",J66)),'Conversion Model'!$G$8:$G$12,0)),0)+MIN(L66,15)*'Conversion Model'!$B$17+IF(SUMPRODUCT(--ISNUMBER(SEARCH('Scoring Model'!$D$16:$D$25,K66)))&gt;0,'Conversion Model'!$B$18,0)+IF(SUMPRODUCT(--ISNUMBER(SEARCH('Scoring Model'!$G$16:$G$23,K66)))&gt;0,'Conversion Model'!$B$19,0)))))</f>
        <v>0.999393985229526</v>
      </c>
      <c r="AH66" s="3" t="n">
        <f aca="false">IF(OR(O66="Qualified",O66="Won",O66="Lost"),1,IF(O66="Unqualified",0,""))</f>
        <v>1</v>
      </c>
    </row>
    <row r="67" customFormat="false" ht="15" hidden="false" customHeight="true" outlineLevel="0" collapsed="false">
      <c r="A67" s="3" t="s">
        <v>397</v>
      </c>
      <c r="B67" s="9" t="n">
        <v>45967.2611111111</v>
      </c>
      <c r="C67" s="3" t="s">
        <v>135</v>
      </c>
      <c r="D67" s="3" t="s">
        <v>398</v>
      </c>
      <c r="E67" s="3" t="s">
        <v>399</v>
      </c>
      <c r="F67" s="3" t="s">
        <v>22</v>
      </c>
      <c r="G67" s="3" t="s">
        <v>400</v>
      </c>
      <c r="H67" s="3" t="s">
        <v>401</v>
      </c>
      <c r="I67" s="3" t="s">
        <v>260</v>
      </c>
      <c r="J67" s="3" t="s">
        <v>145</v>
      </c>
      <c r="K67" s="3" t="s">
        <v>193</v>
      </c>
      <c r="L67" s="3" t="n">
        <v>3</v>
      </c>
      <c r="M67" s="3" t="n">
        <v>21.8</v>
      </c>
      <c r="N67" s="3" t="s">
        <v>67</v>
      </c>
      <c r="O67" s="3" t="s">
        <v>194</v>
      </c>
      <c r="P67" s="10"/>
      <c r="Q67" s="3" t="n">
        <f aca="false">IF(F67="Disposable",1,0)</f>
        <v>0</v>
      </c>
      <c r="R67" s="3" t="n">
        <f aca="false">IF(SUMPRODUCT(--ISNUMBER(SEARCH('Spam Rules'!$A$22:$A$35,K67)))&gt;0,1,0)</f>
        <v>0</v>
      </c>
      <c r="S67" s="3" t="n">
        <f aca="false">IF(AND(F67="Free",G67=""),1,0)</f>
        <v>0</v>
      </c>
      <c r="T67" s="3" t="n">
        <f aca="false">IF(LEN(TRIM(K67))&lt;15,1,0)</f>
        <v>0</v>
      </c>
      <c r="U67" s="3" t="n">
        <f aca="false">IF(COUNTIF($E$2:$E$801,E67)&gt;1,1,0)</f>
        <v>0</v>
      </c>
      <c r="V67" s="3" t="n">
        <f aca="false">Q67*'Spam Rules'!$H$6+R67*'Spam Rules'!$H$7+S67*'Spam Rules'!$H$8+T67*'Spam Rules'!$H$9+U67*'Spam Rules'!$H$10</f>
        <v>0</v>
      </c>
      <c r="W67" s="3" t="str">
        <f aca="false">IF(V67&gt;='Spam Rules'!$B$3,"Likely Spam","Genuine")</f>
        <v>Genuine</v>
      </c>
      <c r="X67" s="3" t="n">
        <f aca="false">IFERROR(INDEX('Scoring Model'!$B$5:$B$11,MATCH(C67,'Scoring Model'!$A$5:$A$11,0)),0)</f>
        <v>20</v>
      </c>
      <c r="Y67" s="3" t="n">
        <f aca="false">IFERROR(INDEX('Scoring Model'!$E$5:$E$7,MATCH(F67,'Scoring Model'!$D$5:$D$7,0)),0)</f>
        <v>20</v>
      </c>
      <c r="Z67" s="3" t="n">
        <f aca="false">IFERROR(INDEX('Scoring Model'!$H$5:$H$13,MATCH(J67,'Scoring Model'!$G$5:$G$13,0)),0)</f>
        <v>5</v>
      </c>
      <c r="AA67" s="3" t="n">
        <f aca="false">IF(L67&gt;='Scoring Model'!$B$14,'Scoring Model'!$B$15,IF(L67&gt;='Scoring Model'!$B$16,'Scoring Model'!$B$17,0))</f>
        <v>0</v>
      </c>
      <c r="AB67" s="3" t="n">
        <f aca="false">IF(SUMPRODUCT(--ISNUMBER(SEARCH('Scoring Model'!$D$16:$D$25,K67)))&gt;0,'Scoring Model'!$B$18,0)</f>
        <v>0</v>
      </c>
      <c r="AC67" s="3" t="n">
        <f aca="false">IF(SUMPRODUCT(--ISNUMBER(SEARCH('Scoring Model'!$G$16:$G$23,K67)))&gt;0,'Scoring Model'!$B$19,0)</f>
        <v>-30</v>
      </c>
      <c r="AD67" s="3" t="n">
        <f aca="false">IF(W67="Likely Spam","",SUM(X67:AC67))</f>
        <v>15</v>
      </c>
      <c r="AE67" s="3" t="str">
        <f aca="false">IF(W67="Likely Spam","Spam",IF(AD67&gt;='Scoring Model'!$B$21,"Hot",IF(AD67&gt;='Scoring Model'!$B$22,"Warm","Nurture")))</f>
        <v>Nurture</v>
      </c>
      <c r="AF67" s="3" t="str">
        <f aca="false">IF(W67="Likely Spam","Flagged by spam rules",TRIM(IF(X67&gt;=20,"Strong source. ","")&amp;IF(Y67&gt;0,"Company email. ","")&amp;IF(Z67&gt;=15,"High-value product. ","")&amp;IF(AA67&gt;='Scoring Model'!$B$15,"High engagement. ","")&amp;IF(AB67&gt;0,"Buying intent in message. ","")&amp;IF(AC67&lt;0,"Negative intent in message. ","")))</f>
        <v>Strong source. Company email. Negative intent in message.</v>
      </c>
      <c r="AG67" s="11" t="n">
        <f aca="false">IF(W67="Likely Spam","",1/(1+EXP(-('Conversion Model'!$B$5+IFERROR(INDEX('Conversion Model'!$B$8:$B$14,MATCH(C67,'Conversion Model'!$A$8:$A$14,0)),0)+IFERROR(INDEX('Conversion Model'!$E$8:$E$9,MATCH(F67,'Conversion Model'!$D$8:$D$9,0)),0)+IFERROR(INDEX('Conversion Model'!$H$8:$H$12,MATCH(IF(LEFT(J67,8)="Payments","Payments",IF(LEFT(J67,7)="Lending","Lending",J67)),'Conversion Model'!$G$8:$G$12,0)),0)+MIN(L67,15)*'Conversion Model'!$B$17+IF(SUMPRODUCT(--ISNUMBER(SEARCH('Scoring Model'!$D$16:$D$25,K67)))&gt;0,'Conversion Model'!$B$18,0)+IF(SUMPRODUCT(--ISNUMBER(SEARCH('Scoring Model'!$G$16:$G$23,K67)))&gt;0,'Conversion Model'!$B$19,0)))))</f>
        <v>0.0359504878545623</v>
      </c>
      <c r="AH67" s="3" t="n">
        <f aca="false">IF(OR(O67="Qualified",O67="Won",O67="Lost"),1,IF(O67="Unqualified",0,""))</f>
        <v>0</v>
      </c>
    </row>
    <row r="68" customFormat="false" ht="15" hidden="false" customHeight="true" outlineLevel="0" collapsed="false">
      <c r="A68" s="3" t="s">
        <v>402</v>
      </c>
      <c r="B68" s="9" t="n">
        <v>45967.2819444445</v>
      </c>
      <c r="C68" s="3" t="s">
        <v>76</v>
      </c>
      <c r="D68" s="3" t="s">
        <v>403</v>
      </c>
      <c r="E68" s="3" t="s">
        <v>404</v>
      </c>
      <c r="F68" s="3" t="s">
        <v>54</v>
      </c>
      <c r="G68" s="3"/>
      <c r="H68" s="3"/>
      <c r="I68" s="3" t="s">
        <v>80</v>
      </c>
      <c r="J68" s="3" t="s">
        <v>145</v>
      </c>
      <c r="K68" s="3" t="s">
        <v>193</v>
      </c>
      <c r="L68" s="3" t="n">
        <v>3</v>
      </c>
      <c r="M68" s="3" t="n">
        <v>22.2</v>
      </c>
      <c r="N68" s="3" t="s">
        <v>67</v>
      </c>
      <c r="O68" s="3" t="s">
        <v>194</v>
      </c>
      <c r="P68" s="10"/>
      <c r="Q68" s="3" t="n">
        <f aca="false">IF(F68="Disposable",1,0)</f>
        <v>0</v>
      </c>
      <c r="R68" s="3" t="n">
        <f aca="false">IF(SUMPRODUCT(--ISNUMBER(SEARCH('Spam Rules'!$A$22:$A$35,K68)))&gt;0,1,0)</f>
        <v>0</v>
      </c>
      <c r="S68" s="3" t="n">
        <f aca="false">IF(AND(F68="Free",G68=""),1,0)</f>
        <v>1</v>
      </c>
      <c r="T68" s="3" t="n">
        <f aca="false">IF(LEN(TRIM(K68))&lt;15,1,0)</f>
        <v>0</v>
      </c>
      <c r="U68" s="3" t="n">
        <f aca="false">IF(COUNTIF($E$2:$E$801,E68)&gt;1,1,0)</f>
        <v>0</v>
      </c>
      <c r="V68" s="3" t="n">
        <f aca="false">Q68*'Spam Rules'!$H$6+R68*'Spam Rules'!$H$7+S68*'Spam Rules'!$H$8+T68*'Spam Rules'!$H$9+U68*'Spam Rules'!$H$10</f>
        <v>0</v>
      </c>
      <c r="W68" s="3" t="str">
        <f aca="false">IF(V68&gt;='Spam Rules'!$B$3,"Likely Spam","Genuine")</f>
        <v>Genuine</v>
      </c>
      <c r="X68" s="3" t="n">
        <f aca="false">IFERROR(INDEX('Scoring Model'!$B$5:$B$11,MATCH(C68,'Scoring Model'!$A$5:$A$11,0)),0)</f>
        <v>0</v>
      </c>
      <c r="Y68" s="3" t="n">
        <f aca="false">IFERROR(INDEX('Scoring Model'!$E$5:$E$7,MATCH(F68,'Scoring Model'!$D$5:$D$7,0)),0)</f>
        <v>0</v>
      </c>
      <c r="Z68" s="3" t="n">
        <f aca="false">IFERROR(INDEX('Scoring Model'!$H$5:$H$13,MATCH(J68,'Scoring Model'!$G$5:$G$13,0)),0)</f>
        <v>5</v>
      </c>
      <c r="AA68" s="3" t="n">
        <f aca="false">IF(L68&gt;='Scoring Model'!$B$14,'Scoring Model'!$B$15,IF(L68&gt;='Scoring Model'!$B$16,'Scoring Model'!$B$17,0))</f>
        <v>0</v>
      </c>
      <c r="AB68" s="3" t="n">
        <f aca="false">IF(SUMPRODUCT(--ISNUMBER(SEARCH('Scoring Model'!$D$16:$D$25,K68)))&gt;0,'Scoring Model'!$B$18,0)</f>
        <v>0</v>
      </c>
      <c r="AC68" s="3" t="n">
        <f aca="false">IF(SUMPRODUCT(--ISNUMBER(SEARCH('Scoring Model'!$G$16:$G$23,K68)))&gt;0,'Scoring Model'!$B$19,0)</f>
        <v>-30</v>
      </c>
      <c r="AD68" s="3" t="n">
        <f aca="false">IF(W68="Likely Spam","",SUM(X68:AC68))</f>
        <v>-25</v>
      </c>
      <c r="AE68" s="3" t="str">
        <f aca="false">IF(W68="Likely Spam","Spam",IF(AD68&gt;='Scoring Model'!$B$21,"Hot",IF(AD68&gt;='Scoring Model'!$B$22,"Warm","Nurture")))</f>
        <v>Nurture</v>
      </c>
      <c r="AF68" s="3" t="str">
        <f aca="false">IF(W68="Likely Spam","Flagged by spam rules",TRIM(IF(X68&gt;=20,"Strong source. ","")&amp;IF(Y68&gt;0,"Company email. ","")&amp;IF(Z68&gt;=15,"High-value product. ","")&amp;IF(AA68&gt;='Scoring Model'!$B$15,"High engagement. ","")&amp;IF(AB68&gt;0,"Buying intent in message. ","")&amp;IF(AC68&lt;0,"Negative intent in message. ","")))</f>
        <v>Negative intent in message.</v>
      </c>
      <c r="AG68" s="11" t="n">
        <f aca="false">IF(W68="Likely Spam","",1/(1+EXP(-('Conversion Model'!$B$5+IFERROR(INDEX('Conversion Model'!$B$8:$B$14,MATCH(C68,'Conversion Model'!$A$8:$A$14,0)),0)+IFERROR(INDEX('Conversion Model'!$E$8:$E$9,MATCH(F68,'Conversion Model'!$D$8:$D$9,0)),0)+IFERROR(INDEX('Conversion Model'!$H$8:$H$12,MATCH(IF(LEFT(J68,8)="Payments","Payments",IF(LEFT(J68,7)="Lending","Lending",J68)),'Conversion Model'!$G$8:$G$12,0)),0)+MIN(L68,15)*'Conversion Model'!$B$17+IF(SUMPRODUCT(--ISNUMBER(SEARCH('Scoring Model'!$D$16:$D$25,K68)))&gt;0,'Conversion Model'!$B$18,0)+IF(SUMPRODUCT(--ISNUMBER(SEARCH('Scoring Model'!$G$16:$G$23,K68)))&gt;0,'Conversion Model'!$B$19,0)))))</f>
        <v>0.00469290282354794</v>
      </c>
      <c r="AH68" s="3" t="n">
        <f aca="false">IF(OR(O68="Qualified",O68="Won",O68="Lost"),1,IF(O68="Unqualified",0,""))</f>
        <v>0</v>
      </c>
    </row>
    <row r="69" customFormat="false" ht="15" hidden="false" customHeight="true" outlineLevel="0" collapsed="false">
      <c r="A69" s="3" t="s">
        <v>405</v>
      </c>
      <c r="B69" s="9" t="n">
        <v>45968.3576388889</v>
      </c>
      <c r="C69" s="3" t="s">
        <v>51</v>
      </c>
      <c r="D69" s="3" t="s">
        <v>406</v>
      </c>
      <c r="E69" s="3" t="s">
        <v>407</v>
      </c>
      <c r="F69" s="3" t="s">
        <v>54</v>
      </c>
      <c r="G69" s="3"/>
      <c r="H69" s="3"/>
      <c r="I69" s="3" t="s">
        <v>56</v>
      </c>
      <c r="J69" s="3" t="s">
        <v>81</v>
      </c>
      <c r="K69" s="3" t="s">
        <v>82</v>
      </c>
      <c r="L69" s="3" t="n">
        <v>2</v>
      </c>
      <c r="M69" s="3" t="n">
        <v>32</v>
      </c>
      <c r="N69" s="3" t="s">
        <v>96</v>
      </c>
      <c r="O69" s="3"/>
      <c r="P69" s="10"/>
      <c r="Q69" s="3" t="n">
        <f aca="false">IF(F69="Disposable",1,0)</f>
        <v>0</v>
      </c>
      <c r="R69" s="3" t="n">
        <f aca="false">IF(SUMPRODUCT(--ISNUMBER(SEARCH('Spam Rules'!$A$22:$A$35,K69)))&gt;0,1,0)</f>
        <v>1</v>
      </c>
      <c r="S69" s="3" t="n">
        <f aca="false">IF(AND(F69="Free",G69=""),1,0)</f>
        <v>1</v>
      </c>
      <c r="T69" s="3" t="n">
        <f aca="false">IF(LEN(TRIM(K69))&lt;15,1,0)</f>
        <v>0</v>
      </c>
      <c r="U69" s="3" t="n">
        <f aca="false">IF(COUNTIF($E$2:$E$801,E69)&gt;1,1,0)</f>
        <v>0</v>
      </c>
      <c r="V69" s="3" t="n">
        <f aca="false">Q69*'Spam Rules'!$H$6+R69*'Spam Rules'!$H$7+S69*'Spam Rules'!$H$8+T69*'Spam Rules'!$H$9+U69*'Spam Rules'!$H$10</f>
        <v>1</v>
      </c>
      <c r="W69" s="3" t="str">
        <f aca="false">IF(V69&gt;='Spam Rules'!$B$3,"Likely Spam","Genuine")</f>
        <v>Likely Spam</v>
      </c>
      <c r="X69" s="3" t="n">
        <f aca="false">IFERROR(INDEX('Scoring Model'!$B$5:$B$11,MATCH(C69,'Scoring Model'!$A$5:$A$11,0)),0)</f>
        <v>10</v>
      </c>
      <c r="Y69" s="3" t="n">
        <f aca="false">IFERROR(INDEX('Scoring Model'!$E$5:$E$7,MATCH(F69,'Scoring Model'!$D$5:$D$7,0)),0)</f>
        <v>0</v>
      </c>
      <c r="Z69" s="3" t="n">
        <f aca="false">IFERROR(INDEX('Scoring Model'!$H$5:$H$13,MATCH(J69,'Scoring Model'!$G$5:$G$13,0)),0)</f>
        <v>5</v>
      </c>
      <c r="AA69" s="3" t="n">
        <f aca="false">IF(L69&gt;='Scoring Model'!$B$14,'Scoring Model'!$B$15,IF(L69&gt;='Scoring Model'!$B$16,'Scoring Model'!$B$17,0))</f>
        <v>0</v>
      </c>
      <c r="AB69" s="3" t="n">
        <f aca="false">IF(SUMPRODUCT(--ISNUMBER(SEARCH('Scoring Model'!$D$16:$D$25,K69)))&gt;0,'Scoring Model'!$B$18,0)</f>
        <v>0</v>
      </c>
      <c r="AC69" s="3" t="n">
        <f aca="false">IF(SUMPRODUCT(--ISNUMBER(SEARCH('Scoring Model'!$G$16:$G$23,K69)))&gt;0,'Scoring Model'!$B$19,0)</f>
        <v>0</v>
      </c>
      <c r="AD69" s="3" t="str">
        <f aca="false">IF(W69="Likely Spam","",SUM(X69:AC69))</f>
        <v/>
      </c>
      <c r="AE69" s="3" t="str">
        <f aca="false">IF(W69="Likely Spam","Spam",IF(AD69&gt;='Scoring Model'!$B$21,"Hot",IF(AD69&gt;='Scoring Model'!$B$22,"Warm","Nurture")))</f>
        <v>Spam</v>
      </c>
      <c r="AF69" s="3" t="str">
        <f aca="false">IF(W69="Likely Spam","Flagged by spam rules",TRIM(IF(X69&gt;=20,"Strong source. ","")&amp;IF(Y69&gt;0,"Company email. ","")&amp;IF(Z69&gt;=15,"High-value product. ","")&amp;IF(AA69&gt;='Scoring Model'!$B$15,"High engagement. ","")&amp;IF(AB69&gt;0,"Buying intent in message. ","")&amp;IF(AC69&lt;0,"Negative intent in message. ","")))</f>
        <v>Flagged by spam rules</v>
      </c>
      <c r="AG69" s="11" t="str">
        <f aca="false">IF(W69="Likely Spam","",1/(1+EXP(-('Conversion Model'!$B$5+IFERROR(INDEX('Conversion Model'!$B$8:$B$14,MATCH(C69,'Conversion Model'!$A$8:$A$14,0)),0)+IFERROR(INDEX('Conversion Model'!$E$8:$E$9,MATCH(F69,'Conversion Model'!$D$8:$D$9,0)),0)+IFERROR(INDEX('Conversion Model'!$H$8:$H$12,MATCH(IF(LEFT(J69,8)="Payments","Payments",IF(LEFT(J69,7)="Lending","Lending",J69)),'Conversion Model'!$G$8:$G$12,0)),0)+MIN(L69,15)*'Conversion Model'!$B$17+IF(SUMPRODUCT(--ISNUMBER(SEARCH('Scoring Model'!$D$16:$D$25,K69)))&gt;0,'Conversion Model'!$B$18,0)+IF(SUMPRODUCT(--ISNUMBER(SEARCH('Scoring Model'!$G$16:$G$23,K69)))&gt;0,'Conversion Model'!$B$19,0)))))</f>
        <v/>
      </c>
      <c r="AH69" s="3" t="str">
        <f aca="false">IF(OR(O69="Qualified",O69="Won",O69="Lost"),1,IF(O69="Unqualified",0,""))</f>
        <v/>
      </c>
    </row>
    <row r="70" customFormat="false" ht="15" hidden="false" customHeight="true" outlineLevel="0" collapsed="false">
      <c r="A70" s="3" t="s">
        <v>408</v>
      </c>
      <c r="B70" s="9" t="n">
        <v>45968.3576388889</v>
      </c>
      <c r="C70" s="3" t="s">
        <v>51</v>
      </c>
      <c r="D70" s="3" t="s">
        <v>409</v>
      </c>
      <c r="E70" s="3" t="s">
        <v>410</v>
      </c>
      <c r="F70" s="3" t="s">
        <v>54</v>
      </c>
      <c r="G70" s="3"/>
      <c r="H70" s="3"/>
      <c r="I70" s="3" t="s">
        <v>204</v>
      </c>
      <c r="J70" s="3" t="s">
        <v>65</v>
      </c>
      <c r="K70" s="3" t="s">
        <v>95</v>
      </c>
      <c r="L70" s="3" t="n">
        <v>1</v>
      </c>
      <c r="M70" s="3" t="n">
        <v>192.2</v>
      </c>
      <c r="N70" s="3" t="s">
        <v>96</v>
      </c>
      <c r="O70" s="3" t="s">
        <v>68</v>
      </c>
      <c r="P70" s="10"/>
      <c r="Q70" s="3" t="n">
        <f aca="false">IF(F70="Disposable",1,0)</f>
        <v>0</v>
      </c>
      <c r="R70" s="3" t="n">
        <f aca="false">IF(SUMPRODUCT(--ISNUMBER(SEARCH('Spam Rules'!$A$22:$A$35,K70)))&gt;0,1,0)</f>
        <v>1</v>
      </c>
      <c r="S70" s="3" t="n">
        <f aca="false">IF(AND(F70="Free",G70=""),1,0)</f>
        <v>1</v>
      </c>
      <c r="T70" s="3" t="n">
        <f aca="false">IF(LEN(TRIM(K70))&lt;15,1,0)</f>
        <v>0</v>
      </c>
      <c r="U70" s="3" t="n">
        <f aca="false">IF(COUNTIF($E$2:$E$801,E70)&gt;1,1,0)</f>
        <v>0</v>
      </c>
      <c r="V70" s="3" t="n">
        <f aca="false">Q70*'Spam Rules'!$H$6+R70*'Spam Rules'!$H$7+S70*'Spam Rules'!$H$8+T70*'Spam Rules'!$H$9+U70*'Spam Rules'!$H$10</f>
        <v>1</v>
      </c>
      <c r="W70" s="3" t="str">
        <f aca="false">IF(V70&gt;='Spam Rules'!$B$3,"Likely Spam","Genuine")</f>
        <v>Likely Spam</v>
      </c>
      <c r="X70" s="3" t="n">
        <f aca="false">IFERROR(INDEX('Scoring Model'!$B$5:$B$11,MATCH(C70,'Scoring Model'!$A$5:$A$11,0)),0)</f>
        <v>10</v>
      </c>
      <c r="Y70" s="3" t="n">
        <f aca="false">IFERROR(INDEX('Scoring Model'!$E$5:$E$7,MATCH(F70,'Scoring Model'!$D$5:$D$7,0)),0)</f>
        <v>0</v>
      </c>
      <c r="Z70" s="3" t="n">
        <f aca="false">IFERROR(INDEX('Scoring Model'!$H$5:$H$13,MATCH(J70,'Scoring Model'!$G$5:$G$13,0)),0)</f>
        <v>0</v>
      </c>
      <c r="AA70" s="3" t="n">
        <f aca="false">IF(L70&gt;='Scoring Model'!$B$14,'Scoring Model'!$B$15,IF(L70&gt;='Scoring Model'!$B$16,'Scoring Model'!$B$17,0))</f>
        <v>0</v>
      </c>
      <c r="AB70" s="3" t="n">
        <f aca="false">IF(SUMPRODUCT(--ISNUMBER(SEARCH('Scoring Model'!$D$16:$D$25,K70)))&gt;0,'Scoring Model'!$B$18,0)</f>
        <v>0</v>
      </c>
      <c r="AC70" s="3" t="n">
        <f aca="false">IF(SUMPRODUCT(--ISNUMBER(SEARCH('Scoring Model'!$G$16:$G$23,K70)))&gt;0,'Scoring Model'!$B$19,0)</f>
        <v>0</v>
      </c>
      <c r="AD70" s="3" t="str">
        <f aca="false">IF(W70="Likely Spam","",SUM(X70:AC70))</f>
        <v/>
      </c>
      <c r="AE70" s="3" t="str">
        <f aca="false">IF(W70="Likely Spam","Spam",IF(AD70&gt;='Scoring Model'!$B$21,"Hot",IF(AD70&gt;='Scoring Model'!$B$22,"Warm","Nurture")))</f>
        <v>Spam</v>
      </c>
      <c r="AF70" s="3" t="str">
        <f aca="false">IF(W70="Likely Spam","Flagged by spam rules",TRIM(IF(X70&gt;=20,"Strong source. ","")&amp;IF(Y70&gt;0,"Company email. ","")&amp;IF(Z70&gt;=15,"High-value product. ","")&amp;IF(AA70&gt;='Scoring Model'!$B$15,"High engagement. ","")&amp;IF(AB70&gt;0,"Buying intent in message. ","")&amp;IF(AC70&lt;0,"Negative intent in message. ","")))</f>
        <v>Flagged by spam rules</v>
      </c>
      <c r="AG70" s="11" t="str">
        <f aca="false">IF(W70="Likely Spam","",1/(1+EXP(-('Conversion Model'!$B$5+IFERROR(INDEX('Conversion Model'!$B$8:$B$14,MATCH(C70,'Conversion Model'!$A$8:$A$14,0)),0)+IFERROR(INDEX('Conversion Model'!$E$8:$E$9,MATCH(F70,'Conversion Model'!$D$8:$D$9,0)),0)+IFERROR(INDEX('Conversion Model'!$H$8:$H$12,MATCH(IF(LEFT(J70,8)="Payments","Payments",IF(LEFT(J70,7)="Lending","Lending",J70)),'Conversion Model'!$G$8:$G$12,0)),0)+MIN(L70,15)*'Conversion Model'!$B$17+IF(SUMPRODUCT(--ISNUMBER(SEARCH('Scoring Model'!$D$16:$D$25,K70)))&gt;0,'Conversion Model'!$B$18,0)+IF(SUMPRODUCT(--ISNUMBER(SEARCH('Scoring Model'!$G$16:$G$23,K70)))&gt;0,'Conversion Model'!$B$19,0)))))</f>
        <v/>
      </c>
      <c r="AH70" s="3" t="str">
        <f aca="false">IF(OR(O70="Qualified",O70="Won",O70="Lost"),1,IF(O70="Unqualified",0,""))</f>
        <v/>
      </c>
    </row>
    <row r="71" customFormat="false" ht="15" hidden="false" customHeight="true" outlineLevel="0" collapsed="false">
      <c r="A71" s="3" t="s">
        <v>411</v>
      </c>
      <c r="B71" s="9" t="n">
        <v>45968.4319444444</v>
      </c>
      <c r="C71" s="3" t="s">
        <v>76</v>
      </c>
      <c r="D71" s="3" t="s">
        <v>412</v>
      </c>
      <c r="E71" s="3" t="s">
        <v>413</v>
      </c>
      <c r="F71" s="3" t="s">
        <v>22</v>
      </c>
      <c r="G71" s="3" t="s">
        <v>414</v>
      </c>
      <c r="H71" s="3" t="s">
        <v>415</v>
      </c>
      <c r="I71" s="3" t="s">
        <v>64</v>
      </c>
      <c r="J71" s="3" t="s">
        <v>81</v>
      </c>
      <c r="K71" s="3" t="s">
        <v>213</v>
      </c>
      <c r="L71" s="3" t="n">
        <v>3</v>
      </c>
      <c r="M71" s="3" t="n">
        <v>130.4</v>
      </c>
      <c r="N71" s="3" t="s">
        <v>171</v>
      </c>
      <c r="O71" s="3"/>
      <c r="P71" s="10"/>
      <c r="Q71" s="3" t="n">
        <f aca="false">IF(F71="Disposable",1,0)</f>
        <v>0</v>
      </c>
      <c r="R71" s="3" t="n">
        <f aca="false">IF(SUMPRODUCT(--ISNUMBER(SEARCH('Spam Rules'!$A$22:$A$35,K71)))&gt;0,1,0)</f>
        <v>0</v>
      </c>
      <c r="S71" s="3" t="n">
        <f aca="false">IF(AND(F71="Free",G71=""),1,0)</f>
        <v>0</v>
      </c>
      <c r="T71" s="3" t="n">
        <f aca="false">IF(LEN(TRIM(K71))&lt;15,1,0)</f>
        <v>0</v>
      </c>
      <c r="U71" s="3" t="n">
        <f aca="false">IF(COUNTIF($E$2:$E$801,E71)&gt;1,1,0)</f>
        <v>0</v>
      </c>
      <c r="V71" s="3" t="n">
        <f aca="false">Q71*'Spam Rules'!$H$6+R71*'Spam Rules'!$H$7+S71*'Spam Rules'!$H$8+T71*'Spam Rules'!$H$9+U71*'Spam Rules'!$H$10</f>
        <v>0</v>
      </c>
      <c r="W71" s="3" t="str">
        <f aca="false">IF(V71&gt;='Spam Rules'!$B$3,"Likely Spam","Genuine")</f>
        <v>Genuine</v>
      </c>
      <c r="X71" s="3" t="n">
        <f aca="false">IFERROR(INDEX('Scoring Model'!$B$5:$B$11,MATCH(C71,'Scoring Model'!$A$5:$A$11,0)),0)</f>
        <v>0</v>
      </c>
      <c r="Y71" s="3" t="n">
        <f aca="false">IFERROR(INDEX('Scoring Model'!$E$5:$E$7,MATCH(F71,'Scoring Model'!$D$5:$D$7,0)),0)</f>
        <v>20</v>
      </c>
      <c r="Z71" s="3" t="n">
        <f aca="false">IFERROR(INDEX('Scoring Model'!$H$5:$H$13,MATCH(J71,'Scoring Model'!$G$5:$G$13,0)),0)</f>
        <v>5</v>
      </c>
      <c r="AA71" s="3" t="n">
        <f aca="false">IF(L71&gt;='Scoring Model'!$B$14,'Scoring Model'!$B$15,IF(L71&gt;='Scoring Model'!$B$16,'Scoring Model'!$B$17,0))</f>
        <v>0</v>
      </c>
      <c r="AB71" s="3" t="n">
        <f aca="false">IF(SUMPRODUCT(--ISNUMBER(SEARCH('Scoring Model'!$D$16:$D$25,K71)))&gt;0,'Scoring Model'!$B$18,0)</f>
        <v>0</v>
      </c>
      <c r="AC71" s="3" t="n">
        <f aca="false">IF(SUMPRODUCT(--ISNUMBER(SEARCH('Scoring Model'!$G$16:$G$23,K71)))&gt;0,'Scoring Model'!$B$19,0)</f>
        <v>-30</v>
      </c>
      <c r="AD71" s="3" t="n">
        <f aca="false">IF(W71="Likely Spam","",SUM(X71:AC71))</f>
        <v>-5</v>
      </c>
      <c r="AE71" s="3" t="str">
        <f aca="false">IF(W71="Likely Spam","Spam",IF(AD71&gt;='Scoring Model'!$B$21,"Hot",IF(AD71&gt;='Scoring Model'!$B$22,"Warm","Nurture")))</f>
        <v>Nurture</v>
      </c>
      <c r="AF71" s="3" t="str">
        <f aca="false">IF(W71="Likely Spam","Flagged by spam rules",TRIM(IF(X71&gt;=20,"Strong source. ","")&amp;IF(Y71&gt;0,"Company email. ","")&amp;IF(Z71&gt;=15,"High-value product. ","")&amp;IF(AA71&gt;='Scoring Model'!$B$15,"High engagement. ","")&amp;IF(AB71&gt;0,"Buying intent in message. ","")&amp;IF(AC71&lt;0,"Negative intent in message. ","")))</f>
        <v>Company email. Negative intent in message.</v>
      </c>
      <c r="AG71" s="11" t="n">
        <f aca="false">IF(W71="Likely Spam","",1/(1+EXP(-('Conversion Model'!$B$5+IFERROR(INDEX('Conversion Model'!$B$8:$B$14,MATCH(C71,'Conversion Model'!$A$8:$A$14,0)),0)+IFERROR(INDEX('Conversion Model'!$E$8:$E$9,MATCH(F71,'Conversion Model'!$D$8:$D$9,0)),0)+IFERROR(INDEX('Conversion Model'!$H$8:$H$12,MATCH(IF(LEFT(J71,8)="Payments","Payments",IF(LEFT(J71,7)="Lending","Lending",J71)),'Conversion Model'!$G$8:$G$12,0)),0)+MIN(L71,15)*'Conversion Model'!$B$17+IF(SUMPRODUCT(--ISNUMBER(SEARCH('Scoring Model'!$D$16:$D$25,K71)))&gt;0,'Conversion Model'!$B$18,0)+IF(SUMPRODUCT(--ISNUMBER(SEARCH('Scoring Model'!$G$16:$G$23,K71)))&gt;0,'Conversion Model'!$B$19,0)))))</f>
        <v>0.00652868269192171</v>
      </c>
      <c r="AH71" s="3" t="str">
        <f aca="false">IF(OR(O71="Qualified",O71="Won",O71="Lost"),1,IF(O71="Unqualified",0,""))</f>
        <v/>
      </c>
    </row>
    <row r="72" customFormat="false" ht="15" hidden="false" customHeight="true" outlineLevel="0" collapsed="false">
      <c r="A72" s="3" t="s">
        <v>416</v>
      </c>
      <c r="B72" s="9" t="n">
        <v>45968.5361111111</v>
      </c>
      <c r="C72" s="3" t="s">
        <v>160</v>
      </c>
      <c r="D72" s="3" t="s">
        <v>417</v>
      </c>
      <c r="E72" s="3" t="s">
        <v>418</v>
      </c>
      <c r="F72" s="3" t="s">
        <v>22</v>
      </c>
      <c r="G72" s="3" t="s">
        <v>367</v>
      </c>
      <c r="H72" s="3" t="s">
        <v>419</v>
      </c>
      <c r="I72" s="3" t="s">
        <v>204</v>
      </c>
      <c r="J72" s="3" t="s">
        <v>122</v>
      </c>
      <c r="K72" s="3" t="s">
        <v>420</v>
      </c>
      <c r="L72" s="3" t="n">
        <v>9</v>
      </c>
      <c r="M72" s="3" t="n">
        <v>10.2</v>
      </c>
      <c r="N72" s="3" t="s">
        <v>67</v>
      </c>
      <c r="O72" s="3" t="s">
        <v>331</v>
      </c>
      <c r="P72" s="10"/>
      <c r="Q72" s="3" t="n">
        <f aca="false">IF(F72="Disposable",1,0)</f>
        <v>0</v>
      </c>
      <c r="R72" s="3" t="n">
        <f aca="false">IF(SUMPRODUCT(--ISNUMBER(SEARCH('Spam Rules'!$A$22:$A$35,K72)))&gt;0,1,0)</f>
        <v>0</v>
      </c>
      <c r="S72" s="3" t="n">
        <f aca="false">IF(AND(F72="Free",G72=""),1,0)</f>
        <v>0</v>
      </c>
      <c r="T72" s="3" t="n">
        <f aca="false">IF(LEN(TRIM(K72))&lt;15,1,0)</f>
        <v>0</v>
      </c>
      <c r="U72" s="3" t="n">
        <f aca="false">IF(COUNTIF($E$2:$E$801,E72)&gt;1,1,0)</f>
        <v>0</v>
      </c>
      <c r="V72" s="3" t="n">
        <f aca="false">Q72*'Spam Rules'!$H$6+R72*'Spam Rules'!$H$7+S72*'Spam Rules'!$H$8+T72*'Spam Rules'!$H$9+U72*'Spam Rules'!$H$10</f>
        <v>0</v>
      </c>
      <c r="W72" s="3" t="str">
        <f aca="false">IF(V72&gt;='Spam Rules'!$B$3,"Likely Spam","Genuine")</f>
        <v>Genuine</v>
      </c>
      <c r="X72" s="3" t="n">
        <f aca="false">IFERROR(INDEX('Scoring Model'!$B$5:$B$11,MATCH(C72,'Scoring Model'!$A$5:$A$11,0)),0)</f>
        <v>25</v>
      </c>
      <c r="Y72" s="3" t="n">
        <f aca="false">IFERROR(INDEX('Scoring Model'!$E$5:$E$7,MATCH(F72,'Scoring Model'!$D$5:$D$7,0)),0)</f>
        <v>20</v>
      </c>
      <c r="Z72" s="3" t="n">
        <f aca="false">IFERROR(INDEX('Scoring Model'!$H$5:$H$13,MATCH(J72,'Scoring Model'!$G$5:$G$13,0)),0)</f>
        <v>15</v>
      </c>
      <c r="AA72" s="3" t="n">
        <f aca="false">IF(L72&gt;='Scoring Model'!$B$14,'Scoring Model'!$B$15,IF(L72&gt;='Scoring Model'!$B$16,'Scoring Model'!$B$17,0))</f>
        <v>15</v>
      </c>
      <c r="AB72" s="3" t="n">
        <f aca="false">IF(SUMPRODUCT(--ISNUMBER(SEARCH('Scoring Model'!$D$16:$D$25,K72)))&gt;0,'Scoring Model'!$B$18,0)</f>
        <v>15</v>
      </c>
      <c r="AC72" s="3" t="n">
        <f aca="false">IF(SUMPRODUCT(--ISNUMBER(SEARCH('Scoring Model'!$G$16:$G$23,K72)))&gt;0,'Scoring Model'!$B$19,0)</f>
        <v>0</v>
      </c>
      <c r="AD72" s="3" t="n">
        <f aca="false">IF(W72="Likely Spam","",SUM(X72:AC72))</f>
        <v>90</v>
      </c>
      <c r="AE72" s="3" t="str">
        <f aca="false">IF(W72="Likely Spam","Spam",IF(AD72&gt;='Scoring Model'!$B$21,"Hot",IF(AD72&gt;='Scoring Model'!$B$22,"Warm","Nurture")))</f>
        <v>Hot</v>
      </c>
      <c r="AF72" s="3" t="str">
        <f aca="false">IF(W72="Likely Spam","Flagged by spam rules",TRIM(IF(X72&gt;=20,"Strong source. ","")&amp;IF(Y72&gt;0,"Company email. ","")&amp;IF(Z72&gt;=15,"High-value product. ","")&amp;IF(AA72&gt;='Scoring Model'!$B$15,"High engagement. ","")&amp;IF(AB72&gt;0,"Buying intent in message. ","")&amp;IF(AC72&lt;0,"Negative intent in message. ","")))</f>
        <v>Strong source. Company email. High-value product. High engagement. Buying intent in message.</v>
      </c>
      <c r="AG72" s="11" t="n">
        <f aca="false">IF(W72="Likely Spam","",1/(1+EXP(-('Conversion Model'!$B$5+IFERROR(INDEX('Conversion Model'!$B$8:$B$14,MATCH(C72,'Conversion Model'!$A$8:$A$14,0)),0)+IFERROR(INDEX('Conversion Model'!$E$8:$E$9,MATCH(F72,'Conversion Model'!$D$8:$D$9,0)),0)+IFERROR(INDEX('Conversion Model'!$H$8:$H$12,MATCH(IF(LEFT(J72,8)="Payments","Payments",IF(LEFT(J72,7)="Lending","Lending",J72)),'Conversion Model'!$G$8:$G$12,0)),0)+MIN(L72,15)*'Conversion Model'!$B$17+IF(SUMPRODUCT(--ISNUMBER(SEARCH('Scoring Model'!$D$16:$D$25,K72)))&gt;0,'Conversion Model'!$B$18,0)+IF(SUMPRODUCT(--ISNUMBER(SEARCH('Scoring Model'!$G$16:$G$23,K72)))&gt;0,'Conversion Model'!$B$19,0)))))</f>
        <v>0.989121189982926</v>
      </c>
      <c r="AH72" s="3" t="n">
        <f aca="false">IF(OR(O72="Qualified",O72="Won",O72="Lost"),1,IF(O72="Unqualified",0,""))</f>
        <v>1</v>
      </c>
    </row>
    <row r="73" customFormat="false" ht="15" hidden="false" customHeight="true" outlineLevel="0" collapsed="false">
      <c r="A73" s="3" t="s">
        <v>421</v>
      </c>
      <c r="B73" s="9" t="n">
        <v>45968.5388888889</v>
      </c>
      <c r="C73" s="3" t="s">
        <v>76</v>
      </c>
      <c r="D73" s="3" t="s">
        <v>422</v>
      </c>
      <c r="E73" s="3" t="s">
        <v>423</v>
      </c>
      <c r="F73" s="3" t="s">
        <v>54</v>
      </c>
      <c r="G73" s="3" t="s">
        <v>424</v>
      </c>
      <c r="H73" s="3"/>
      <c r="I73" s="3" t="s">
        <v>260</v>
      </c>
      <c r="J73" s="3" t="s">
        <v>81</v>
      </c>
      <c r="K73" s="3" t="s">
        <v>213</v>
      </c>
      <c r="L73" s="3" t="n">
        <v>2</v>
      </c>
      <c r="M73" s="3" t="n">
        <v>7.4</v>
      </c>
      <c r="N73" s="3" t="s">
        <v>171</v>
      </c>
      <c r="O73" s="3" t="s">
        <v>194</v>
      </c>
      <c r="P73" s="10"/>
      <c r="Q73" s="3" t="n">
        <f aca="false">IF(F73="Disposable",1,0)</f>
        <v>0</v>
      </c>
      <c r="R73" s="3" t="n">
        <f aca="false">IF(SUMPRODUCT(--ISNUMBER(SEARCH('Spam Rules'!$A$22:$A$35,K73)))&gt;0,1,0)</f>
        <v>0</v>
      </c>
      <c r="S73" s="3" t="n">
        <f aca="false">IF(AND(F73="Free",G73=""),1,0)</f>
        <v>0</v>
      </c>
      <c r="T73" s="3" t="n">
        <f aca="false">IF(LEN(TRIM(K73))&lt;15,1,0)</f>
        <v>0</v>
      </c>
      <c r="U73" s="3" t="n">
        <f aca="false">IF(COUNTIF($E$2:$E$801,E73)&gt;1,1,0)</f>
        <v>0</v>
      </c>
      <c r="V73" s="3" t="n">
        <f aca="false">Q73*'Spam Rules'!$H$6+R73*'Spam Rules'!$H$7+S73*'Spam Rules'!$H$8+T73*'Spam Rules'!$H$9+U73*'Spam Rules'!$H$10</f>
        <v>0</v>
      </c>
      <c r="W73" s="3" t="str">
        <f aca="false">IF(V73&gt;='Spam Rules'!$B$3,"Likely Spam","Genuine")</f>
        <v>Genuine</v>
      </c>
      <c r="X73" s="3" t="n">
        <f aca="false">IFERROR(INDEX('Scoring Model'!$B$5:$B$11,MATCH(C73,'Scoring Model'!$A$5:$A$11,0)),0)</f>
        <v>0</v>
      </c>
      <c r="Y73" s="3" t="n">
        <f aca="false">IFERROR(INDEX('Scoring Model'!$E$5:$E$7,MATCH(F73,'Scoring Model'!$D$5:$D$7,0)),0)</f>
        <v>0</v>
      </c>
      <c r="Z73" s="3" t="n">
        <f aca="false">IFERROR(INDEX('Scoring Model'!$H$5:$H$13,MATCH(J73,'Scoring Model'!$G$5:$G$13,0)),0)</f>
        <v>5</v>
      </c>
      <c r="AA73" s="3" t="n">
        <f aca="false">IF(L73&gt;='Scoring Model'!$B$14,'Scoring Model'!$B$15,IF(L73&gt;='Scoring Model'!$B$16,'Scoring Model'!$B$17,0))</f>
        <v>0</v>
      </c>
      <c r="AB73" s="3" t="n">
        <f aca="false">IF(SUMPRODUCT(--ISNUMBER(SEARCH('Scoring Model'!$D$16:$D$25,K73)))&gt;0,'Scoring Model'!$B$18,0)</f>
        <v>0</v>
      </c>
      <c r="AC73" s="3" t="n">
        <f aca="false">IF(SUMPRODUCT(--ISNUMBER(SEARCH('Scoring Model'!$G$16:$G$23,K73)))&gt;0,'Scoring Model'!$B$19,0)</f>
        <v>-30</v>
      </c>
      <c r="AD73" s="3" t="n">
        <f aca="false">IF(W73="Likely Spam","",SUM(X73:AC73))</f>
        <v>-25</v>
      </c>
      <c r="AE73" s="3" t="str">
        <f aca="false">IF(W73="Likely Spam","Spam",IF(AD73&gt;='Scoring Model'!$B$21,"Hot",IF(AD73&gt;='Scoring Model'!$B$22,"Warm","Nurture")))</f>
        <v>Nurture</v>
      </c>
      <c r="AF73" s="3" t="str">
        <f aca="false">IF(W73="Likely Spam","Flagged by spam rules",TRIM(IF(X73&gt;=20,"Strong source. ","")&amp;IF(Y73&gt;0,"Company email. ","")&amp;IF(Z73&gt;=15,"High-value product. ","")&amp;IF(AA73&gt;='Scoring Model'!$B$15,"High engagement. ","")&amp;IF(AB73&gt;0,"Buying intent in message. ","")&amp;IF(AC73&lt;0,"Negative intent in message. ","")))</f>
        <v>Negative intent in message.</v>
      </c>
      <c r="AG73" s="11" t="n">
        <f aca="false">IF(W73="Likely Spam","",1/(1+EXP(-('Conversion Model'!$B$5+IFERROR(INDEX('Conversion Model'!$B$8:$B$14,MATCH(C73,'Conversion Model'!$A$8:$A$14,0)),0)+IFERROR(INDEX('Conversion Model'!$E$8:$E$9,MATCH(F73,'Conversion Model'!$D$8:$D$9,0)),0)+IFERROR(INDEX('Conversion Model'!$H$8:$H$12,MATCH(IF(LEFT(J73,8)="Payments","Payments",IF(LEFT(J73,7)="Lending","Lending",J73)),'Conversion Model'!$G$8:$G$12,0)),0)+MIN(L73,15)*'Conversion Model'!$B$17+IF(SUMPRODUCT(--ISNUMBER(SEARCH('Scoring Model'!$D$16:$D$25,K73)))&gt;0,'Conversion Model'!$B$18,0)+IF(SUMPRODUCT(--ISNUMBER(SEARCH('Scoring Model'!$G$16:$G$23,K73)))&gt;0,'Conversion Model'!$B$19,0)))))</f>
        <v>0.00121961461565123</v>
      </c>
      <c r="AH73" s="3" t="n">
        <f aca="false">IF(OR(O73="Qualified",O73="Won",O73="Lost"),1,IF(O73="Unqualified",0,""))</f>
        <v>0</v>
      </c>
    </row>
    <row r="74" customFormat="false" ht="15" hidden="false" customHeight="true" outlineLevel="0" collapsed="false">
      <c r="A74" s="3" t="s">
        <v>425</v>
      </c>
      <c r="B74" s="9" t="n">
        <v>45968.7659722222</v>
      </c>
      <c r="C74" s="3" t="s">
        <v>135</v>
      </c>
      <c r="D74" s="3" t="s">
        <v>426</v>
      </c>
      <c r="E74" s="3" t="s">
        <v>427</v>
      </c>
      <c r="F74" s="3" t="s">
        <v>54</v>
      </c>
      <c r="G74" s="3" t="s">
        <v>428</v>
      </c>
      <c r="H74" s="3"/>
      <c r="I74" s="3" t="s">
        <v>64</v>
      </c>
      <c r="J74" s="3" t="s">
        <v>81</v>
      </c>
      <c r="K74" s="3" t="s">
        <v>246</v>
      </c>
      <c r="L74" s="3" t="n">
        <v>6</v>
      </c>
      <c r="M74" s="3" t="n">
        <v>7.4</v>
      </c>
      <c r="N74" s="3" t="s">
        <v>171</v>
      </c>
      <c r="O74" s="3"/>
      <c r="P74" s="10"/>
      <c r="Q74" s="3" t="n">
        <f aca="false">IF(F74="Disposable",1,0)</f>
        <v>0</v>
      </c>
      <c r="R74" s="3" t="n">
        <f aca="false">IF(SUMPRODUCT(--ISNUMBER(SEARCH('Spam Rules'!$A$22:$A$35,K74)))&gt;0,1,0)</f>
        <v>0</v>
      </c>
      <c r="S74" s="3" t="n">
        <f aca="false">IF(AND(F74="Free",G74=""),1,0)</f>
        <v>0</v>
      </c>
      <c r="T74" s="3" t="n">
        <f aca="false">IF(LEN(TRIM(K74))&lt;15,1,0)</f>
        <v>0</v>
      </c>
      <c r="U74" s="3" t="n">
        <f aca="false">IF(COUNTIF($E$2:$E$801,E74)&gt;1,1,0)</f>
        <v>0</v>
      </c>
      <c r="V74" s="3" t="n">
        <f aca="false">Q74*'Spam Rules'!$H$6+R74*'Spam Rules'!$H$7+S74*'Spam Rules'!$H$8+T74*'Spam Rules'!$H$9+U74*'Spam Rules'!$H$10</f>
        <v>0</v>
      </c>
      <c r="W74" s="3" t="str">
        <f aca="false">IF(V74&gt;='Spam Rules'!$B$3,"Likely Spam","Genuine")</f>
        <v>Genuine</v>
      </c>
      <c r="X74" s="3" t="n">
        <f aca="false">IFERROR(INDEX('Scoring Model'!$B$5:$B$11,MATCH(C74,'Scoring Model'!$A$5:$A$11,0)),0)</f>
        <v>20</v>
      </c>
      <c r="Y74" s="3" t="n">
        <f aca="false">IFERROR(INDEX('Scoring Model'!$E$5:$E$7,MATCH(F74,'Scoring Model'!$D$5:$D$7,0)),0)</f>
        <v>0</v>
      </c>
      <c r="Z74" s="3" t="n">
        <f aca="false">IFERROR(INDEX('Scoring Model'!$H$5:$H$13,MATCH(J74,'Scoring Model'!$G$5:$G$13,0)),0)</f>
        <v>5</v>
      </c>
      <c r="AA74" s="3" t="n">
        <f aca="false">IF(L74&gt;='Scoring Model'!$B$14,'Scoring Model'!$B$15,IF(L74&gt;='Scoring Model'!$B$16,'Scoring Model'!$B$17,0))</f>
        <v>8</v>
      </c>
      <c r="AB74" s="3" t="n">
        <f aca="false">IF(SUMPRODUCT(--ISNUMBER(SEARCH('Scoring Model'!$D$16:$D$25,K74)))&gt;0,'Scoring Model'!$B$18,0)</f>
        <v>15</v>
      </c>
      <c r="AC74" s="3" t="n">
        <f aca="false">IF(SUMPRODUCT(--ISNUMBER(SEARCH('Scoring Model'!$G$16:$G$23,K74)))&gt;0,'Scoring Model'!$B$19,0)</f>
        <v>0</v>
      </c>
      <c r="AD74" s="3" t="n">
        <f aca="false">IF(W74="Likely Spam","",SUM(X74:AC74))</f>
        <v>48</v>
      </c>
      <c r="AE74" s="3" t="str">
        <f aca="false">IF(W74="Likely Spam","Spam",IF(AD74&gt;='Scoring Model'!$B$21,"Hot",IF(AD74&gt;='Scoring Model'!$B$22,"Warm","Nurture")))</f>
        <v>Warm</v>
      </c>
      <c r="AF74" s="3" t="str">
        <f aca="false">IF(W74="Likely Spam","Flagged by spam rules",TRIM(IF(X74&gt;=20,"Strong source. ","")&amp;IF(Y74&gt;0,"Company email. ","")&amp;IF(Z74&gt;=15,"High-value product. ","")&amp;IF(AA74&gt;='Scoring Model'!$B$15,"High engagement. ","")&amp;IF(AB74&gt;0,"Buying intent in message. ","")&amp;IF(AC74&lt;0,"Negative intent in message. ","")))</f>
        <v>Strong source. Buying intent in message.</v>
      </c>
      <c r="AG74" s="11" t="n">
        <f aca="false">IF(W74="Likely Spam","",1/(1+EXP(-('Conversion Model'!$B$5+IFERROR(INDEX('Conversion Model'!$B$8:$B$14,MATCH(C74,'Conversion Model'!$A$8:$A$14,0)),0)+IFERROR(INDEX('Conversion Model'!$E$8:$E$9,MATCH(F74,'Conversion Model'!$D$8:$D$9,0)),0)+IFERROR(INDEX('Conversion Model'!$H$8:$H$12,MATCH(IF(LEFT(J74,8)="Payments","Payments",IF(LEFT(J74,7)="Lending","Lending",J74)),'Conversion Model'!$G$8:$G$12,0)),0)+MIN(L74,15)*'Conversion Model'!$B$17+IF(SUMPRODUCT(--ISNUMBER(SEARCH('Scoring Model'!$D$16:$D$25,K74)))&gt;0,'Conversion Model'!$B$18,0)+IF(SUMPRODUCT(--ISNUMBER(SEARCH('Scoring Model'!$G$16:$G$23,K74)))&gt;0,'Conversion Model'!$B$19,0)))))</f>
        <v>0.76781244156036</v>
      </c>
      <c r="AH74" s="3" t="str">
        <f aca="false">IF(OR(O74="Qualified",O74="Won",O74="Lost"),1,IF(O74="Unqualified",0,""))</f>
        <v/>
      </c>
    </row>
    <row r="75" customFormat="false" ht="15" hidden="false" customHeight="true" outlineLevel="0" collapsed="false">
      <c r="A75" s="3" t="s">
        <v>429</v>
      </c>
      <c r="B75" s="9" t="n">
        <v>45968.9305555556</v>
      </c>
      <c r="C75" s="3" t="s">
        <v>76</v>
      </c>
      <c r="D75" s="3" t="s">
        <v>430</v>
      </c>
      <c r="E75" s="3" t="s">
        <v>431</v>
      </c>
      <c r="F75" s="3" t="s">
        <v>22</v>
      </c>
      <c r="G75" s="3" t="s">
        <v>432</v>
      </c>
      <c r="H75" s="3" t="s">
        <v>433</v>
      </c>
      <c r="I75" s="3" t="s">
        <v>88</v>
      </c>
      <c r="J75" s="3" t="s">
        <v>122</v>
      </c>
      <c r="K75" s="3" t="s">
        <v>349</v>
      </c>
      <c r="L75" s="3" t="n">
        <v>4</v>
      </c>
      <c r="M75" s="3" t="n">
        <v>27.7</v>
      </c>
      <c r="N75" s="3" t="s">
        <v>171</v>
      </c>
      <c r="O75" s="3" t="s">
        <v>194</v>
      </c>
      <c r="P75" s="10"/>
      <c r="Q75" s="3" t="n">
        <f aca="false">IF(F75="Disposable",1,0)</f>
        <v>0</v>
      </c>
      <c r="R75" s="3" t="n">
        <f aca="false">IF(SUMPRODUCT(--ISNUMBER(SEARCH('Spam Rules'!$A$22:$A$35,K75)))&gt;0,1,0)</f>
        <v>0</v>
      </c>
      <c r="S75" s="3" t="n">
        <f aca="false">IF(AND(F75="Free",G75=""),1,0)</f>
        <v>0</v>
      </c>
      <c r="T75" s="3" t="n">
        <f aca="false">IF(LEN(TRIM(K75))&lt;15,1,0)</f>
        <v>0</v>
      </c>
      <c r="U75" s="3" t="n">
        <f aca="false">IF(COUNTIF($E$2:$E$801,E75)&gt;1,1,0)</f>
        <v>0</v>
      </c>
      <c r="V75" s="3" t="n">
        <f aca="false">Q75*'Spam Rules'!$H$6+R75*'Spam Rules'!$H$7+S75*'Spam Rules'!$H$8+T75*'Spam Rules'!$H$9+U75*'Spam Rules'!$H$10</f>
        <v>0</v>
      </c>
      <c r="W75" s="3" t="str">
        <f aca="false">IF(V75&gt;='Spam Rules'!$B$3,"Likely Spam","Genuine")</f>
        <v>Genuine</v>
      </c>
      <c r="X75" s="3" t="n">
        <f aca="false">IFERROR(INDEX('Scoring Model'!$B$5:$B$11,MATCH(C75,'Scoring Model'!$A$5:$A$11,0)),0)</f>
        <v>0</v>
      </c>
      <c r="Y75" s="3" t="n">
        <f aca="false">IFERROR(INDEX('Scoring Model'!$E$5:$E$7,MATCH(F75,'Scoring Model'!$D$5:$D$7,0)),0)</f>
        <v>20</v>
      </c>
      <c r="Z75" s="3" t="n">
        <f aca="false">IFERROR(INDEX('Scoring Model'!$H$5:$H$13,MATCH(J75,'Scoring Model'!$G$5:$G$13,0)),0)</f>
        <v>15</v>
      </c>
      <c r="AA75" s="3" t="n">
        <f aca="false">IF(L75&gt;='Scoring Model'!$B$14,'Scoring Model'!$B$15,IF(L75&gt;='Scoring Model'!$B$16,'Scoring Model'!$B$17,0))</f>
        <v>8</v>
      </c>
      <c r="AB75" s="3" t="n">
        <f aca="false">IF(SUMPRODUCT(--ISNUMBER(SEARCH('Scoring Model'!$D$16:$D$25,K75)))&gt;0,'Scoring Model'!$B$18,0)</f>
        <v>0</v>
      </c>
      <c r="AC75" s="3" t="n">
        <f aca="false">IF(SUMPRODUCT(--ISNUMBER(SEARCH('Scoring Model'!$G$16:$G$23,K75)))&gt;0,'Scoring Model'!$B$19,0)</f>
        <v>-30</v>
      </c>
      <c r="AD75" s="3" t="n">
        <f aca="false">IF(W75="Likely Spam","",SUM(X75:AC75))</f>
        <v>13</v>
      </c>
      <c r="AE75" s="3" t="str">
        <f aca="false">IF(W75="Likely Spam","Spam",IF(AD75&gt;='Scoring Model'!$B$21,"Hot",IF(AD75&gt;='Scoring Model'!$B$22,"Warm","Nurture")))</f>
        <v>Nurture</v>
      </c>
      <c r="AF75" s="3" t="str">
        <f aca="false">IF(W75="Likely Spam","Flagged by spam rules",TRIM(IF(X75&gt;=20,"Strong source. ","")&amp;IF(Y75&gt;0,"Company email. ","")&amp;IF(Z75&gt;=15,"High-value product. ","")&amp;IF(AA75&gt;='Scoring Model'!$B$15,"High engagement. ","")&amp;IF(AB75&gt;0,"Buying intent in message. ","")&amp;IF(AC75&lt;0,"Negative intent in message. ","")))</f>
        <v>Company email. High-value product. Negative intent in message.</v>
      </c>
      <c r="AG75" s="11" t="n">
        <f aca="false">IF(W75="Likely Spam","",1/(1+EXP(-('Conversion Model'!$B$5+IFERROR(INDEX('Conversion Model'!$B$8:$B$14,MATCH(C75,'Conversion Model'!$A$8:$A$14,0)),0)+IFERROR(INDEX('Conversion Model'!$E$8:$E$9,MATCH(F75,'Conversion Model'!$D$8:$D$9,0)),0)+IFERROR(INDEX('Conversion Model'!$H$8:$H$12,MATCH(IF(LEFT(J75,8)="Payments","Payments",IF(LEFT(J75,7)="Lending","Lending",J75)),'Conversion Model'!$G$8:$G$12,0)),0)+MIN(L75,15)*'Conversion Model'!$B$17+IF(SUMPRODUCT(--ISNUMBER(SEARCH('Scoring Model'!$D$16:$D$25,K75)))&gt;0,'Conversion Model'!$B$18,0)+IF(SUMPRODUCT(--ISNUMBER(SEARCH('Scoring Model'!$G$16:$G$23,K75)))&gt;0,'Conversion Model'!$B$19,0)))))</f>
        <v>0.0211032317209011</v>
      </c>
      <c r="AH75" s="3" t="n">
        <f aca="false">IF(OR(O75="Qualified",O75="Won",O75="Lost"),1,IF(O75="Unqualified",0,""))</f>
        <v>0</v>
      </c>
    </row>
    <row r="76" customFormat="false" ht="15" hidden="false" customHeight="true" outlineLevel="0" collapsed="false">
      <c r="A76" s="3" t="s">
        <v>434</v>
      </c>
      <c r="B76" s="9" t="n">
        <v>45969.0631944445</v>
      </c>
      <c r="C76" s="3" t="s">
        <v>135</v>
      </c>
      <c r="D76" s="3" t="s">
        <v>435</v>
      </c>
      <c r="E76" s="3" t="s">
        <v>436</v>
      </c>
      <c r="F76" s="3" t="s">
        <v>54</v>
      </c>
      <c r="G76" s="3" t="s">
        <v>437</v>
      </c>
      <c r="H76" s="3"/>
      <c r="I76" s="3" t="s">
        <v>80</v>
      </c>
      <c r="J76" s="3" t="s">
        <v>117</v>
      </c>
      <c r="K76" s="3" t="s">
        <v>228</v>
      </c>
      <c r="L76" s="3" t="n">
        <v>1</v>
      </c>
      <c r="M76" s="3" t="n">
        <v>7.7</v>
      </c>
      <c r="N76" s="3" t="s">
        <v>96</v>
      </c>
      <c r="O76" s="3"/>
      <c r="P76" s="10"/>
      <c r="Q76" s="3" t="n">
        <f aca="false">IF(F76="Disposable",1,0)</f>
        <v>0</v>
      </c>
      <c r="R76" s="3" t="n">
        <f aca="false">IF(SUMPRODUCT(--ISNUMBER(SEARCH('Spam Rules'!$A$22:$A$35,K76)))&gt;0,1,0)</f>
        <v>0</v>
      </c>
      <c r="S76" s="3" t="n">
        <f aca="false">IF(AND(F76="Free",G76=""),1,0)</f>
        <v>0</v>
      </c>
      <c r="T76" s="3" t="n">
        <f aca="false">IF(LEN(TRIM(K76))&lt;15,1,0)</f>
        <v>0</v>
      </c>
      <c r="U76" s="3" t="n">
        <f aca="false">IF(COUNTIF($E$2:$E$801,E76)&gt;1,1,0)</f>
        <v>0</v>
      </c>
      <c r="V76" s="3" t="n">
        <f aca="false">Q76*'Spam Rules'!$H$6+R76*'Spam Rules'!$H$7+S76*'Spam Rules'!$H$8+T76*'Spam Rules'!$H$9+U76*'Spam Rules'!$H$10</f>
        <v>0</v>
      </c>
      <c r="W76" s="3" t="str">
        <f aca="false">IF(V76&gt;='Spam Rules'!$B$3,"Likely Spam","Genuine")</f>
        <v>Genuine</v>
      </c>
      <c r="X76" s="3" t="n">
        <f aca="false">IFERROR(INDEX('Scoring Model'!$B$5:$B$11,MATCH(C76,'Scoring Model'!$A$5:$A$11,0)),0)</f>
        <v>20</v>
      </c>
      <c r="Y76" s="3" t="n">
        <f aca="false">IFERROR(INDEX('Scoring Model'!$E$5:$E$7,MATCH(F76,'Scoring Model'!$D$5:$D$7,0)),0)</f>
        <v>0</v>
      </c>
      <c r="Z76" s="3" t="n">
        <f aca="false">IFERROR(INDEX('Scoring Model'!$H$5:$H$13,MATCH(J76,'Scoring Model'!$G$5:$G$13,0)),0)</f>
        <v>15</v>
      </c>
      <c r="AA76" s="3" t="n">
        <f aca="false">IF(L76&gt;='Scoring Model'!$B$14,'Scoring Model'!$B$15,IF(L76&gt;='Scoring Model'!$B$16,'Scoring Model'!$B$17,0))</f>
        <v>0</v>
      </c>
      <c r="AB76" s="3" t="n">
        <f aca="false">IF(SUMPRODUCT(--ISNUMBER(SEARCH('Scoring Model'!$D$16:$D$25,K76)))&gt;0,'Scoring Model'!$B$18,0)</f>
        <v>15</v>
      </c>
      <c r="AC76" s="3" t="n">
        <f aca="false">IF(SUMPRODUCT(--ISNUMBER(SEARCH('Scoring Model'!$G$16:$G$23,K76)))&gt;0,'Scoring Model'!$B$19,0)</f>
        <v>0</v>
      </c>
      <c r="AD76" s="3" t="n">
        <f aca="false">IF(W76="Likely Spam","",SUM(X76:AC76))</f>
        <v>50</v>
      </c>
      <c r="AE76" s="3" t="str">
        <f aca="false">IF(W76="Likely Spam","Spam",IF(AD76&gt;='Scoring Model'!$B$21,"Hot",IF(AD76&gt;='Scoring Model'!$B$22,"Warm","Nurture")))</f>
        <v>Warm</v>
      </c>
      <c r="AF76" s="3" t="str">
        <f aca="false">IF(W76="Likely Spam","Flagged by spam rules",TRIM(IF(X76&gt;=20,"Strong source. ","")&amp;IF(Y76&gt;0,"Company email. ","")&amp;IF(Z76&gt;=15,"High-value product. ","")&amp;IF(AA76&gt;='Scoring Model'!$B$15,"High engagement. ","")&amp;IF(AB76&gt;0,"Buying intent in message. ","")&amp;IF(AC76&lt;0,"Negative intent in message. ","")))</f>
        <v>Strong source. High-value product. Buying intent in message.</v>
      </c>
      <c r="AG76" s="11" t="n">
        <f aca="false">IF(W76="Likely Spam","",1/(1+EXP(-('Conversion Model'!$B$5+IFERROR(INDEX('Conversion Model'!$B$8:$B$14,MATCH(C76,'Conversion Model'!$A$8:$A$14,0)),0)+IFERROR(INDEX('Conversion Model'!$E$8:$E$9,MATCH(F76,'Conversion Model'!$D$8:$D$9,0)),0)+IFERROR(INDEX('Conversion Model'!$H$8:$H$12,MATCH(IF(LEFT(J76,8)="Payments","Payments",IF(LEFT(J76,7)="Lending","Lending",J76)),'Conversion Model'!$G$8:$G$12,0)),0)+MIN(L76,15)*'Conversion Model'!$B$17+IF(SUMPRODUCT(--ISNUMBER(SEARCH('Scoring Model'!$D$16:$D$25,K76)))&gt;0,'Conversion Model'!$B$18,0)+IF(SUMPRODUCT(--ISNUMBER(SEARCH('Scoring Model'!$G$16:$G$23,K76)))&gt;0,'Conversion Model'!$B$19,0)))))</f>
        <v>0.183471870749846</v>
      </c>
      <c r="AH76" s="3" t="str">
        <f aca="false">IF(OR(O76="Qualified",O76="Won",O76="Lost"),1,IF(O76="Unqualified",0,""))</f>
        <v/>
      </c>
    </row>
    <row r="77" customFormat="false" ht="15" hidden="false" customHeight="true" outlineLevel="0" collapsed="false">
      <c r="A77" s="3" t="s">
        <v>438</v>
      </c>
      <c r="B77" s="9" t="n">
        <v>45969.0694444445</v>
      </c>
      <c r="C77" s="3" t="s">
        <v>51</v>
      </c>
      <c r="D77" s="3" t="s">
        <v>219</v>
      </c>
      <c r="E77" s="3" t="s">
        <v>439</v>
      </c>
      <c r="F77" s="3" t="s">
        <v>22</v>
      </c>
      <c r="G77" s="3" t="s">
        <v>440</v>
      </c>
      <c r="H77" s="3" t="s">
        <v>441</v>
      </c>
      <c r="I77" s="3" t="s">
        <v>64</v>
      </c>
      <c r="J77" s="3" t="s">
        <v>65</v>
      </c>
      <c r="K77" s="3" t="s">
        <v>349</v>
      </c>
      <c r="L77" s="3" t="n">
        <v>3</v>
      </c>
      <c r="M77" s="3" t="n">
        <v>12</v>
      </c>
      <c r="N77" s="3" t="s">
        <v>171</v>
      </c>
      <c r="O77" s="3" t="s">
        <v>194</v>
      </c>
      <c r="P77" s="10"/>
      <c r="Q77" s="3" t="n">
        <f aca="false">IF(F77="Disposable",1,0)</f>
        <v>0</v>
      </c>
      <c r="R77" s="3" t="n">
        <f aca="false">IF(SUMPRODUCT(--ISNUMBER(SEARCH('Spam Rules'!$A$22:$A$35,K77)))&gt;0,1,0)</f>
        <v>0</v>
      </c>
      <c r="S77" s="3" t="n">
        <f aca="false">IF(AND(F77="Free",G77=""),1,0)</f>
        <v>0</v>
      </c>
      <c r="T77" s="3" t="n">
        <f aca="false">IF(LEN(TRIM(K77))&lt;15,1,0)</f>
        <v>0</v>
      </c>
      <c r="U77" s="3" t="n">
        <f aca="false">IF(COUNTIF($E$2:$E$801,E77)&gt;1,1,0)</f>
        <v>0</v>
      </c>
      <c r="V77" s="3" t="n">
        <f aca="false">Q77*'Spam Rules'!$H$6+R77*'Spam Rules'!$H$7+S77*'Spam Rules'!$H$8+T77*'Spam Rules'!$H$9+U77*'Spam Rules'!$H$10</f>
        <v>0</v>
      </c>
      <c r="W77" s="3" t="str">
        <f aca="false">IF(V77&gt;='Spam Rules'!$B$3,"Likely Spam","Genuine")</f>
        <v>Genuine</v>
      </c>
      <c r="X77" s="3" t="n">
        <f aca="false">IFERROR(INDEX('Scoring Model'!$B$5:$B$11,MATCH(C77,'Scoring Model'!$A$5:$A$11,0)),0)</f>
        <v>10</v>
      </c>
      <c r="Y77" s="3" t="n">
        <f aca="false">IFERROR(INDEX('Scoring Model'!$E$5:$E$7,MATCH(F77,'Scoring Model'!$D$5:$D$7,0)),0)</f>
        <v>20</v>
      </c>
      <c r="Z77" s="3" t="n">
        <f aca="false">IFERROR(INDEX('Scoring Model'!$H$5:$H$13,MATCH(J77,'Scoring Model'!$G$5:$G$13,0)),0)</f>
        <v>0</v>
      </c>
      <c r="AA77" s="3" t="n">
        <f aca="false">IF(L77&gt;='Scoring Model'!$B$14,'Scoring Model'!$B$15,IF(L77&gt;='Scoring Model'!$B$16,'Scoring Model'!$B$17,0))</f>
        <v>0</v>
      </c>
      <c r="AB77" s="3" t="n">
        <f aca="false">IF(SUMPRODUCT(--ISNUMBER(SEARCH('Scoring Model'!$D$16:$D$25,K77)))&gt;0,'Scoring Model'!$B$18,0)</f>
        <v>0</v>
      </c>
      <c r="AC77" s="3" t="n">
        <f aca="false">IF(SUMPRODUCT(--ISNUMBER(SEARCH('Scoring Model'!$G$16:$G$23,K77)))&gt;0,'Scoring Model'!$B$19,0)</f>
        <v>-30</v>
      </c>
      <c r="AD77" s="3" t="n">
        <f aca="false">IF(W77="Likely Spam","",SUM(X77:AC77))</f>
        <v>0</v>
      </c>
      <c r="AE77" s="3" t="str">
        <f aca="false">IF(W77="Likely Spam","Spam",IF(AD77&gt;='Scoring Model'!$B$21,"Hot",IF(AD77&gt;='Scoring Model'!$B$22,"Warm","Nurture")))</f>
        <v>Nurture</v>
      </c>
      <c r="AF77" s="3" t="str">
        <f aca="false">IF(W77="Likely Spam","Flagged by spam rules",TRIM(IF(X77&gt;=20,"Strong source. ","")&amp;IF(Y77&gt;0,"Company email. ","")&amp;IF(Z77&gt;=15,"High-value product. ","")&amp;IF(AA77&gt;='Scoring Model'!$B$15,"High engagement. ","")&amp;IF(AB77&gt;0,"Buying intent in message. ","")&amp;IF(AC77&lt;0,"Negative intent in message. ","")))</f>
        <v>Company email. Negative intent in message.</v>
      </c>
      <c r="AG77" s="11" t="n">
        <f aca="false">IF(W77="Likely Spam","",1/(1+EXP(-('Conversion Model'!$B$5+IFERROR(INDEX('Conversion Model'!$B$8:$B$14,MATCH(C77,'Conversion Model'!$A$8:$A$14,0)),0)+IFERROR(INDEX('Conversion Model'!$E$8:$E$9,MATCH(F77,'Conversion Model'!$D$8:$D$9,0)),0)+IFERROR(INDEX('Conversion Model'!$H$8:$H$12,MATCH(IF(LEFT(J77,8)="Payments","Payments",IF(LEFT(J77,7)="Lending","Lending",J77)),'Conversion Model'!$G$8:$G$12,0)),0)+MIN(L77,15)*'Conversion Model'!$B$17+IF(SUMPRODUCT(--ISNUMBER(SEARCH('Scoring Model'!$D$16:$D$25,K77)))&gt;0,'Conversion Model'!$B$18,0)+IF(SUMPRODUCT(--ISNUMBER(SEARCH('Scoring Model'!$G$16:$G$23,K77)))&gt;0,'Conversion Model'!$B$19,0)))))</f>
        <v>0.011019589189055</v>
      </c>
      <c r="AH77" s="3" t="n">
        <f aca="false">IF(OR(O77="Qualified",O77="Won",O77="Lost"),1,IF(O77="Unqualified",0,""))</f>
        <v>0</v>
      </c>
    </row>
    <row r="78" customFormat="false" ht="15" hidden="false" customHeight="true" outlineLevel="0" collapsed="false">
      <c r="A78" s="3" t="s">
        <v>442</v>
      </c>
      <c r="B78" s="9" t="n">
        <v>45969.6694444444</v>
      </c>
      <c r="C78" s="3" t="s">
        <v>51</v>
      </c>
      <c r="D78" s="3" t="s">
        <v>443</v>
      </c>
      <c r="E78" s="3" t="s">
        <v>444</v>
      </c>
      <c r="F78" s="3" t="s">
        <v>22</v>
      </c>
      <c r="G78" s="3" t="s">
        <v>237</v>
      </c>
      <c r="H78" s="3" t="s">
        <v>238</v>
      </c>
      <c r="I78" s="3" t="s">
        <v>188</v>
      </c>
      <c r="J78" s="3" t="s">
        <v>65</v>
      </c>
      <c r="K78" s="3" t="s">
        <v>89</v>
      </c>
      <c r="L78" s="3" t="n">
        <v>1</v>
      </c>
      <c r="M78" s="3"/>
      <c r="N78" s="3" t="s">
        <v>96</v>
      </c>
      <c r="O78" s="3" t="s">
        <v>68</v>
      </c>
      <c r="P78" s="10"/>
      <c r="Q78" s="3" t="n">
        <f aca="false">IF(F78="Disposable",1,0)</f>
        <v>0</v>
      </c>
      <c r="R78" s="3" t="n">
        <f aca="false">IF(SUMPRODUCT(--ISNUMBER(SEARCH('Spam Rules'!$A$22:$A$35,K78)))&gt;0,1,0)</f>
        <v>1</v>
      </c>
      <c r="S78" s="3" t="n">
        <f aca="false">IF(AND(F78="Free",G78=""),1,0)</f>
        <v>0</v>
      </c>
      <c r="T78" s="3" t="n">
        <f aca="false">IF(LEN(TRIM(K78))&lt;15,1,0)</f>
        <v>0</v>
      </c>
      <c r="U78" s="3" t="n">
        <f aca="false">IF(COUNTIF($E$2:$E$801,E78)&gt;1,1,0)</f>
        <v>0</v>
      </c>
      <c r="V78" s="3" t="n">
        <f aca="false">Q78*'Spam Rules'!$H$6+R78*'Spam Rules'!$H$7+S78*'Spam Rules'!$H$8+T78*'Spam Rules'!$H$9+U78*'Spam Rules'!$H$10</f>
        <v>1</v>
      </c>
      <c r="W78" s="3" t="str">
        <f aca="false">IF(V78&gt;='Spam Rules'!$B$3,"Likely Spam","Genuine")</f>
        <v>Likely Spam</v>
      </c>
      <c r="X78" s="3" t="n">
        <f aca="false">IFERROR(INDEX('Scoring Model'!$B$5:$B$11,MATCH(C78,'Scoring Model'!$A$5:$A$11,0)),0)</f>
        <v>10</v>
      </c>
      <c r="Y78" s="3" t="n">
        <f aca="false">IFERROR(INDEX('Scoring Model'!$E$5:$E$7,MATCH(F78,'Scoring Model'!$D$5:$D$7,0)),0)</f>
        <v>20</v>
      </c>
      <c r="Z78" s="3" t="n">
        <f aca="false">IFERROR(INDEX('Scoring Model'!$H$5:$H$13,MATCH(J78,'Scoring Model'!$G$5:$G$13,0)),0)</f>
        <v>0</v>
      </c>
      <c r="AA78" s="3" t="n">
        <f aca="false">IF(L78&gt;='Scoring Model'!$B$14,'Scoring Model'!$B$15,IF(L78&gt;='Scoring Model'!$B$16,'Scoring Model'!$B$17,0))</f>
        <v>0</v>
      </c>
      <c r="AB78" s="3" t="n">
        <f aca="false">IF(SUMPRODUCT(--ISNUMBER(SEARCH('Scoring Model'!$D$16:$D$25,K78)))&gt;0,'Scoring Model'!$B$18,0)</f>
        <v>0</v>
      </c>
      <c r="AC78" s="3" t="n">
        <f aca="false">IF(SUMPRODUCT(--ISNUMBER(SEARCH('Scoring Model'!$G$16:$G$23,K78)))&gt;0,'Scoring Model'!$B$19,0)</f>
        <v>0</v>
      </c>
      <c r="AD78" s="3" t="str">
        <f aca="false">IF(W78="Likely Spam","",SUM(X78:AC78))</f>
        <v/>
      </c>
      <c r="AE78" s="3" t="str">
        <f aca="false">IF(W78="Likely Spam","Spam",IF(AD78&gt;='Scoring Model'!$B$21,"Hot",IF(AD78&gt;='Scoring Model'!$B$22,"Warm","Nurture")))</f>
        <v>Spam</v>
      </c>
      <c r="AF78" s="3" t="str">
        <f aca="false">IF(W78="Likely Spam","Flagged by spam rules",TRIM(IF(X78&gt;=20,"Strong source. ","")&amp;IF(Y78&gt;0,"Company email. ","")&amp;IF(Z78&gt;=15,"High-value product. ","")&amp;IF(AA78&gt;='Scoring Model'!$B$15,"High engagement. ","")&amp;IF(AB78&gt;0,"Buying intent in message. ","")&amp;IF(AC78&lt;0,"Negative intent in message. ","")))</f>
        <v>Flagged by spam rules</v>
      </c>
      <c r="AG78" s="11" t="str">
        <f aca="false">IF(W78="Likely Spam","",1/(1+EXP(-('Conversion Model'!$B$5+IFERROR(INDEX('Conversion Model'!$B$8:$B$14,MATCH(C78,'Conversion Model'!$A$8:$A$14,0)),0)+IFERROR(INDEX('Conversion Model'!$E$8:$E$9,MATCH(F78,'Conversion Model'!$D$8:$D$9,0)),0)+IFERROR(INDEX('Conversion Model'!$H$8:$H$12,MATCH(IF(LEFT(J78,8)="Payments","Payments",IF(LEFT(J78,7)="Lending","Lending",J78)),'Conversion Model'!$G$8:$G$12,0)),0)+MIN(L78,15)*'Conversion Model'!$B$17+IF(SUMPRODUCT(--ISNUMBER(SEARCH('Scoring Model'!$D$16:$D$25,K78)))&gt;0,'Conversion Model'!$B$18,0)+IF(SUMPRODUCT(--ISNUMBER(SEARCH('Scoring Model'!$G$16:$G$23,K78)))&gt;0,'Conversion Model'!$B$19,0)))))</f>
        <v/>
      </c>
      <c r="AH78" s="3" t="str">
        <f aca="false">IF(OR(O78="Qualified",O78="Won",O78="Lost"),1,IF(O78="Unqualified",0,""))</f>
        <v/>
      </c>
    </row>
    <row r="79" customFormat="false" ht="15" hidden="false" customHeight="true" outlineLevel="0" collapsed="false">
      <c r="A79" s="3" t="s">
        <v>445</v>
      </c>
      <c r="B79" s="9" t="n">
        <v>45970.1548611111</v>
      </c>
      <c r="C79" s="3" t="s">
        <v>160</v>
      </c>
      <c r="D79" s="3" t="s">
        <v>136</v>
      </c>
      <c r="E79" s="3" t="s">
        <v>446</v>
      </c>
      <c r="F79" s="3" t="s">
        <v>22</v>
      </c>
      <c r="G79" s="3" t="s">
        <v>447</v>
      </c>
      <c r="H79" s="3" t="s">
        <v>448</v>
      </c>
      <c r="I79" s="3" t="s">
        <v>139</v>
      </c>
      <c r="J79" s="3" t="s">
        <v>117</v>
      </c>
      <c r="K79" s="3" t="s">
        <v>228</v>
      </c>
      <c r="L79" s="3" t="n">
        <v>3</v>
      </c>
      <c r="M79" s="3" t="n">
        <v>11.6</v>
      </c>
      <c r="N79" s="3" t="s">
        <v>96</v>
      </c>
      <c r="O79" s="3"/>
      <c r="P79" s="10"/>
      <c r="Q79" s="3" t="n">
        <f aca="false">IF(F79="Disposable",1,0)</f>
        <v>0</v>
      </c>
      <c r="R79" s="3" t="n">
        <f aca="false">IF(SUMPRODUCT(--ISNUMBER(SEARCH('Spam Rules'!$A$22:$A$35,K79)))&gt;0,1,0)</f>
        <v>0</v>
      </c>
      <c r="S79" s="3" t="n">
        <f aca="false">IF(AND(F79="Free",G79=""),1,0)</f>
        <v>0</v>
      </c>
      <c r="T79" s="3" t="n">
        <f aca="false">IF(LEN(TRIM(K79))&lt;15,1,0)</f>
        <v>0</v>
      </c>
      <c r="U79" s="3" t="n">
        <f aca="false">IF(COUNTIF($E$2:$E$801,E79)&gt;1,1,0)</f>
        <v>0</v>
      </c>
      <c r="V79" s="3" t="n">
        <f aca="false">Q79*'Spam Rules'!$H$6+R79*'Spam Rules'!$H$7+S79*'Spam Rules'!$H$8+T79*'Spam Rules'!$H$9+U79*'Spam Rules'!$H$10</f>
        <v>0</v>
      </c>
      <c r="W79" s="3" t="str">
        <f aca="false">IF(V79&gt;='Spam Rules'!$B$3,"Likely Spam","Genuine")</f>
        <v>Genuine</v>
      </c>
      <c r="X79" s="3" t="n">
        <f aca="false">IFERROR(INDEX('Scoring Model'!$B$5:$B$11,MATCH(C79,'Scoring Model'!$A$5:$A$11,0)),0)</f>
        <v>25</v>
      </c>
      <c r="Y79" s="3" t="n">
        <f aca="false">IFERROR(INDEX('Scoring Model'!$E$5:$E$7,MATCH(F79,'Scoring Model'!$D$5:$D$7,0)),0)</f>
        <v>20</v>
      </c>
      <c r="Z79" s="3" t="n">
        <f aca="false">IFERROR(INDEX('Scoring Model'!$H$5:$H$13,MATCH(J79,'Scoring Model'!$G$5:$G$13,0)),0)</f>
        <v>15</v>
      </c>
      <c r="AA79" s="3" t="n">
        <f aca="false">IF(L79&gt;='Scoring Model'!$B$14,'Scoring Model'!$B$15,IF(L79&gt;='Scoring Model'!$B$16,'Scoring Model'!$B$17,0))</f>
        <v>0</v>
      </c>
      <c r="AB79" s="3" t="n">
        <f aca="false">IF(SUMPRODUCT(--ISNUMBER(SEARCH('Scoring Model'!$D$16:$D$25,K79)))&gt;0,'Scoring Model'!$B$18,0)</f>
        <v>15</v>
      </c>
      <c r="AC79" s="3" t="n">
        <f aca="false">IF(SUMPRODUCT(--ISNUMBER(SEARCH('Scoring Model'!$G$16:$G$23,K79)))&gt;0,'Scoring Model'!$B$19,0)</f>
        <v>0</v>
      </c>
      <c r="AD79" s="3" t="n">
        <f aca="false">IF(W79="Likely Spam","",SUM(X79:AC79))</f>
        <v>75</v>
      </c>
      <c r="AE79" s="3" t="str">
        <f aca="false">IF(W79="Likely Spam","Spam",IF(AD79&gt;='Scoring Model'!$B$21,"Hot",IF(AD79&gt;='Scoring Model'!$B$22,"Warm","Nurture")))</f>
        <v>Hot</v>
      </c>
      <c r="AF79" s="3" t="str">
        <f aca="false">IF(W79="Likely Spam","Flagged by spam rules",TRIM(IF(X79&gt;=20,"Strong source. ","")&amp;IF(Y79&gt;0,"Company email. ","")&amp;IF(Z79&gt;=15,"High-value product. ","")&amp;IF(AA79&gt;='Scoring Model'!$B$15,"High engagement. ","")&amp;IF(AB79&gt;0,"Buying intent in message. ","")&amp;IF(AC79&lt;0,"Negative intent in message. ","")))</f>
        <v>Strong source. Company email. High-value product. Buying intent in message.</v>
      </c>
      <c r="AG79" s="11" t="n">
        <f aca="false">IF(W79="Likely Spam","",1/(1+EXP(-('Conversion Model'!$B$5+IFERROR(INDEX('Conversion Model'!$B$8:$B$14,MATCH(C79,'Conversion Model'!$A$8:$A$14,0)),0)+IFERROR(INDEX('Conversion Model'!$E$8:$E$9,MATCH(F79,'Conversion Model'!$D$8:$D$9,0)),0)+IFERROR(INDEX('Conversion Model'!$H$8:$H$12,MATCH(IF(LEFT(J79,8)="Payments","Payments",IF(LEFT(J79,7)="Lending","Lending",J79)),'Conversion Model'!$G$8:$G$12,0)),0)+MIN(L79,15)*'Conversion Model'!$B$17+IF(SUMPRODUCT(--ISNUMBER(SEARCH('Scoring Model'!$D$16:$D$25,K79)))&gt;0,'Conversion Model'!$B$18,0)+IF(SUMPRODUCT(--ISNUMBER(SEARCH('Scoring Model'!$G$16:$G$23,K79)))&gt;0,'Conversion Model'!$B$19,0)))))</f>
        <v>0.653169391528382</v>
      </c>
      <c r="AH79" s="3" t="str">
        <f aca="false">IF(OR(O79="Qualified",O79="Won",O79="Lost"),1,IF(O79="Unqualified",0,""))</f>
        <v/>
      </c>
    </row>
    <row r="80" customFormat="false" ht="15" hidden="false" customHeight="true" outlineLevel="0" collapsed="false">
      <c r="A80" s="3" t="s">
        <v>449</v>
      </c>
      <c r="B80" s="9" t="n">
        <v>45971.0576388889</v>
      </c>
      <c r="C80" s="3" t="s">
        <v>160</v>
      </c>
      <c r="D80" s="3" t="s">
        <v>450</v>
      </c>
      <c r="E80" s="3" t="s">
        <v>451</v>
      </c>
      <c r="F80" s="3" t="s">
        <v>22</v>
      </c>
      <c r="G80" s="3" t="s">
        <v>424</v>
      </c>
      <c r="H80" s="3" t="s">
        <v>452</v>
      </c>
      <c r="I80" s="3" t="s">
        <v>107</v>
      </c>
      <c r="J80" s="3" t="s">
        <v>65</v>
      </c>
      <c r="K80" s="3" t="s">
        <v>378</v>
      </c>
      <c r="L80" s="3" t="n">
        <v>4</v>
      </c>
      <c r="M80" s="3" t="n">
        <v>8.4</v>
      </c>
      <c r="N80" s="3" t="s">
        <v>171</v>
      </c>
      <c r="O80" s="3"/>
      <c r="P80" s="10"/>
      <c r="Q80" s="3" t="n">
        <f aca="false">IF(F80="Disposable",1,0)</f>
        <v>0</v>
      </c>
      <c r="R80" s="3" t="n">
        <f aca="false">IF(SUMPRODUCT(--ISNUMBER(SEARCH('Spam Rules'!$A$22:$A$35,K80)))&gt;0,1,0)</f>
        <v>0</v>
      </c>
      <c r="S80" s="3" t="n">
        <f aca="false">IF(AND(F80="Free",G80=""),1,0)</f>
        <v>0</v>
      </c>
      <c r="T80" s="3" t="n">
        <f aca="false">IF(LEN(TRIM(K80))&lt;15,1,0)</f>
        <v>0</v>
      </c>
      <c r="U80" s="3" t="n">
        <f aca="false">IF(COUNTIF($E$2:$E$801,E80)&gt;1,1,0)</f>
        <v>0</v>
      </c>
      <c r="V80" s="3" t="n">
        <f aca="false">Q80*'Spam Rules'!$H$6+R80*'Spam Rules'!$H$7+S80*'Spam Rules'!$H$8+T80*'Spam Rules'!$H$9+U80*'Spam Rules'!$H$10</f>
        <v>0</v>
      </c>
      <c r="W80" s="3" t="str">
        <f aca="false">IF(V80&gt;='Spam Rules'!$B$3,"Likely Spam","Genuine")</f>
        <v>Genuine</v>
      </c>
      <c r="X80" s="3" t="n">
        <f aca="false">IFERROR(INDEX('Scoring Model'!$B$5:$B$11,MATCH(C80,'Scoring Model'!$A$5:$A$11,0)),0)</f>
        <v>25</v>
      </c>
      <c r="Y80" s="3" t="n">
        <f aca="false">IFERROR(INDEX('Scoring Model'!$E$5:$E$7,MATCH(F80,'Scoring Model'!$D$5:$D$7,0)),0)</f>
        <v>20</v>
      </c>
      <c r="Z80" s="3" t="n">
        <f aca="false">IFERROR(INDEX('Scoring Model'!$H$5:$H$13,MATCH(J80,'Scoring Model'!$G$5:$G$13,0)),0)</f>
        <v>0</v>
      </c>
      <c r="AA80" s="3" t="n">
        <f aca="false">IF(L80&gt;='Scoring Model'!$B$14,'Scoring Model'!$B$15,IF(L80&gt;='Scoring Model'!$B$16,'Scoring Model'!$B$17,0))</f>
        <v>8</v>
      </c>
      <c r="AB80" s="3" t="n">
        <f aca="false">IF(SUMPRODUCT(--ISNUMBER(SEARCH('Scoring Model'!$D$16:$D$25,K80)))&gt;0,'Scoring Model'!$B$18,0)</f>
        <v>0</v>
      </c>
      <c r="AC80" s="3" t="n">
        <f aca="false">IF(SUMPRODUCT(--ISNUMBER(SEARCH('Scoring Model'!$G$16:$G$23,K80)))&gt;0,'Scoring Model'!$B$19,0)</f>
        <v>-30</v>
      </c>
      <c r="AD80" s="3" t="n">
        <f aca="false">IF(W80="Likely Spam","",SUM(X80:AC80))</f>
        <v>23</v>
      </c>
      <c r="AE80" s="3" t="str">
        <f aca="false">IF(W80="Likely Spam","Spam",IF(AD80&gt;='Scoring Model'!$B$21,"Hot",IF(AD80&gt;='Scoring Model'!$B$22,"Warm","Nurture")))</f>
        <v>Nurture</v>
      </c>
      <c r="AF80" s="3" t="str">
        <f aca="false">IF(W80="Likely Spam","Flagged by spam rules",TRIM(IF(X80&gt;=20,"Strong source. ","")&amp;IF(Y80&gt;0,"Company email. ","")&amp;IF(Z80&gt;=15,"High-value product. ","")&amp;IF(AA80&gt;='Scoring Model'!$B$15,"High engagement. ","")&amp;IF(AB80&gt;0,"Buying intent in message. ","")&amp;IF(AC80&lt;0,"Negative intent in message. ","")))</f>
        <v>Strong source. Company email. Negative intent in message.</v>
      </c>
      <c r="AG80" s="11" t="n">
        <f aca="false">IF(W80="Likely Spam","",1/(1+EXP(-('Conversion Model'!$B$5+IFERROR(INDEX('Conversion Model'!$B$8:$B$14,MATCH(C80,'Conversion Model'!$A$8:$A$14,0)),0)+IFERROR(INDEX('Conversion Model'!$E$8:$E$9,MATCH(F80,'Conversion Model'!$D$8:$D$9,0)),0)+IFERROR(INDEX('Conversion Model'!$H$8:$H$12,MATCH(IF(LEFT(J80,8)="Payments","Payments",IF(LEFT(J80,7)="Lending","Lending",J80)),'Conversion Model'!$G$8:$G$12,0)),0)+MIN(L80,15)*'Conversion Model'!$B$17+IF(SUMPRODUCT(--ISNUMBER(SEARCH('Scoring Model'!$D$16:$D$25,K80)))&gt;0,'Conversion Model'!$B$18,0)+IF(SUMPRODUCT(--ISNUMBER(SEARCH('Scoring Model'!$G$16:$G$23,K80)))&gt;0,'Conversion Model'!$B$19,0)))))</f>
        <v>0.0400020671365469</v>
      </c>
      <c r="AH80" s="3" t="str">
        <f aca="false">IF(OR(O80="Qualified",O80="Won",O80="Lost"),1,IF(O80="Unqualified",0,""))</f>
        <v/>
      </c>
    </row>
    <row r="81" customFormat="false" ht="15" hidden="false" customHeight="true" outlineLevel="0" collapsed="false">
      <c r="A81" s="3" t="s">
        <v>453</v>
      </c>
      <c r="B81" s="9" t="n">
        <v>45971.5048611111</v>
      </c>
      <c r="C81" s="3" t="s">
        <v>160</v>
      </c>
      <c r="D81" s="3" t="s">
        <v>454</v>
      </c>
      <c r="E81" s="3" t="s">
        <v>455</v>
      </c>
      <c r="F81" s="3" t="s">
        <v>22</v>
      </c>
      <c r="G81" s="3" t="s">
        <v>456</v>
      </c>
      <c r="H81" s="3" t="s">
        <v>457</v>
      </c>
      <c r="I81" s="3" t="s">
        <v>139</v>
      </c>
      <c r="J81" s="3" t="s">
        <v>117</v>
      </c>
      <c r="K81" s="3" t="s">
        <v>458</v>
      </c>
      <c r="L81" s="3" t="n">
        <v>7</v>
      </c>
      <c r="M81" s="3" t="n">
        <v>63.4</v>
      </c>
      <c r="N81" s="3" t="s">
        <v>96</v>
      </c>
      <c r="O81" s="3" t="s">
        <v>331</v>
      </c>
      <c r="P81" s="10"/>
      <c r="Q81" s="3" t="n">
        <f aca="false">IF(F81="Disposable",1,0)</f>
        <v>0</v>
      </c>
      <c r="R81" s="3" t="n">
        <f aca="false">IF(SUMPRODUCT(--ISNUMBER(SEARCH('Spam Rules'!$A$22:$A$35,K81)))&gt;0,1,0)</f>
        <v>0</v>
      </c>
      <c r="S81" s="3" t="n">
        <f aca="false">IF(AND(F81="Free",G81=""),1,0)</f>
        <v>0</v>
      </c>
      <c r="T81" s="3" t="n">
        <f aca="false">IF(LEN(TRIM(K81))&lt;15,1,0)</f>
        <v>0</v>
      </c>
      <c r="U81" s="3" t="n">
        <f aca="false">IF(COUNTIF($E$2:$E$801,E81)&gt;1,1,0)</f>
        <v>0</v>
      </c>
      <c r="V81" s="3" t="n">
        <f aca="false">Q81*'Spam Rules'!$H$6+R81*'Spam Rules'!$H$7+S81*'Spam Rules'!$H$8+T81*'Spam Rules'!$H$9+U81*'Spam Rules'!$H$10</f>
        <v>0</v>
      </c>
      <c r="W81" s="3" t="str">
        <f aca="false">IF(V81&gt;='Spam Rules'!$B$3,"Likely Spam","Genuine")</f>
        <v>Genuine</v>
      </c>
      <c r="X81" s="3" t="n">
        <f aca="false">IFERROR(INDEX('Scoring Model'!$B$5:$B$11,MATCH(C81,'Scoring Model'!$A$5:$A$11,0)),0)</f>
        <v>25</v>
      </c>
      <c r="Y81" s="3" t="n">
        <f aca="false">IFERROR(INDEX('Scoring Model'!$E$5:$E$7,MATCH(F81,'Scoring Model'!$D$5:$D$7,0)),0)</f>
        <v>20</v>
      </c>
      <c r="Z81" s="3" t="n">
        <f aca="false">IFERROR(INDEX('Scoring Model'!$H$5:$H$13,MATCH(J81,'Scoring Model'!$G$5:$G$13,0)),0)</f>
        <v>15</v>
      </c>
      <c r="AA81" s="3" t="n">
        <f aca="false">IF(L81&gt;='Scoring Model'!$B$14,'Scoring Model'!$B$15,IF(L81&gt;='Scoring Model'!$B$16,'Scoring Model'!$B$17,0))</f>
        <v>8</v>
      </c>
      <c r="AB81" s="3" t="n">
        <f aca="false">IF(SUMPRODUCT(--ISNUMBER(SEARCH('Scoring Model'!$D$16:$D$25,K81)))&gt;0,'Scoring Model'!$B$18,0)</f>
        <v>15</v>
      </c>
      <c r="AC81" s="3" t="n">
        <f aca="false">IF(SUMPRODUCT(--ISNUMBER(SEARCH('Scoring Model'!$G$16:$G$23,K81)))&gt;0,'Scoring Model'!$B$19,0)</f>
        <v>0</v>
      </c>
      <c r="AD81" s="3" t="n">
        <f aca="false">IF(W81="Likely Spam","",SUM(X81:AC81))</f>
        <v>83</v>
      </c>
      <c r="AE81" s="3" t="str">
        <f aca="false">IF(W81="Likely Spam","Spam",IF(AD81&gt;='Scoring Model'!$B$21,"Hot",IF(AD81&gt;='Scoring Model'!$B$22,"Warm","Nurture")))</f>
        <v>Hot</v>
      </c>
      <c r="AF81" s="3" t="str">
        <f aca="false">IF(W81="Likely Spam","Flagged by spam rules",TRIM(IF(X81&gt;=20,"Strong source. ","")&amp;IF(Y81&gt;0,"Company email. ","")&amp;IF(Z81&gt;=15,"High-value product. ","")&amp;IF(AA81&gt;='Scoring Model'!$B$15,"High engagement. ","")&amp;IF(AB81&gt;0,"Buying intent in message. ","")&amp;IF(AC81&lt;0,"Negative intent in message. ","")))</f>
        <v>Strong source. Company email. High-value product. Buying intent in message.</v>
      </c>
      <c r="AG81" s="11" t="n">
        <f aca="false">IF(W81="Likely Spam","",1/(1+EXP(-('Conversion Model'!$B$5+IFERROR(INDEX('Conversion Model'!$B$8:$B$14,MATCH(C81,'Conversion Model'!$A$8:$A$14,0)),0)+IFERROR(INDEX('Conversion Model'!$E$8:$E$9,MATCH(F81,'Conversion Model'!$D$8:$D$9,0)),0)+IFERROR(INDEX('Conversion Model'!$H$8:$H$12,MATCH(IF(LEFT(J81,8)="Payments","Payments",IF(LEFT(J81,7)="Lending","Lending",J81)),'Conversion Model'!$G$8:$G$12,0)),0)+MIN(L81,15)*'Conversion Model'!$B$17+IF(SUMPRODUCT(--ISNUMBER(SEARCH('Scoring Model'!$D$16:$D$25,K81)))&gt;0,'Conversion Model'!$B$18,0)+IF(SUMPRODUCT(--ISNUMBER(SEARCH('Scoring Model'!$G$16:$G$23,K81)))&gt;0,'Conversion Model'!$B$19,0)))))</f>
        <v>0.978979241725394</v>
      </c>
      <c r="AH81" s="3" t="n">
        <f aca="false">IF(OR(O81="Qualified",O81="Won",O81="Lost"),1,IF(O81="Unqualified",0,""))</f>
        <v>1</v>
      </c>
    </row>
    <row r="82" customFormat="false" ht="15" hidden="false" customHeight="true" outlineLevel="0" collapsed="false">
      <c r="A82" s="3" t="s">
        <v>459</v>
      </c>
      <c r="B82" s="9" t="n">
        <v>45971.6458333333</v>
      </c>
      <c r="C82" s="3" t="s">
        <v>51</v>
      </c>
      <c r="D82" s="3" t="s">
        <v>460</v>
      </c>
      <c r="E82" s="3" t="s">
        <v>461</v>
      </c>
      <c r="F82" s="3" t="s">
        <v>22</v>
      </c>
      <c r="G82" s="3" t="s">
        <v>462</v>
      </c>
      <c r="H82" s="3" t="s">
        <v>463</v>
      </c>
      <c r="I82" s="3" t="s">
        <v>139</v>
      </c>
      <c r="J82" s="3" t="s">
        <v>81</v>
      </c>
      <c r="K82" s="3" t="s">
        <v>183</v>
      </c>
      <c r="L82" s="3" t="n">
        <v>3</v>
      </c>
      <c r="M82" s="3" t="n">
        <v>49.7</v>
      </c>
      <c r="N82" s="3" t="s">
        <v>96</v>
      </c>
      <c r="O82" s="3"/>
      <c r="P82" s="10"/>
      <c r="Q82" s="3" t="n">
        <f aca="false">IF(F82="Disposable",1,0)</f>
        <v>0</v>
      </c>
      <c r="R82" s="3" t="n">
        <f aca="false">IF(SUMPRODUCT(--ISNUMBER(SEARCH('Spam Rules'!$A$22:$A$35,K82)))&gt;0,1,0)</f>
        <v>0</v>
      </c>
      <c r="S82" s="3" t="n">
        <f aca="false">IF(AND(F82="Free",G82=""),1,0)</f>
        <v>0</v>
      </c>
      <c r="T82" s="3" t="n">
        <f aca="false">IF(LEN(TRIM(K82))&lt;15,1,0)</f>
        <v>0</v>
      </c>
      <c r="U82" s="3" t="n">
        <f aca="false">IF(COUNTIF($E$2:$E$801,E82)&gt;1,1,0)</f>
        <v>0</v>
      </c>
      <c r="V82" s="3" t="n">
        <f aca="false">Q82*'Spam Rules'!$H$6+R82*'Spam Rules'!$H$7+S82*'Spam Rules'!$H$8+T82*'Spam Rules'!$H$9+U82*'Spam Rules'!$H$10</f>
        <v>0</v>
      </c>
      <c r="W82" s="3" t="str">
        <f aca="false">IF(V82&gt;='Spam Rules'!$B$3,"Likely Spam","Genuine")</f>
        <v>Genuine</v>
      </c>
      <c r="X82" s="3" t="n">
        <f aca="false">IFERROR(INDEX('Scoring Model'!$B$5:$B$11,MATCH(C82,'Scoring Model'!$A$5:$A$11,0)),0)</f>
        <v>10</v>
      </c>
      <c r="Y82" s="3" t="n">
        <f aca="false">IFERROR(INDEX('Scoring Model'!$E$5:$E$7,MATCH(F82,'Scoring Model'!$D$5:$D$7,0)),0)</f>
        <v>20</v>
      </c>
      <c r="Z82" s="3" t="n">
        <f aca="false">IFERROR(INDEX('Scoring Model'!$H$5:$H$13,MATCH(J82,'Scoring Model'!$G$5:$G$13,0)),0)</f>
        <v>5</v>
      </c>
      <c r="AA82" s="3" t="n">
        <f aca="false">IF(L82&gt;='Scoring Model'!$B$14,'Scoring Model'!$B$15,IF(L82&gt;='Scoring Model'!$B$16,'Scoring Model'!$B$17,0))</f>
        <v>0</v>
      </c>
      <c r="AB82" s="3" t="n">
        <f aca="false">IF(SUMPRODUCT(--ISNUMBER(SEARCH('Scoring Model'!$D$16:$D$25,K82)))&gt;0,'Scoring Model'!$B$18,0)</f>
        <v>15</v>
      </c>
      <c r="AC82" s="3" t="n">
        <f aca="false">IF(SUMPRODUCT(--ISNUMBER(SEARCH('Scoring Model'!$G$16:$G$23,K82)))&gt;0,'Scoring Model'!$B$19,0)</f>
        <v>0</v>
      </c>
      <c r="AD82" s="3" t="n">
        <f aca="false">IF(W82="Likely Spam","",SUM(X82:AC82))</f>
        <v>50</v>
      </c>
      <c r="AE82" s="3" t="str">
        <f aca="false">IF(W82="Likely Spam","Spam",IF(AD82&gt;='Scoring Model'!$B$21,"Hot",IF(AD82&gt;='Scoring Model'!$B$22,"Warm","Nurture")))</f>
        <v>Warm</v>
      </c>
      <c r="AF82" s="3" t="str">
        <f aca="false">IF(W82="Likely Spam","Flagged by spam rules",TRIM(IF(X82&gt;=20,"Strong source. ","")&amp;IF(Y82&gt;0,"Company email. ","")&amp;IF(Z82&gt;=15,"High-value product. ","")&amp;IF(AA82&gt;='Scoring Model'!$B$15,"High engagement. ","")&amp;IF(AB82&gt;0,"Buying intent in message. ","")&amp;IF(AC82&lt;0,"Negative intent in message. ","")))</f>
        <v>Company email. Buying intent in message.</v>
      </c>
      <c r="AG82" s="11" t="n">
        <f aca="false">IF(W82="Likely Spam","",1/(1+EXP(-('Conversion Model'!$B$5+IFERROR(INDEX('Conversion Model'!$B$8:$B$14,MATCH(C82,'Conversion Model'!$A$8:$A$14,0)),0)+IFERROR(INDEX('Conversion Model'!$E$8:$E$9,MATCH(F82,'Conversion Model'!$D$8:$D$9,0)),0)+IFERROR(INDEX('Conversion Model'!$H$8:$H$12,MATCH(IF(LEFT(J82,8)="Payments","Payments",IF(LEFT(J82,7)="Lending","Lending",J82)),'Conversion Model'!$G$8:$G$12,0)),0)+MIN(L82,15)*'Conversion Model'!$B$17+IF(SUMPRODUCT(--ISNUMBER(SEARCH('Scoring Model'!$D$16:$D$25,K82)))&gt;0,'Conversion Model'!$B$18,0)+IF(SUMPRODUCT(--ISNUMBER(SEARCH('Scoring Model'!$G$16:$G$23,K82)))&gt;0,'Conversion Model'!$B$19,0)))))</f>
        <v>0.230586938771252</v>
      </c>
      <c r="AH82" s="3" t="str">
        <f aca="false">IF(OR(O82="Qualified",O82="Won",O82="Lost"),1,IF(O82="Unqualified",0,""))</f>
        <v/>
      </c>
    </row>
    <row r="83" customFormat="false" ht="15" hidden="false" customHeight="true" outlineLevel="0" collapsed="false">
      <c r="A83" s="3" t="s">
        <v>464</v>
      </c>
      <c r="B83" s="9" t="n">
        <v>45971.825</v>
      </c>
      <c r="C83" s="3" t="s">
        <v>91</v>
      </c>
      <c r="D83" s="3" t="s">
        <v>465</v>
      </c>
      <c r="E83" s="3" t="s">
        <v>466</v>
      </c>
      <c r="F83" s="3" t="s">
        <v>54</v>
      </c>
      <c r="G83" s="3" t="s">
        <v>467</v>
      </c>
      <c r="H83" s="3"/>
      <c r="I83" s="3" t="s">
        <v>107</v>
      </c>
      <c r="J83" s="3" t="s">
        <v>65</v>
      </c>
      <c r="K83" s="3" t="s">
        <v>101</v>
      </c>
      <c r="L83" s="3" t="n">
        <v>2</v>
      </c>
      <c r="M83" s="3" t="n">
        <v>8.6</v>
      </c>
      <c r="N83" s="3" t="s">
        <v>67</v>
      </c>
      <c r="O83" s="3" t="s">
        <v>194</v>
      </c>
      <c r="P83" s="10"/>
      <c r="Q83" s="3" t="n">
        <f aca="false">IF(F83="Disposable",1,0)</f>
        <v>0</v>
      </c>
      <c r="R83" s="3" t="n">
        <f aca="false">IF(SUMPRODUCT(--ISNUMBER(SEARCH('Spam Rules'!$A$22:$A$35,K83)))&gt;0,1,0)</f>
        <v>0</v>
      </c>
      <c r="S83" s="3" t="n">
        <f aca="false">IF(AND(F83="Free",G83=""),1,0)</f>
        <v>0</v>
      </c>
      <c r="T83" s="3" t="n">
        <f aca="false">IF(LEN(TRIM(K83))&lt;15,1,0)</f>
        <v>0</v>
      </c>
      <c r="U83" s="3" t="n">
        <f aca="false">IF(COUNTIF($E$2:$E$801,E83)&gt;1,1,0)</f>
        <v>1</v>
      </c>
      <c r="V83" s="3" t="n">
        <f aca="false">Q83*'Spam Rules'!$H$6+R83*'Spam Rules'!$H$7+S83*'Spam Rules'!$H$8+T83*'Spam Rules'!$H$9+U83*'Spam Rules'!$H$10</f>
        <v>0</v>
      </c>
      <c r="W83" s="3" t="str">
        <f aca="false">IF(V83&gt;='Spam Rules'!$B$3,"Likely Spam","Genuine")</f>
        <v>Genuine</v>
      </c>
      <c r="X83" s="3" t="n">
        <f aca="false">IFERROR(INDEX('Scoring Model'!$B$5:$B$11,MATCH(C83,'Scoring Model'!$A$5:$A$11,0)),0)</f>
        <v>5</v>
      </c>
      <c r="Y83" s="3" t="n">
        <f aca="false">IFERROR(INDEX('Scoring Model'!$E$5:$E$7,MATCH(F83,'Scoring Model'!$D$5:$D$7,0)),0)</f>
        <v>0</v>
      </c>
      <c r="Z83" s="3" t="n">
        <f aca="false">IFERROR(INDEX('Scoring Model'!$H$5:$H$13,MATCH(J83,'Scoring Model'!$G$5:$G$13,0)),0)</f>
        <v>0</v>
      </c>
      <c r="AA83" s="3" t="n">
        <f aca="false">IF(L83&gt;='Scoring Model'!$B$14,'Scoring Model'!$B$15,IF(L83&gt;='Scoring Model'!$B$16,'Scoring Model'!$B$17,0))</f>
        <v>0</v>
      </c>
      <c r="AB83" s="3" t="n">
        <f aca="false">IF(SUMPRODUCT(--ISNUMBER(SEARCH('Scoring Model'!$D$16:$D$25,K83)))&gt;0,'Scoring Model'!$B$18,0)</f>
        <v>0</v>
      </c>
      <c r="AC83" s="3" t="n">
        <f aca="false">IF(SUMPRODUCT(--ISNUMBER(SEARCH('Scoring Model'!$G$16:$G$23,K83)))&gt;0,'Scoring Model'!$B$19,0)</f>
        <v>-30</v>
      </c>
      <c r="AD83" s="3" t="n">
        <f aca="false">IF(W83="Likely Spam","",SUM(X83:AC83))</f>
        <v>-25</v>
      </c>
      <c r="AE83" s="3" t="str">
        <f aca="false">IF(W83="Likely Spam","Spam",IF(AD83&gt;='Scoring Model'!$B$21,"Hot",IF(AD83&gt;='Scoring Model'!$B$22,"Warm","Nurture")))</f>
        <v>Nurture</v>
      </c>
      <c r="AF83" s="3" t="str">
        <f aca="false">IF(W83="Likely Spam","Flagged by spam rules",TRIM(IF(X83&gt;=20,"Strong source. ","")&amp;IF(Y83&gt;0,"Company email. ","")&amp;IF(Z83&gt;=15,"High-value product. ","")&amp;IF(AA83&gt;='Scoring Model'!$B$15,"High engagement. ","")&amp;IF(AB83&gt;0,"Buying intent in message. ","")&amp;IF(AC83&lt;0,"Negative intent in message. ","")))</f>
        <v>Negative intent in message.</v>
      </c>
      <c r="AG83" s="11" t="n">
        <f aca="false">IF(W83="Likely Spam","",1/(1+EXP(-('Conversion Model'!$B$5+IFERROR(INDEX('Conversion Model'!$B$8:$B$14,MATCH(C83,'Conversion Model'!$A$8:$A$14,0)),0)+IFERROR(INDEX('Conversion Model'!$E$8:$E$9,MATCH(F83,'Conversion Model'!$D$8:$D$9,0)),0)+IFERROR(INDEX('Conversion Model'!$H$8:$H$12,MATCH(IF(LEFT(J83,8)="Payments","Payments",IF(LEFT(J83,7)="Lending","Lending",J83)),'Conversion Model'!$G$8:$G$12,0)),0)+MIN(L83,15)*'Conversion Model'!$B$17+IF(SUMPRODUCT(--ISNUMBER(SEARCH('Scoring Model'!$D$16:$D$25,K83)))&gt;0,'Conversion Model'!$B$18,0)+IF(SUMPRODUCT(--ISNUMBER(SEARCH('Scoring Model'!$G$16:$G$23,K83)))&gt;0,'Conversion Model'!$B$19,0)))))</f>
        <v>0.00151322163512273</v>
      </c>
      <c r="AH83" s="3" t="n">
        <f aca="false">IF(OR(O83="Qualified",O83="Won",O83="Lost"),1,IF(O83="Unqualified",0,""))</f>
        <v>0</v>
      </c>
    </row>
    <row r="84" customFormat="false" ht="15" hidden="false" customHeight="true" outlineLevel="0" collapsed="false">
      <c r="A84" s="3" t="s">
        <v>468</v>
      </c>
      <c r="B84" s="9" t="n">
        <v>45972.0770833333</v>
      </c>
      <c r="C84" s="3" t="s">
        <v>76</v>
      </c>
      <c r="D84" s="3" t="s">
        <v>469</v>
      </c>
      <c r="E84" s="3" t="s">
        <v>470</v>
      </c>
      <c r="F84" s="3" t="s">
        <v>54</v>
      </c>
      <c r="G84" s="3"/>
      <c r="H84" s="3"/>
      <c r="I84" s="3" t="s">
        <v>260</v>
      </c>
      <c r="J84" s="3" t="s">
        <v>122</v>
      </c>
      <c r="K84" s="3" t="s">
        <v>322</v>
      </c>
      <c r="L84" s="3" t="n">
        <v>1</v>
      </c>
      <c r="M84" s="3" t="n">
        <v>16.6</v>
      </c>
      <c r="N84" s="3" t="s">
        <v>67</v>
      </c>
      <c r="O84" s="3"/>
      <c r="P84" s="10"/>
      <c r="Q84" s="3" t="n">
        <f aca="false">IF(F84="Disposable",1,0)</f>
        <v>0</v>
      </c>
      <c r="R84" s="3" t="n">
        <f aca="false">IF(SUMPRODUCT(--ISNUMBER(SEARCH('Spam Rules'!$A$22:$A$35,K84)))&gt;0,1,0)</f>
        <v>0</v>
      </c>
      <c r="S84" s="3" t="n">
        <f aca="false">IF(AND(F84="Free",G84=""),1,0)</f>
        <v>1</v>
      </c>
      <c r="T84" s="3" t="n">
        <f aca="false">IF(LEN(TRIM(K84))&lt;15,1,0)</f>
        <v>1</v>
      </c>
      <c r="U84" s="3" t="n">
        <f aca="false">IF(COUNTIF($E$2:$E$801,E84)&gt;1,1,0)</f>
        <v>0</v>
      </c>
      <c r="V84" s="3" t="n">
        <f aca="false">Q84*'Spam Rules'!$H$6+R84*'Spam Rules'!$H$7+S84*'Spam Rules'!$H$8+T84*'Spam Rules'!$H$9+U84*'Spam Rules'!$H$10</f>
        <v>1</v>
      </c>
      <c r="W84" s="3" t="str">
        <f aca="false">IF(V84&gt;='Spam Rules'!$B$3,"Likely Spam","Genuine")</f>
        <v>Likely Spam</v>
      </c>
      <c r="X84" s="3" t="n">
        <f aca="false">IFERROR(INDEX('Scoring Model'!$B$5:$B$11,MATCH(C84,'Scoring Model'!$A$5:$A$11,0)),0)</f>
        <v>0</v>
      </c>
      <c r="Y84" s="3" t="n">
        <f aca="false">IFERROR(INDEX('Scoring Model'!$E$5:$E$7,MATCH(F84,'Scoring Model'!$D$5:$D$7,0)),0)</f>
        <v>0</v>
      </c>
      <c r="Z84" s="3" t="n">
        <f aca="false">IFERROR(INDEX('Scoring Model'!$H$5:$H$13,MATCH(J84,'Scoring Model'!$G$5:$G$13,0)),0)</f>
        <v>15</v>
      </c>
      <c r="AA84" s="3" t="n">
        <f aca="false">IF(L84&gt;='Scoring Model'!$B$14,'Scoring Model'!$B$15,IF(L84&gt;='Scoring Model'!$B$16,'Scoring Model'!$B$17,0))</f>
        <v>0</v>
      </c>
      <c r="AB84" s="3" t="n">
        <f aca="false">IF(SUMPRODUCT(--ISNUMBER(SEARCH('Scoring Model'!$D$16:$D$25,K84)))&gt;0,'Scoring Model'!$B$18,0)</f>
        <v>0</v>
      </c>
      <c r="AC84" s="3" t="n">
        <f aca="false">IF(SUMPRODUCT(--ISNUMBER(SEARCH('Scoring Model'!$G$16:$G$23,K84)))&gt;0,'Scoring Model'!$B$19,0)</f>
        <v>0</v>
      </c>
      <c r="AD84" s="3" t="str">
        <f aca="false">IF(W84="Likely Spam","",SUM(X84:AC84))</f>
        <v/>
      </c>
      <c r="AE84" s="3" t="str">
        <f aca="false">IF(W84="Likely Spam","Spam",IF(AD84&gt;='Scoring Model'!$B$21,"Hot",IF(AD84&gt;='Scoring Model'!$B$22,"Warm","Nurture")))</f>
        <v>Spam</v>
      </c>
      <c r="AF84" s="3" t="str">
        <f aca="false">IF(W84="Likely Spam","Flagged by spam rules",TRIM(IF(X84&gt;=20,"Strong source. ","")&amp;IF(Y84&gt;0,"Company email. ","")&amp;IF(Z84&gt;=15,"High-value product. ","")&amp;IF(AA84&gt;='Scoring Model'!$B$15,"High engagement. ","")&amp;IF(AB84&gt;0,"Buying intent in message. ","")&amp;IF(AC84&lt;0,"Negative intent in message. ","")))</f>
        <v>Flagged by spam rules</v>
      </c>
      <c r="AG84" s="11" t="str">
        <f aca="false">IF(W84="Likely Spam","",1/(1+EXP(-('Conversion Model'!$B$5+IFERROR(INDEX('Conversion Model'!$B$8:$B$14,MATCH(C84,'Conversion Model'!$A$8:$A$14,0)),0)+IFERROR(INDEX('Conversion Model'!$E$8:$E$9,MATCH(F84,'Conversion Model'!$D$8:$D$9,0)),0)+IFERROR(INDEX('Conversion Model'!$H$8:$H$12,MATCH(IF(LEFT(J84,8)="Payments","Payments",IF(LEFT(J84,7)="Lending","Lending",J84)),'Conversion Model'!$G$8:$G$12,0)),0)+MIN(L84,15)*'Conversion Model'!$B$17+IF(SUMPRODUCT(--ISNUMBER(SEARCH('Scoring Model'!$D$16:$D$25,K84)))&gt;0,'Conversion Model'!$B$18,0)+IF(SUMPRODUCT(--ISNUMBER(SEARCH('Scoring Model'!$G$16:$G$23,K84)))&gt;0,'Conversion Model'!$B$19,0)))))</f>
        <v/>
      </c>
      <c r="AH84" s="3" t="str">
        <f aca="false">IF(OR(O84="Qualified",O84="Won",O84="Lost"),1,IF(O84="Unqualified",0,""))</f>
        <v/>
      </c>
    </row>
    <row r="85" customFormat="false" ht="15" hidden="false" customHeight="true" outlineLevel="0" collapsed="false">
      <c r="A85" s="3" t="s">
        <v>471</v>
      </c>
      <c r="B85" s="9" t="n">
        <v>45972.5576388889</v>
      </c>
      <c r="C85" s="3" t="s">
        <v>135</v>
      </c>
      <c r="D85" s="3" t="s">
        <v>472</v>
      </c>
      <c r="E85" s="3" t="s">
        <v>473</v>
      </c>
      <c r="F85" s="3" t="s">
        <v>54</v>
      </c>
      <c r="G85" s="3" t="s">
        <v>474</v>
      </c>
      <c r="H85" s="3"/>
      <c r="I85" s="3" t="s">
        <v>260</v>
      </c>
      <c r="J85" s="3" t="s">
        <v>122</v>
      </c>
      <c r="K85" s="3" t="s">
        <v>378</v>
      </c>
      <c r="L85" s="3" t="n">
        <v>4</v>
      </c>
      <c r="M85" s="3" t="n">
        <v>19.8</v>
      </c>
      <c r="N85" s="3" t="s">
        <v>171</v>
      </c>
      <c r="O85" s="3" t="s">
        <v>194</v>
      </c>
      <c r="P85" s="10"/>
      <c r="Q85" s="3" t="n">
        <f aca="false">IF(F85="Disposable",1,0)</f>
        <v>0</v>
      </c>
      <c r="R85" s="3" t="n">
        <f aca="false">IF(SUMPRODUCT(--ISNUMBER(SEARCH('Spam Rules'!$A$22:$A$35,K85)))&gt;0,1,0)</f>
        <v>0</v>
      </c>
      <c r="S85" s="3" t="n">
        <f aca="false">IF(AND(F85="Free",G85=""),1,0)</f>
        <v>0</v>
      </c>
      <c r="T85" s="3" t="n">
        <f aca="false">IF(LEN(TRIM(K85))&lt;15,1,0)</f>
        <v>0</v>
      </c>
      <c r="U85" s="3" t="n">
        <f aca="false">IF(COUNTIF($E$2:$E$801,E85)&gt;1,1,0)</f>
        <v>0</v>
      </c>
      <c r="V85" s="3" t="n">
        <f aca="false">Q85*'Spam Rules'!$H$6+R85*'Spam Rules'!$H$7+S85*'Spam Rules'!$H$8+T85*'Spam Rules'!$H$9+U85*'Spam Rules'!$H$10</f>
        <v>0</v>
      </c>
      <c r="W85" s="3" t="str">
        <f aca="false">IF(V85&gt;='Spam Rules'!$B$3,"Likely Spam","Genuine")</f>
        <v>Genuine</v>
      </c>
      <c r="X85" s="3" t="n">
        <f aca="false">IFERROR(INDEX('Scoring Model'!$B$5:$B$11,MATCH(C85,'Scoring Model'!$A$5:$A$11,0)),0)</f>
        <v>20</v>
      </c>
      <c r="Y85" s="3" t="n">
        <f aca="false">IFERROR(INDEX('Scoring Model'!$E$5:$E$7,MATCH(F85,'Scoring Model'!$D$5:$D$7,0)),0)</f>
        <v>0</v>
      </c>
      <c r="Z85" s="3" t="n">
        <f aca="false">IFERROR(INDEX('Scoring Model'!$H$5:$H$13,MATCH(J85,'Scoring Model'!$G$5:$G$13,0)),0)</f>
        <v>15</v>
      </c>
      <c r="AA85" s="3" t="n">
        <f aca="false">IF(L85&gt;='Scoring Model'!$B$14,'Scoring Model'!$B$15,IF(L85&gt;='Scoring Model'!$B$16,'Scoring Model'!$B$17,0))</f>
        <v>8</v>
      </c>
      <c r="AB85" s="3" t="n">
        <f aca="false">IF(SUMPRODUCT(--ISNUMBER(SEARCH('Scoring Model'!$D$16:$D$25,K85)))&gt;0,'Scoring Model'!$B$18,0)</f>
        <v>0</v>
      </c>
      <c r="AC85" s="3" t="n">
        <f aca="false">IF(SUMPRODUCT(--ISNUMBER(SEARCH('Scoring Model'!$G$16:$G$23,K85)))&gt;0,'Scoring Model'!$B$19,0)</f>
        <v>-30</v>
      </c>
      <c r="AD85" s="3" t="n">
        <f aca="false">IF(W85="Likely Spam","",SUM(X85:AC85))</f>
        <v>13</v>
      </c>
      <c r="AE85" s="3" t="str">
        <f aca="false">IF(W85="Likely Spam","Spam",IF(AD85&gt;='Scoring Model'!$B$21,"Hot",IF(AD85&gt;='Scoring Model'!$B$22,"Warm","Nurture")))</f>
        <v>Nurture</v>
      </c>
      <c r="AF85" s="3" t="str">
        <f aca="false">IF(W85="Likely Spam","Flagged by spam rules",TRIM(IF(X85&gt;=20,"Strong source. ","")&amp;IF(Y85&gt;0,"Company email. ","")&amp;IF(Z85&gt;=15,"High-value product. ","")&amp;IF(AA85&gt;='Scoring Model'!$B$15,"High engagement. ","")&amp;IF(AB85&gt;0,"Buying intent in message. ","")&amp;IF(AC85&lt;0,"Negative intent in message. ","")))</f>
        <v>Strong source. High-value product. Negative intent in message.</v>
      </c>
      <c r="AG85" s="11" t="n">
        <f aca="false">IF(W85="Likely Spam","",1/(1+EXP(-('Conversion Model'!$B$5+IFERROR(INDEX('Conversion Model'!$B$8:$B$14,MATCH(C85,'Conversion Model'!$A$8:$A$14,0)),0)+IFERROR(INDEX('Conversion Model'!$E$8:$E$9,MATCH(F85,'Conversion Model'!$D$8:$D$9,0)),0)+IFERROR(INDEX('Conversion Model'!$H$8:$H$12,MATCH(IF(LEFT(J85,8)="Payments","Payments",IF(LEFT(J85,7)="Lending","Lending",J85)),'Conversion Model'!$G$8:$G$12,0)),0)+MIN(L85,15)*'Conversion Model'!$B$17+IF(SUMPRODUCT(--ISNUMBER(SEARCH('Scoring Model'!$D$16:$D$25,K85)))&gt;0,'Conversion Model'!$B$18,0)+IF(SUMPRODUCT(--ISNUMBER(SEARCH('Scoring Model'!$G$16:$G$23,K85)))&gt;0,'Conversion Model'!$B$19,0)))))</f>
        <v>0.0284429407154362</v>
      </c>
      <c r="AH85" s="3" t="n">
        <f aca="false">IF(OR(O85="Qualified",O85="Won",O85="Lost"),1,IF(O85="Unqualified",0,""))</f>
        <v>0</v>
      </c>
    </row>
    <row r="86" customFormat="false" ht="15" hidden="false" customHeight="true" outlineLevel="0" collapsed="false">
      <c r="A86" s="3" t="s">
        <v>475</v>
      </c>
      <c r="B86" s="9" t="n">
        <v>45972.9826388889</v>
      </c>
      <c r="C86" s="3" t="s">
        <v>160</v>
      </c>
      <c r="D86" s="3" t="s">
        <v>476</v>
      </c>
      <c r="E86" s="3" t="s">
        <v>477</v>
      </c>
      <c r="F86" s="3" t="s">
        <v>22</v>
      </c>
      <c r="G86" s="3" t="s">
        <v>478</v>
      </c>
      <c r="H86" s="3" t="s">
        <v>479</v>
      </c>
      <c r="I86" s="3" t="s">
        <v>188</v>
      </c>
      <c r="J86" s="3" t="s">
        <v>165</v>
      </c>
      <c r="K86" s="3" t="s">
        <v>480</v>
      </c>
      <c r="L86" s="3" t="n">
        <v>4</v>
      </c>
      <c r="M86" s="3" t="n">
        <v>17</v>
      </c>
      <c r="N86" s="3" t="s">
        <v>59</v>
      </c>
      <c r="O86" s="3"/>
      <c r="P86" s="10"/>
      <c r="Q86" s="3" t="n">
        <f aca="false">IF(F86="Disposable",1,0)</f>
        <v>0</v>
      </c>
      <c r="R86" s="3" t="n">
        <f aca="false">IF(SUMPRODUCT(--ISNUMBER(SEARCH('Spam Rules'!$A$22:$A$35,K86)))&gt;0,1,0)</f>
        <v>0</v>
      </c>
      <c r="S86" s="3" t="n">
        <f aca="false">IF(AND(F86="Free",G86=""),1,0)</f>
        <v>0</v>
      </c>
      <c r="T86" s="3" t="n">
        <f aca="false">IF(LEN(TRIM(K86))&lt;15,1,0)</f>
        <v>0</v>
      </c>
      <c r="U86" s="3" t="n">
        <f aca="false">IF(COUNTIF($E$2:$E$801,E86)&gt;1,1,0)</f>
        <v>0</v>
      </c>
      <c r="V86" s="3" t="n">
        <f aca="false">Q86*'Spam Rules'!$H$6+R86*'Spam Rules'!$H$7+S86*'Spam Rules'!$H$8+T86*'Spam Rules'!$H$9+U86*'Spam Rules'!$H$10</f>
        <v>0</v>
      </c>
      <c r="W86" s="3" t="str">
        <f aca="false">IF(V86&gt;='Spam Rules'!$B$3,"Likely Spam","Genuine")</f>
        <v>Genuine</v>
      </c>
      <c r="X86" s="3" t="n">
        <f aca="false">IFERROR(INDEX('Scoring Model'!$B$5:$B$11,MATCH(C86,'Scoring Model'!$A$5:$A$11,0)),0)</f>
        <v>25</v>
      </c>
      <c r="Y86" s="3" t="n">
        <f aca="false">IFERROR(INDEX('Scoring Model'!$E$5:$E$7,MATCH(F86,'Scoring Model'!$D$5:$D$7,0)),0)</f>
        <v>20</v>
      </c>
      <c r="Z86" s="3" t="n">
        <f aca="false">IFERROR(INDEX('Scoring Model'!$H$5:$H$13,MATCH(J86,'Scoring Model'!$G$5:$G$13,0)),0)</f>
        <v>15</v>
      </c>
      <c r="AA86" s="3" t="n">
        <f aca="false">IF(L86&gt;='Scoring Model'!$B$14,'Scoring Model'!$B$15,IF(L86&gt;='Scoring Model'!$B$16,'Scoring Model'!$B$17,0))</f>
        <v>8</v>
      </c>
      <c r="AB86" s="3" t="n">
        <f aca="false">IF(SUMPRODUCT(--ISNUMBER(SEARCH('Scoring Model'!$D$16:$D$25,K86)))&gt;0,'Scoring Model'!$B$18,0)</f>
        <v>15</v>
      </c>
      <c r="AC86" s="3" t="n">
        <f aca="false">IF(SUMPRODUCT(--ISNUMBER(SEARCH('Scoring Model'!$G$16:$G$23,K86)))&gt;0,'Scoring Model'!$B$19,0)</f>
        <v>0</v>
      </c>
      <c r="AD86" s="3" t="n">
        <f aca="false">IF(W86="Likely Spam","",SUM(X86:AC86))</f>
        <v>83</v>
      </c>
      <c r="AE86" s="3" t="str">
        <f aca="false">IF(W86="Likely Spam","Spam",IF(AD86&gt;='Scoring Model'!$B$21,"Hot",IF(AD86&gt;='Scoring Model'!$B$22,"Warm","Nurture")))</f>
        <v>Hot</v>
      </c>
      <c r="AF86" s="3" t="str">
        <f aca="false">IF(W86="Likely Spam","Flagged by spam rules",TRIM(IF(X86&gt;=20,"Strong source. ","")&amp;IF(Y86&gt;0,"Company email. ","")&amp;IF(Z86&gt;=15,"High-value product. ","")&amp;IF(AA86&gt;='Scoring Model'!$B$15,"High engagement. ","")&amp;IF(AB86&gt;0,"Buying intent in message. ","")&amp;IF(AC86&lt;0,"Negative intent in message. ","")))</f>
        <v>Strong source. Company email. High-value product. Buying intent in message.</v>
      </c>
      <c r="AG86" s="11" t="n">
        <f aca="false">IF(W86="Likely Spam","",1/(1+EXP(-('Conversion Model'!$B$5+IFERROR(INDEX('Conversion Model'!$B$8:$B$14,MATCH(C86,'Conversion Model'!$A$8:$A$14,0)),0)+IFERROR(INDEX('Conversion Model'!$E$8:$E$9,MATCH(F86,'Conversion Model'!$D$8:$D$9,0)),0)+IFERROR(INDEX('Conversion Model'!$H$8:$H$12,MATCH(IF(LEFT(J86,8)="Payments","Payments",IF(LEFT(J86,7)="Lending","Lending",J86)),'Conversion Model'!$G$8:$G$12,0)),0)+MIN(L86,15)*'Conversion Model'!$B$17+IF(SUMPRODUCT(--ISNUMBER(SEARCH('Scoring Model'!$D$16:$D$25,K86)))&gt;0,'Conversion Model'!$B$18,0)+IF(SUMPRODUCT(--ISNUMBER(SEARCH('Scoring Model'!$G$16:$G$23,K86)))&gt;0,'Conversion Model'!$B$19,0)))))</f>
        <v>0.622459331201855</v>
      </c>
      <c r="AH86" s="3" t="str">
        <f aca="false">IF(OR(O86="Qualified",O86="Won",O86="Lost"),1,IF(O86="Unqualified",0,""))</f>
        <v/>
      </c>
    </row>
    <row r="87" customFormat="false" ht="15" hidden="false" customHeight="true" outlineLevel="0" collapsed="false">
      <c r="A87" s="3" t="s">
        <v>481</v>
      </c>
      <c r="B87" s="9" t="n">
        <v>45974.1590277778</v>
      </c>
      <c r="C87" s="3" t="s">
        <v>112</v>
      </c>
      <c r="D87" s="3" t="s">
        <v>482</v>
      </c>
      <c r="E87" s="3" t="s">
        <v>483</v>
      </c>
      <c r="F87" s="3" t="s">
        <v>54</v>
      </c>
      <c r="G87" s="3"/>
      <c r="H87" s="3"/>
      <c r="I87" s="3" t="s">
        <v>88</v>
      </c>
      <c r="J87" s="3" t="s">
        <v>81</v>
      </c>
      <c r="K87" s="3" t="s">
        <v>378</v>
      </c>
      <c r="L87" s="3" t="n">
        <v>3</v>
      </c>
      <c r="M87" s="3" t="n">
        <v>20.2</v>
      </c>
      <c r="N87" s="3" t="s">
        <v>67</v>
      </c>
      <c r="O87" s="3" t="s">
        <v>194</v>
      </c>
      <c r="P87" s="10"/>
      <c r="Q87" s="3" t="n">
        <f aca="false">IF(F87="Disposable",1,0)</f>
        <v>0</v>
      </c>
      <c r="R87" s="3" t="n">
        <f aca="false">IF(SUMPRODUCT(--ISNUMBER(SEARCH('Spam Rules'!$A$22:$A$35,K87)))&gt;0,1,0)</f>
        <v>0</v>
      </c>
      <c r="S87" s="3" t="n">
        <f aca="false">IF(AND(F87="Free",G87=""),1,0)</f>
        <v>1</v>
      </c>
      <c r="T87" s="3" t="n">
        <f aca="false">IF(LEN(TRIM(K87))&lt;15,1,0)</f>
        <v>0</v>
      </c>
      <c r="U87" s="3" t="n">
        <f aca="false">IF(COUNTIF($E$2:$E$801,E87)&gt;1,1,0)</f>
        <v>0</v>
      </c>
      <c r="V87" s="3" t="n">
        <f aca="false">Q87*'Spam Rules'!$H$6+R87*'Spam Rules'!$H$7+S87*'Spam Rules'!$H$8+T87*'Spam Rules'!$H$9+U87*'Spam Rules'!$H$10</f>
        <v>0</v>
      </c>
      <c r="W87" s="3" t="str">
        <f aca="false">IF(V87&gt;='Spam Rules'!$B$3,"Likely Spam","Genuine")</f>
        <v>Genuine</v>
      </c>
      <c r="X87" s="3" t="n">
        <f aca="false">IFERROR(INDEX('Scoring Model'!$B$5:$B$11,MATCH(C87,'Scoring Model'!$A$5:$A$11,0)),0)</f>
        <v>15</v>
      </c>
      <c r="Y87" s="3" t="n">
        <f aca="false">IFERROR(INDEX('Scoring Model'!$E$5:$E$7,MATCH(F87,'Scoring Model'!$D$5:$D$7,0)),0)</f>
        <v>0</v>
      </c>
      <c r="Z87" s="3" t="n">
        <f aca="false">IFERROR(INDEX('Scoring Model'!$H$5:$H$13,MATCH(J87,'Scoring Model'!$G$5:$G$13,0)),0)</f>
        <v>5</v>
      </c>
      <c r="AA87" s="3" t="n">
        <f aca="false">IF(L87&gt;='Scoring Model'!$B$14,'Scoring Model'!$B$15,IF(L87&gt;='Scoring Model'!$B$16,'Scoring Model'!$B$17,0))</f>
        <v>0</v>
      </c>
      <c r="AB87" s="3" t="n">
        <f aca="false">IF(SUMPRODUCT(--ISNUMBER(SEARCH('Scoring Model'!$D$16:$D$25,K87)))&gt;0,'Scoring Model'!$B$18,0)</f>
        <v>0</v>
      </c>
      <c r="AC87" s="3" t="n">
        <f aca="false">IF(SUMPRODUCT(--ISNUMBER(SEARCH('Scoring Model'!$G$16:$G$23,K87)))&gt;0,'Scoring Model'!$B$19,0)</f>
        <v>-30</v>
      </c>
      <c r="AD87" s="3" t="n">
        <f aca="false">IF(W87="Likely Spam","",SUM(X87:AC87))</f>
        <v>-10</v>
      </c>
      <c r="AE87" s="3" t="str">
        <f aca="false">IF(W87="Likely Spam","Spam",IF(AD87&gt;='Scoring Model'!$B$21,"Hot",IF(AD87&gt;='Scoring Model'!$B$22,"Warm","Nurture")))</f>
        <v>Nurture</v>
      </c>
      <c r="AF87" s="3" t="str">
        <f aca="false">IF(W87="Likely Spam","Flagged by spam rules",TRIM(IF(X87&gt;=20,"Strong source. ","")&amp;IF(Y87&gt;0,"Company email. ","")&amp;IF(Z87&gt;=15,"High-value product. ","")&amp;IF(AA87&gt;='Scoring Model'!$B$15,"High engagement. ","")&amp;IF(AB87&gt;0,"Buying intent in message. ","")&amp;IF(AC87&lt;0,"Negative intent in message. ","")))</f>
        <v>Negative intent in message.</v>
      </c>
      <c r="AG87" s="11" t="n">
        <f aca="false">IF(W87="Likely Spam","",1/(1+EXP(-('Conversion Model'!$B$5+IFERROR(INDEX('Conversion Model'!$B$8:$B$14,MATCH(C87,'Conversion Model'!$A$8:$A$14,0)),0)+IFERROR(INDEX('Conversion Model'!$E$8:$E$9,MATCH(F87,'Conversion Model'!$D$8:$D$9,0)),0)+IFERROR(INDEX('Conversion Model'!$H$8:$H$12,MATCH(IF(LEFT(J87,8)="Payments","Payments",IF(LEFT(J87,7)="Lending","Lending",J87)),'Conversion Model'!$G$8:$G$12,0)),0)+MIN(L87,15)*'Conversion Model'!$B$17+IF(SUMPRODUCT(--ISNUMBER(SEARCH('Scoring Model'!$D$16:$D$25,K87)))&gt;0,'Conversion Model'!$B$18,0)+IF(SUMPRODUCT(--ISNUMBER(SEARCH('Scoring Model'!$G$16:$G$23,K87)))&gt;0,'Conversion Model'!$B$19,0)))))</f>
        <v>0.00381877311039462</v>
      </c>
      <c r="AH87" s="3" t="n">
        <f aca="false">IF(OR(O87="Qualified",O87="Won",O87="Lost"),1,IF(O87="Unqualified",0,""))</f>
        <v>0</v>
      </c>
    </row>
    <row r="88" customFormat="false" ht="15" hidden="false" customHeight="true" outlineLevel="0" collapsed="false">
      <c r="A88" s="3" t="s">
        <v>484</v>
      </c>
      <c r="B88" s="9" t="n">
        <v>45974.6006944445</v>
      </c>
      <c r="C88" s="3" t="s">
        <v>51</v>
      </c>
      <c r="D88" s="3" t="s">
        <v>485</v>
      </c>
      <c r="E88" s="3" t="s">
        <v>486</v>
      </c>
      <c r="F88" s="3" t="s">
        <v>22</v>
      </c>
      <c r="G88" s="3" t="s">
        <v>487</v>
      </c>
      <c r="H88" s="3" t="s">
        <v>488</v>
      </c>
      <c r="I88" s="3" t="s">
        <v>334</v>
      </c>
      <c r="J88" s="3" t="s">
        <v>81</v>
      </c>
      <c r="K88" s="3" t="s">
        <v>89</v>
      </c>
      <c r="L88" s="3" t="n">
        <v>1</v>
      </c>
      <c r="M88" s="3"/>
      <c r="N88" s="3" t="s">
        <v>67</v>
      </c>
      <c r="O88" s="3" t="s">
        <v>68</v>
      </c>
      <c r="P88" s="10"/>
      <c r="Q88" s="3" t="n">
        <f aca="false">IF(F88="Disposable",1,0)</f>
        <v>0</v>
      </c>
      <c r="R88" s="3" t="n">
        <f aca="false">IF(SUMPRODUCT(--ISNUMBER(SEARCH('Spam Rules'!$A$22:$A$35,K88)))&gt;0,1,0)</f>
        <v>1</v>
      </c>
      <c r="S88" s="3" t="n">
        <f aca="false">IF(AND(F88="Free",G88=""),1,0)</f>
        <v>0</v>
      </c>
      <c r="T88" s="3" t="n">
        <f aca="false">IF(LEN(TRIM(K88))&lt;15,1,0)</f>
        <v>0</v>
      </c>
      <c r="U88" s="3" t="n">
        <f aca="false">IF(COUNTIF($E$2:$E$801,E88)&gt;1,1,0)</f>
        <v>1</v>
      </c>
      <c r="V88" s="3" t="n">
        <f aca="false">Q88*'Spam Rules'!$H$6+R88*'Spam Rules'!$H$7+S88*'Spam Rules'!$H$8+T88*'Spam Rules'!$H$9+U88*'Spam Rules'!$H$10</f>
        <v>1</v>
      </c>
      <c r="W88" s="3" t="str">
        <f aca="false">IF(V88&gt;='Spam Rules'!$B$3,"Likely Spam","Genuine")</f>
        <v>Likely Spam</v>
      </c>
      <c r="X88" s="3" t="n">
        <f aca="false">IFERROR(INDEX('Scoring Model'!$B$5:$B$11,MATCH(C88,'Scoring Model'!$A$5:$A$11,0)),0)</f>
        <v>10</v>
      </c>
      <c r="Y88" s="3" t="n">
        <f aca="false">IFERROR(INDEX('Scoring Model'!$E$5:$E$7,MATCH(F88,'Scoring Model'!$D$5:$D$7,0)),0)</f>
        <v>20</v>
      </c>
      <c r="Z88" s="3" t="n">
        <f aca="false">IFERROR(INDEX('Scoring Model'!$H$5:$H$13,MATCH(J88,'Scoring Model'!$G$5:$G$13,0)),0)</f>
        <v>5</v>
      </c>
      <c r="AA88" s="3" t="n">
        <f aca="false">IF(L88&gt;='Scoring Model'!$B$14,'Scoring Model'!$B$15,IF(L88&gt;='Scoring Model'!$B$16,'Scoring Model'!$B$17,0))</f>
        <v>0</v>
      </c>
      <c r="AB88" s="3" t="n">
        <f aca="false">IF(SUMPRODUCT(--ISNUMBER(SEARCH('Scoring Model'!$D$16:$D$25,K88)))&gt;0,'Scoring Model'!$B$18,0)</f>
        <v>0</v>
      </c>
      <c r="AC88" s="3" t="n">
        <f aca="false">IF(SUMPRODUCT(--ISNUMBER(SEARCH('Scoring Model'!$G$16:$G$23,K88)))&gt;0,'Scoring Model'!$B$19,0)</f>
        <v>0</v>
      </c>
      <c r="AD88" s="3" t="str">
        <f aca="false">IF(W88="Likely Spam","",SUM(X88:AC88))</f>
        <v/>
      </c>
      <c r="AE88" s="3" t="str">
        <f aca="false">IF(W88="Likely Spam","Spam",IF(AD88&gt;='Scoring Model'!$B$21,"Hot",IF(AD88&gt;='Scoring Model'!$B$22,"Warm","Nurture")))</f>
        <v>Spam</v>
      </c>
      <c r="AF88" s="3" t="str">
        <f aca="false">IF(W88="Likely Spam","Flagged by spam rules",TRIM(IF(X88&gt;=20,"Strong source. ","")&amp;IF(Y88&gt;0,"Company email. ","")&amp;IF(Z88&gt;=15,"High-value product. ","")&amp;IF(AA88&gt;='Scoring Model'!$B$15,"High engagement. ","")&amp;IF(AB88&gt;0,"Buying intent in message. ","")&amp;IF(AC88&lt;0,"Negative intent in message. ","")))</f>
        <v>Flagged by spam rules</v>
      </c>
      <c r="AG88" s="11" t="str">
        <f aca="false">IF(W88="Likely Spam","",1/(1+EXP(-('Conversion Model'!$B$5+IFERROR(INDEX('Conversion Model'!$B$8:$B$14,MATCH(C88,'Conversion Model'!$A$8:$A$14,0)),0)+IFERROR(INDEX('Conversion Model'!$E$8:$E$9,MATCH(F88,'Conversion Model'!$D$8:$D$9,0)),0)+IFERROR(INDEX('Conversion Model'!$H$8:$H$12,MATCH(IF(LEFT(J88,8)="Payments","Payments",IF(LEFT(J88,7)="Lending","Lending",J88)),'Conversion Model'!$G$8:$G$12,0)),0)+MIN(L88,15)*'Conversion Model'!$B$17+IF(SUMPRODUCT(--ISNUMBER(SEARCH('Scoring Model'!$D$16:$D$25,K88)))&gt;0,'Conversion Model'!$B$18,0)+IF(SUMPRODUCT(--ISNUMBER(SEARCH('Scoring Model'!$G$16:$G$23,K88)))&gt;0,'Conversion Model'!$B$19,0)))))</f>
        <v/>
      </c>
      <c r="AH88" s="3" t="str">
        <f aca="false">IF(OR(O88="Qualified",O88="Won",O88="Lost"),1,IF(O88="Unqualified",0,""))</f>
        <v/>
      </c>
    </row>
    <row r="89" customFormat="false" ht="15" hidden="false" customHeight="true" outlineLevel="0" collapsed="false">
      <c r="A89" s="3" t="s">
        <v>489</v>
      </c>
      <c r="B89" s="9" t="n">
        <v>45975.0055555556</v>
      </c>
      <c r="C89" s="3" t="s">
        <v>76</v>
      </c>
      <c r="D89" s="3" t="s">
        <v>490</v>
      </c>
      <c r="E89" s="3" t="s">
        <v>491</v>
      </c>
      <c r="F89" s="3" t="s">
        <v>22</v>
      </c>
      <c r="G89" s="3" t="s">
        <v>492</v>
      </c>
      <c r="H89" s="3" t="s">
        <v>493</v>
      </c>
      <c r="I89" s="3" t="s">
        <v>260</v>
      </c>
      <c r="J89" s="3" t="s">
        <v>145</v>
      </c>
      <c r="K89" s="3" t="s">
        <v>101</v>
      </c>
      <c r="L89" s="3" t="n">
        <v>3</v>
      </c>
      <c r="M89" s="3" t="n">
        <v>34.8</v>
      </c>
      <c r="N89" s="3" t="s">
        <v>59</v>
      </c>
      <c r="O89" s="3" t="s">
        <v>194</v>
      </c>
      <c r="P89" s="10"/>
      <c r="Q89" s="3" t="n">
        <f aca="false">IF(F89="Disposable",1,0)</f>
        <v>0</v>
      </c>
      <c r="R89" s="3" t="n">
        <f aca="false">IF(SUMPRODUCT(--ISNUMBER(SEARCH('Spam Rules'!$A$22:$A$35,K89)))&gt;0,1,0)</f>
        <v>0</v>
      </c>
      <c r="S89" s="3" t="n">
        <f aca="false">IF(AND(F89="Free",G89=""),1,0)</f>
        <v>0</v>
      </c>
      <c r="T89" s="3" t="n">
        <f aca="false">IF(LEN(TRIM(K89))&lt;15,1,0)</f>
        <v>0</v>
      </c>
      <c r="U89" s="3" t="n">
        <f aca="false">IF(COUNTIF($E$2:$E$801,E89)&gt;1,1,0)</f>
        <v>0</v>
      </c>
      <c r="V89" s="3" t="n">
        <f aca="false">Q89*'Spam Rules'!$H$6+R89*'Spam Rules'!$H$7+S89*'Spam Rules'!$H$8+T89*'Spam Rules'!$H$9+U89*'Spam Rules'!$H$10</f>
        <v>0</v>
      </c>
      <c r="W89" s="3" t="str">
        <f aca="false">IF(V89&gt;='Spam Rules'!$B$3,"Likely Spam","Genuine")</f>
        <v>Genuine</v>
      </c>
      <c r="X89" s="3" t="n">
        <f aca="false">IFERROR(INDEX('Scoring Model'!$B$5:$B$11,MATCH(C89,'Scoring Model'!$A$5:$A$11,0)),0)</f>
        <v>0</v>
      </c>
      <c r="Y89" s="3" t="n">
        <f aca="false">IFERROR(INDEX('Scoring Model'!$E$5:$E$7,MATCH(F89,'Scoring Model'!$D$5:$D$7,0)),0)</f>
        <v>20</v>
      </c>
      <c r="Z89" s="3" t="n">
        <f aca="false">IFERROR(INDEX('Scoring Model'!$H$5:$H$13,MATCH(J89,'Scoring Model'!$G$5:$G$13,0)),0)</f>
        <v>5</v>
      </c>
      <c r="AA89" s="3" t="n">
        <f aca="false">IF(L89&gt;='Scoring Model'!$B$14,'Scoring Model'!$B$15,IF(L89&gt;='Scoring Model'!$B$16,'Scoring Model'!$B$17,0))</f>
        <v>0</v>
      </c>
      <c r="AB89" s="3" t="n">
        <f aca="false">IF(SUMPRODUCT(--ISNUMBER(SEARCH('Scoring Model'!$D$16:$D$25,K89)))&gt;0,'Scoring Model'!$B$18,0)</f>
        <v>0</v>
      </c>
      <c r="AC89" s="3" t="n">
        <f aca="false">IF(SUMPRODUCT(--ISNUMBER(SEARCH('Scoring Model'!$G$16:$G$23,K89)))&gt;0,'Scoring Model'!$B$19,0)</f>
        <v>-30</v>
      </c>
      <c r="AD89" s="3" t="n">
        <f aca="false">IF(W89="Likely Spam","",SUM(X89:AC89))</f>
        <v>-5</v>
      </c>
      <c r="AE89" s="3" t="str">
        <f aca="false">IF(W89="Likely Spam","Spam",IF(AD89&gt;='Scoring Model'!$B$21,"Hot",IF(AD89&gt;='Scoring Model'!$B$22,"Warm","Nurture")))</f>
        <v>Nurture</v>
      </c>
      <c r="AF89" s="3" t="str">
        <f aca="false">IF(W89="Likely Spam","Flagged by spam rules",TRIM(IF(X89&gt;=20,"Strong source. ","")&amp;IF(Y89&gt;0,"Company email. ","")&amp;IF(Z89&gt;=15,"High-value product. ","")&amp;IF(AA89&gt;='Scoring Model'!$B$15,"High engagement. ","")&amp;IF(AB89&gt;0,"Buying intent in message. ","")&amp;IF(AC89&lt;0,"Negative intent in message. ","")))</f>
        <v>Company email. Negative intent in message.</v>
      </c>
      <c r="AG89" s="11" t="n">
        <f aca="false">IF(W89="Likely Spam","",1/(1+EXP(-('Conversion Model'!$B$5+IFERROR(INDEX('Conversion Model'!$B$8:$B$14,MATCH(C89,'Conversion Model'!$A$8:$A$14,0)),0)+IFERROR(INDEX('Conversion Model'!$E$8:$E$9,MATCH(F89,'Conversion Model'!$D$8:$D$9,0)),0)+IFERROR(INDEX('Conversion Model'!$H$8:$H$12,MATCH(IF(LEFT(J89,8)="Payments","Payments",IF(LEFT(J89,7)="Lending","Lending",J89)),'Conversion Model'!$G$8:$G$12,0)),0)+MIN(L89,15)*'Conversion Model'!$B$17+IF(SUMPRODUCT(--ISNUMBER(SEARCH('Scoring Model'!$D$16:$D$25,K89)))&gt;0,'Conversion Model'!$B$18,0)+IF(SUMPRODUCT(--ISNUMBER(SEARCH('Scoring Model'!$G$16:$G$23,K89)))&gt;0,'Conversion Model'!$B$19,0)))))</f>
        <v>0.0112508163831601</v>
      </c>
      <c r="AH89" s="3" t="n">
        <f aca="false">IF(OR(O89="Qualified",O89="Won",O89="Lost"),1,IF(O89="Unqualified",0,""))</f>
        <v>0</v>
      </c>
    </row>
    <row r="90" customFormat="false" ht="15" hidden="false" customHeight="true" outlineLevel="0" collapsed="false">
      <c r="A90" s="3" t="s">
        <v>494</v>
      </c>
      <c r="B90" s="9" t="n">
        <v>45975.0347222222</v>
      </c>
      <c r="C90" s="3" t="s">
        <v>135</v>
      </c>
      <c r="D90" s="3" t="s">
        <v>495</v>
      </c>
      <c r="E90" s="3" t="s">
        <v>496</v>
      </c>
      <c r="F90" s="3" t="s">
        <v>22</v>
      </c>
      <c r="G90" s="3" t="s">
        <v>497</v>
      </c>
      <c r="H90" s="3" t="s">
        <v>498</v>
      </c>
      <c r="I90" s="3" t="s">
        <v>64</v>
      </c>
      <c r="J90" s="3" t="s">
        <v>145</v>
      </c>
      <c r="K90" s="3" t="s">
        <v>58</v>
      </c>
      <c r="L90" s="3" t="n">
        <v>5</v>
      </c>
      <c r="M90" s="3" t="n">
        <v>6.9</v>
      </c>
      <c r="N90" s="3" t="s">
        <v>59</v>
      </c>
      <c r="O90" s="3" t="s">
        <v>331</v>
      </c>
      <c r="P90" s="10"/>
      <c r="Q90" s="3" t="n">
        <f aca="false">IF(F90="Disposable",1,0)</f>
        <v>0</v>
      </c>
      <c r="R90" s="3" t="n">
        <f aca="false">IF(SUMPRODUCT(--ISNUMBER(SEARCH('Spam Rules'!$A$22:$A$35,K90)))&gt;0,1,0)</f>
        <v>0</v>
      </c>
      <c r="S90" s="3" t="n">
        <f aca="false">IF(AND(F90="Free",G90=""),1,0)</f>
        <v>0</v>
      </c>
      <c r="T90" s="3" t="n">
        <f aca="false">IF(LEN(TRIM(K90))&lt;15,1,0)</f>
        <v>0</v>
      </c>
      <c r="U90" s="3" t="n">
        <f aca="false">IF(COUNTIF($E$2:$E$801,E90)&gt;1,1,0)</f>
        <v>0</v>
      </c>
      <c r="V90" s="3" t="n">
        <f aca="false">Q90*'Spam Rules'!$H$6+R90*'Spam Rules'!$H$7+S90*'Spam Rules'!$H$8+T90*'Spam Rules'!$H$9+U90*'Spam Rules'!$H$10</f>
        <v>0</v>
      </c>
      <c r="W90" s="3" t="str">
        <f aca="false">IF(V90&gt;='Spam Rules'!$B$3,"Likely Spam","Genuine")</f>
        <v>Genuine</v>
      </c>
      <c r="X90" s="3" t="n">
        <f aca="false">IFERROR(INDEX('Scoring Model'!$B$5:$B$11,MATCH(C90,'Scoring Model'!$A$5:$A$11,0)),0)</f>
        <v>20</v>
      </c>
      <c r="Y90" s="3" t="n">
        <f aca="false">IFERROR(INDEX('Scoring Model'!$E$5:$E$7,MATCH(F90,'Scoring Model'!$D$5:$D$7,0)),0)</f>
        <v>20</v>
      </c>
      <c r="Z90" s="3" t="n">
        <f aca="false">IFERROR(INDEX('Scoring Model'!$H$5:$H$13,MATCH(J90,'Scoring Model'!$G$5:$G$13,0)),0)</f>
        <v>5</v>
      </c>
      <c r="AA90" s="3" t="n">
        <f aca="false">IF(L90&gt;='Scoring Model'!$B$14,'Scoring Model'!$B$15,IF(L90&gt;='Scoring Model'!$B$16,'Scoring Model'!$B$17,0))</f>
        <v>8</v>
      </c>
      <c r="AB90" s="3" t="n">
        <f aca="false">IF(SUMPRODUCT(--ISNUMBER(SEARCH('Scoring Model'!$D$16:$D$25,K90)))&gt;0,'Scoring Model'!$B$18,0)</f>
        <v>15</v>
      </c>
      <c r="AC90" s="3" t="n">
        <f aca="false">IF(SUMPRODUCT(--ISNUMBER(SEARCH('Scoring Model'!$G$16:$G$23,K90)))&gt;0,'Scoring Model'!$B$19,0)</f>
        <v>0</v>
      </c>
      <c r="AD90" s="3" t="n">
        <f aca="false">IF(W90="Likely Spam","",SUM(X90:AC90))</f>
        <v>68</v>
      </c>
      <c r="AE90" s="3" t="str">
        <f aca="false">IF(W90="Likely Spam","Spam",IF(AD90&gt;='Scoring Model'!$B$21,"Hot",IF(AD90&gt;='Scoring Model'!$B$22,"Warm","Nurture")))</f>
        <v>Warm</v>
      </c>
      <c r="AF90" s="3" t="str">
        <f aca="false">IF(W90="Likely Spam","Flagged by spam rules",TRIM(IF(X90&gt;=20,"Strong source. ","")&amp;IF(Y90&gt;0,"Company email. ","")&amp;IF(Z90&gt;=15,"High-value product. ","")&amp;IF(AA90&gt;='Scoring Model'!$B$15,"High engagement. ","")&amp;IF(AB90&gt;0,"Buying intent in message. ","")&amp;IF(AC90&lt;0,"Negative intent in message. ","")))</f>
        <v>Strong source. Company email. Buying intent in message.</v>
      </c>
      <c r="AG90" s="11" t="n">
        <f aca="false">IF(W90="Likely Spam","",1/(1+EXP(-('Conversion Model'!$B$5+IFERROR(INDEX('Conversion Model'!$B$8:$B$14,MATCH(C90,'Conversion Model'!$A$8:$A$14,0)),0)+IFERROR(INDEX('Conversion Model'!$E$8:$E$9,MATCH(F90,'Conversion Model'!$D$8:$D$9,0)),0)+IFERROR(INDEX('Conversion Model'!$H$8:$H$12,MATCH(IF(LEFT(J90,8)="Payments","Payments",IF(LEFT(J90,7)="Lending","Lending",J90)),'Conversion Model'!$G$8:$G$12,0)),0)+MIN(L90,15)*'Conversion Model'!$B$17+IF(SUMPRODUCT(--ISNUMBER(SEARCH('Scoring Model'!$D$16:$D$25,K90)))&gt;0,'Conversion Model'!$B$18,0)+IF(SUMPRODUCT(--ISNUMBER(SEARCH('Scoring Model'!$G$16:$G$23,K90)))&gt;0,'Conversion Model'!$B$19,0)))))</f>
        <v>0.861045403428119</v>
      </c>
      <c r="AH90" s="3" t="n">
        <f aca="false">IF(OR(O90="Qualified",O90="Won",O90="Lost"),1,IF(O90="Unqualified",0,""))</f>
        <v>1</v>
      </c>
    </row>
    <row r="91" customFormat="false" ht="15" hidden="false" customHeight="true" outlineLevel="0" collapsed="false">
      <c r="A91" s="3" t="s">
        <v>499</v>
      </c>
      <c r="B91" s="9" t="n">
        <v>45975.0472222222</v>
      </c>
      <c r="C91" s="3" t="s">
        <v>135</v>
      </c>
      <c r="D91" s="3" t="s">
        <v>500</v>
      </c>
      <c r="E91" s="3" t="s">
        <v>501</v>
      </c>
      <c r="F91" s="3" t="s">
        <v>54</v>
      </c>
      <c r="G91" s="3" t="s">
        <v>502</v>
      </c>
      <c r="H91" s="3"/>
      <c r="I91" s="3" t="s">
        <v>80</v>
      </c>
      <c r="J91" s="3" t="s">
        <v>65</v>
      </c>
      <c r="K91" s="3" t="s">
        <v>74</v>
      </c>
      <c r="L91" s="3" t="n">
        <v>3</v>
      </c>
      <c r="M91" s="3" t="n">
        <v>5.3</v>
      </c>
      <c r="N91" s="3" t="s">
        <v>96</v>
      </c>
      <c r="O91" s="3"/>
      <c r="P91" s="10"/>
      <c r="Q91" s="3" t="n">
        <f aca="false">IF(F91="Disposable",1,0)</f>
        <v>0</v>
      </c>
      <c r="R91" s="3" t="n">
        <f aca="false">IF(SUMPRODUCT(--ISNUMBER(SEARCH('Spam Rules'!$A$22:$A$35,K91)))&gt;0,1,0)</f>
        <v>0</v>
      </c>
      <c r="S91" s="3" t="n">
        <f aca="false">IF(AND(F91="Free",G91=""),1,0)</f>
        <v>0</v>
      </c>
      <c r="T91" s="3" t="n">
        <f aca="false">IF(LEN(TRIM(K91))&lt;15,1,0)</f>
        <v>0</v>
      </c>
      <c r="U91" s="3" t="n">
        <f aca="false">IF(COUNTIF($E$2:$E$801,E91)&gt;1,1,0)</f>
        <v>0</v>
      </c>
      <c r="V91" s="3" t="n">
        <f aca="false">Q91*'Spam Rules'!$H$6+R91*'Spam Rules'!$H$7+S91*'Spam Rules'!$H$8+T91*'Spam Rules'!$H$9+U91*'Spam Rules'!$H$10</f>
        <v>0</v>
      </c>
      <c r="W91" s="3" t="str">
        <f aca="false">IF(V91&gt;='Spam Rules'!$B$3,"Likely Spam","Genuine")</f>
        <v>Genuine</v>
      </c>
      <c r="X91" s="3" t="n">
        <f aca="false">IFERROR(INDEX('Scoring Model'!$B$5:$B$11,MATCH(C91,'Scoring Model'!$A$5:$A$11,0)),0)</f>
        <v>20</v>
      </c>
      <c r="Y91" s="3" t="n">
        <f aca="false">IFERROR(INDEX('Scoring Model'!$E$5:$E$7,MATCH(F91,'Scoring Model'!$D$5:$D$7,0)),0)</f>
        <v>0</v>
      </c>
      <c r="Z91" s="3" t="n">
        <f aca="false">IFERROR(INDEX('Scoring Model'!$H$5:$H$13,MATCH(J91,'Scoring Model'!$G$5:$G$13,0)),0)</f>
        <v>0</v>
      </c>
      <c r="AA91" s="3" t="n">
        <f aca="false">IF(L91&gt;='Scoring Model'!$B$14,'Scoring Model'!$B$15,IF(L91&gt;='Scoring Model'!$B$16,'Scoring Model'!$B$17,0))</f>
        <v>0</v>
      </c>
      <c r="AB91" s="3" t="n">
        <f aca="false">IF(SUMPRODUCT(--ISNUMBER(SEARCH('Scoring Model'!$D$16:$D$25,K91)))&gt;0,'Scoring Model'!$B$18,0)</f>
        <v>0</v>
      </c>
      <c r="AC91" s="3" t="n">
        <f aca="false">IF(SUMPRODUCT(--ISNUMBER(SEARCH('Scoring Model'!$G$16:$G$23,K91)))&gt;0,'Scoring Model'!$B$19,0)</f>
        <v>-30</v>
      </c>
      <c r="AD91" s="3" t="n">
        <f aca="false">IF(W91="Likely Spam","",SUM(X91:AC91))</f>
        <v>-10</v>
      </c>
      <c r="AE91" s="3" t="str">
        <f aca="false">IF(W91="Likely Spam","Spam",IF(AD91&gt;='Scoring Model'!$B$21,"Hot",IF(AD91&gt;='Scoring Model'!$B$22,"Warm","Nurture")))</f>
        <v>Nurture</v>
      </c>
      <c r="AF91" s="3" t="str">
        <f aca="false">IF(W91="Likely Spam","Flagged by spam rules",TRIM(IF(X91&gt;=20,"Strong source. ","")&amp;IF(Y91&gt;0,"Company email. ","")&amp;IF(Z91&gt;=15,"High-value product. ","")&amp;IF(AA91&gt;='Scoring Model'!$B$15,"High engagement. ","")&amp;IF(AB91&gt;0,"Buying intent in message. ","")&amp;IF(AC91&lt;0,"Negative intent in message. ","")))</f>
        <v>Strong source. Negative intent in message.</v>
      </c>
      <c r="AG91" s="11" t="n">
        <f aca="false">IF(W91="Likely Spam","",1/(1+EXP(-('Conversion Model'!$B$5+IFERROR(INDEX('Conversion Model'!$B$8:$B$14,MATCH(C91,'Conversion Model'!$A$8:$A$14,0)),0)+IFERROR(INDEX('Conversion Model'!$E$8:$E$9,MATCH(F91,'Conversion Model'!$D$8:$D$9,0)),0)+IFERROR(INDEX('Conversion Model'!$H$8:$H$12,MATCH(IF(LEFT(J91,8)="Payments","Payments",IF(LEFT(J91,7)="Lending","Lending",J91)),'Conversion Model'!$G$8:$G$12,0)),0)+MIN(L91,15)*'Conversion Model'!$B$17+IF(SUMPRODUCT(--ISNUMBER(SEARCH('Scoring Model'!$D$16:$D$25,K91)))&gt;0,'Conversion Model'!$B$18,0)+IF(SUMPRODUCT(--ISNUMBER(SEARCH('Scoring Model'!$G$16:$G$23,K91)))&gt;0,'Conversion Model'!$B$19,0)))))</f>
        <v>0.010965231412524</v>
      </c>
      <c r="AH91" s="3" t="str">
        <f aca="false">IF(OR(O91="Qualified",O91="Won",O91="Lost"),1,IF(O91="Unqualified",0,""))</f>
        <v/>
      </c>
    </row>
    <row r="92" customFormat="false" ht="15" hidden="false" customHeight="true" outlineLevel="0" collapsed="false">
      <c r="A92" s="3" t="s">
        <v>503</v>
      </c>
      <c r="B92" s="9" t="n">
        <v>45975.2131944444</v>
      </c>
      <c r="C92" s="3" t="s">
        <v>91</v>
      </c>
      <c r="D92" s="3" t="s">
        <v>504</v>
      </c>
      <c r="E92" s="3" t="s">
        <v>505</v>
      </c>
      <c r="F92" s="3" t="s">
        <v>54</v>
      </c>
      <c r="G92" s="3" t="s">
        <v>502</v>
      </c>
      <c r="H92" s="3"/>
      <c r="I92" s="3" t="s">
        <v>107</v>
      </c>
      <c r="J92" s="3" t="s">
        <v>108</v>
      </c>
      <c r="K92" s="3" t="s">
        <v>506</v>
      </c>
      <c r="L92" s="3" t="n">
        <v>3</v>
      </c>
      <c r="M92" s="3" t="n">
        <v>10.5</v>
      </c>
      <c r="N92" s="3" t="s">
        <v>171</v>
      </c>
      <c r="O92" s="3" t="s">
        <v>194</v>
      </c>
      <c r="P92" s="10"/>
      <c r="Q92" s="3" t="n">
        <f aca="false">IF(F92="Disposable",1,0)</f>
        <v>0</v>
      </c>
      <c r="R92" s="3" t="n">
        <f aca="false">IF(SUMPRODUCT(--ISNUMBER(SEARCH('Spam Rules'!$A$22:$A$35,K92)))&gt;0,1,0)</f>
        <v>0</v>
      </c>
      <c r="S92" s="3" t="n">
        <f aca="false">IF(AND(F92="Free",G92=""),1,0)</f>
        <v>0</v>
      </c>
      <c r="T92" s="3" t="n">
        <f aca="false">IF(LEN(TRIM(K92))&lt;15,1,0)</f>
        <v>0</v>
      </c>
      <c r="U92" s="3" t="n">
        <f aca="false">IF(COUNTIF($E$2:$E$801,E92)&gt;1,1,0)</f>
        <v>0</v>
      </c>
      <c r="V92" s="3" t="n">
        <f aca="false">Q92*'Spam Rules'!$H$6+R92*'Spam Rules'!$H$7+S92*'Spam Rules'!$H$8+T92*'Spam Rules'!$H$9+U92*'Spam Rules'!$H$10</f>
        <v>0</v>
      </c>
      <c r="W92" s="3" t="str">
        <f aca="false">IF(V92&gt;='Spam Rules'!$B$3,"Likely Spam","Genuine")</f>
        <v>Genuine</v>
      </c>
      <c r="X92" s="3" t="n">
        <f aca="false">IFERROR(INDEX('Scoring Model'!$B$5:$B$11,MATCH(C92,'Scoring Model'!$A$5:$A$11,0)),0)</f>
        <v>5</v>
      </c>
      <c r="Y92" s="3" t="n">
        <f aca="false">IFERROR(INDEX('Scoring Model'!$E$5:$E$7,MATCH(F92,'Scoring Model'!$D$5:$D$7,0)),0)</f>
        <v>0</v>
      </c>
      <c r="Z92" s="3" t="n">
        <f aca="false">IFERROR(INDEX('Scoring Model'!$H$5:$H$13,MATCH(J92,'Scoring Model'!$G$5:$G$13,0)),0)</f>
        <v>15</v>
      </c>
      <c r="AA92" s="3" t="n">
        <f aca="false">IF(L92&gt;='Scoring Model'!$B$14,'Scoring Model'!$B$15,IF(L92&gt;='Scoring Model'!$B$16,'Scoring Model'!$B$17,0))</f>
        <v>0</v>
      </c>
      <c r="AB92" s="3" t="n">
        <f aca="false">IF(SUMPRODUCT(--ISNUMBER(SEARCH('Scoring Model'!$D$16:$D$25,K92)))&gt;0,'Scoring Model'!$B$18,0)</f>
        <v>15</v>
      </c>
      <c r="AC92" s="3" t="n">
        <f aca="false">IF(SUMPRODUCT(--ISNUMBER(SEARCH('Scoring Model'!$G$16:$G$23,K92)))&gt;0,'Scoring Model'!$B$19,0)</f>
        <v>0</v>
      </c>
      <c r="AD92" s="3" t="n">
        <f aca="false">IF(W92="Likely Spam","",SUM(X92:AC92))</f>
        <v>35</v>
      </c>
      <c r="AE92" s="3" t="str">
        <f aca="false">IF(W92="Likely Spam","Spam",IF(AD92&gt;='Scoring Model'!$B$21,"Hot",IF(AD92&gt;='Scoring Model'!$B$22,"Warm","Nurture")))</f>
        <v>Nurture</v>
      </c>
      <c r="AF92" s="3" t="str">
        <f aca="false">IF(W92="Likely Spam","Flagged by spam rules",TRIM(IF(X92&gt;=20,"Strong source. ","")&amp;IF(Y92&gt;0,"Company email. ","")&amp;IF(Z92&gt;=15,"High-value product. ","")&amp;IF(AA92&gt;='Scoring Model'!$B$15,"High engagement. ","")&amp;IF(AB92&gt;0,"Buying intent in message. ","")&amp;IF(AC92&lt;0,"Negative intent in message. ","")))</f>
        <v>High-value product. Buying intent in message.</v>
      </c>
      <c r="AG92" s="11" t="n">
        <f aca="false">IF(W92="Likely Spam","",1/(1+EXP(-('Conversion Model'!$B$5+IFERROR(INDEX('Conversion Model'!$B$8:$B$14,MATCH(C92,'Conversion Model'!$A$8:$A$14,0)),0)+IFERROR(INDEX('Conversion Model'!$E$8:$E$9,MATCH(F92,'Conversion Model'!$D$8:$D$9,0)),0)+IFERROR(INDEX('Conversion Model'!$H$8:$H$12,MATCH(IF(LEFT(J92,8)="Payments","Payments",IF(LEFT(J92,7)="Lending","Lending",J92)),'Conversion Model'!$G$8:$G$12,0)),0)+MIN(L92,15)*'Conversion Model'!$B$17+IF(SUMPRODUCT(--ISNUMBER(SEARCH('Scoring Model'!$D$16:$D$25,K92)))&gt;0,'Conversion Model'!$B$18,0)+IF(SUMPRODUCT(--ISNUMBER(SEARCH('Scoring Model'!$G$16:$G$23,K92)))&gt;0,'Conversion Model'!$B$19,0)))))</f>
        <v>0.117948745090293</v>
      </c>
      <c r="AH92" s="3" t="n">
        <f aca="false">IF(OR(O92="Qualified",O92="Won",O92="Lost"),1,IF(O92="Unqualified",0,""))</f>
        <v>0</v>
      </c>
    </row>
    <row r="93" customFormat="false" ht="15" hidden="false" customHeight="true" outlineLevel="0" collapsed="false">
      <c r="A93" s="3" t="s">
        <v>507</v>
      </c>
      <c r="B93" s="9" t="n">
        <v>45975.3340277778</v>
      </c>
      <c r="C93" s="3" t="s">
        <v>91</v>
      </c>
      <c r="D93" s="3" t="s">
        <v>508</v>
      </c>
      <c r="E93" s="3" t="s">
        <v>509</v>
      </c>
      <c r="F93" s="3" t="s">
        <v>54</v>
      </c>
      <c r="G93" s="3" t="s">
        <v>237</v>
      </c>
      <c r="H93" s="3"/>
      <c r="I93" s="3" t="s">
        <v>80</v>
      </c>
      <c r="J93" s="3" t="s">
        <v>122</v>
      </c>
      <c r="K93" s="3" t="s">
        <v>95</v>
      </c>
      <c r="L93" s="3" t="n">
        <v>2</v>
      </c>
      <c r="M93" s="3" t="n">
        <v>12.8</v>
      </c>
      <c r="N93" s="3" t="s">
        <v>96</v>
      </c>
      <c r="O93" s="3" t="s">
        <v>68</v>
      </c>
      <c r="P93" s="10"/>
      <c r="Q93" s="3" t="n">
        <f aca="false">IF(F93="Disposable",1,0)</f>
        <v>0</v>
      </c>
      <c r="R93" s="3" t="n">
        <f aca="false">IF(SUMPRODUCT(--ISNUMBER(SEARCH('Spam Rules'!$A$22:$A$35,K93)))&gt;0,1,0)</f>
        <v>1</v>
      </c>
      <c r="S93" s="3" t="n">
        <f aca="false">IF(AND(F93="Free",G93=""),1,0)</f>
        <v>0</v>
      </c>
      <c r="T93" s="3" t="n">
        <f aca="false">IF(LEN(TRIM(K93))&lt;15,1,0)</f>
        <v>0</v>
      </c>
      <c r="U93" s="3" t="n">
        <f aca="false">IF(COUNTIF($E$2:$E$801,E93)&gt;1,1,0)</f>
        <v>0</v>
      </c>
      <c r="V93" s="3" t="n">
        <f aca="false">Q93*'Spam Rules'!$H$6+R93*'Spam Rules'!$H$7+S93*'Spam Rules'!$H$8+T93*'Spam Rules'!$H$9+U93*'Spam Rules'!$H$10</f>
        <v>1</v>
      </c>
      <c r="W93" s="3" t="str">
        <f aca="false">IF(V93&gt;='Spam Rules'!$B$3,"Likely Spam","Genuine")</f>
        <v>Likely Spam</v>
      </c>
      <c r="X93" s="3" t="n">
        <f aca="false">IFERROR(INDEX('Scoring Model'!$B$5:$B$11,MATCH(C93,'Scoring Model'!$A$5:$A$11,0)),0)</f>
        <v>5</v>
      </c>
      <c r="Y93" s="3" t="n">
        <f aca="false">IFERROR(INDEX('Scoring Model'!$E$5:$E$7,MATCH(F93,'Scoring Model'!$D$5:$D$7,0)),0)</f>
        <v>0</v>
      </c>
      <c r="Z93" s="3" t="n">
        <f aca="false">IFERROR(INDEX('Scoring Model'!$H$5:$H$13,MATCH(J93,'Scoring Model'!$G$5:$G$13,0)),0)</f>
        <v>15</v>
      </c>
      <c r="AA93" s="3" t="n">
        <f aca="false">IF(L93&gt;='Scoring Model'!$B$14,'Scoring Model'!$B$15,IF(L93&gt;='Scoring Model'!$B$16,'Scoring Model'!$B$17,0))</f>
        <v>0</v>
      </c>
      <c r="AB93" s="3" t="n">
        <f aca="false">IF(SUMPRODUCT(--ISNUMBER(SEARCH('Scoring Model'!$D$16:$D$25,K93)))&gt;0,'Scoring Model'!$B$18,0)</f>
        <v>0</v>
      </c>
      <c r="AC93" s="3" t="n">
        <f aca="false">IF(SUMPRODUCT(--ISNUMBER(SEARCH('Scoring Model'!$G$16:$G$23,K93)))&gt;0,'Scoring Model'!$B$19,0)</f>
        <v>0</v>
      </c>
      <c r="AD93" s="3" t="str">
        <f aca="false">IF(W93="Likely Spam","",SUM(X93:AC93))</f>
        <v/>
      </c>
      <c r="AE93" s="3" t="str">
        <f aca="false">IF(W93="Likely Spam","Spam",IF(AD93&gt;='Scoring Model'!$B$21,"Hot",IF(AD93&gt;='Scoring Model'!$B$22,"Warm","Nurture")))</f>
        <v>Spam</v>
      </c>
      <c r="AF93" s="3" t="str">
        <f aca="false">IF(W93="Likely Spam","Flagged by spam rules",TRIM(IF(X93&gt;=20,"Strong source. ","")&amp;IF(Y93&gt;0,"Company email. ","")&amp;IF(Z93&gt;=15,"High-value product. ","")&amp;IF(AA93&gt;='Scoring Model'!$B$15,"High engagement. ","")&amp;IF(AB93&gt;0,"Buying intent in message. ","")&amp;IF(AC93&lt;0,"Negative intent in message. ","")))</f>
        <v>Flagged by spam rules</v>
      </c>
      <c r="AG93" s="11" t="str">
        <f aca="false">IF(W93="Likely Spam","",1/(1+EXP(-('Conversion Model'!$B$5+IFERROR(INDEX('Conversion Model'!$B$8:$B$14,MATCH(C93,'Conversion Model'!$A$8:$A$14,0)),0)+IFERROR(INDEX('Conversion Model'!$E$8:$E$9,MATCH(F93,'Conversion Model'!$D$8:$D$9,0)),0)+IFERROR(INDEX('Conversion Model'!$H$8:$H$12,MATCH(IF(LEFT(J93,8)="Payments","Payments",IF(LEFT(J93,7)="Lending","Lending",J93)),'Conversion Model'!$G$8:$G$12,0)),0)+MIN(L93,15)*'Conversion Model'!$B$17+IF(SUMPRODUCT(--ISNUMBER(SEARCH('Scoring Model'!$D$16:$D$25,K93)))&gt;0,'Conversion Model'!$B$18,0)+IF(SUMPRODUCT(--ISNUMBER(SEARCH('Scoring Model'!$G$16:$G$23,K93)))&gt;0,'Conversion Model'!$B$19,0)))))</f>
        <v/>
      </c>
      <c r="AH93" s="3" t="str">
        <f aca="false">IF(OR(O93="Qualified",O93="Won",O93="Lost"),1,IF(O93="Unqualified",0,""))</f>
        <v/>
      </c>
    </row>
    <row r="94" customFormat="false" ht="15" hidden="false" customHeight="true" outlineLevel="0" collapsed="false">
      <c r="A94" s="3" t="s">
        <v>510</v>
      </c>
      <c r="B94" s="9" t="n">
        <v>45975.5826388889</v>
      </c>
      <c r="C94" s="3" t="s">
        <v>128</v>
      </c>
      <c r="D94" s="3" t="s">
        <v>511</v>
      </c>
      <c r="E94" s="3" t="s">
        <v>512</v>
      </c>
      <c r="F94" s="3" t="s">
        <v>22</v>
      </c>
      <c r="G94" s="3" t="s">
        <v>513</v>
      </c>
      <c r="H94" s="3" t="s">
        <v>514</v>
      </c>
      <c r="I94" s="3" t="s">
        <v>88</v>
      </c>
      <c r="J94" s="3" t="s">
        <v>122</v>
      </c>
      <c r="K94" s="3" t="s">
        <v>58</v>
      </c>
      <c r="L94" s="3" t="n">
        <v>10</v>
      </c>
      <c r="M94" s="3" t="n">
        <v>10.3</v>
      </c>
      <c r="N94" s="3" t="s">
        <v>96</v>
      </c>
      <c r="O94" s="3" t="s">
        <v>147</v>
      </c>
      <c r="P94" s="10" t="n">
        <v>96000</v>
      </c>
      <c r="Q94" s="3" t="n">
        <f aca="false">IF(F94="Disposable",1,0)</f>
        <v>0</v>
      </c>
      <c r="R94" s="3" t="n">
        <f aca="false">IF(SUMPRODUCT(--ISNUMBER(SEARCH('Spam Rules'!$A$22:$A$35,K94)))&gt;0,1,0)</f>
        <v>0</v>
      </c>
      <c r="S94" s="3" t="n">
        <f aca="false">IF(AND(F94="Free",G94=""),1,0)</f>
        <v>0</v>
      </c>
      <c r="T94" s="3" t="n">
        <f aca="false">IF(LEN(TRIM(K94))&lt;15,1,0)</f>
        <v>0</v>
      </c>
      <c r="U94" s="3" t="n">
        <f aca="false">IF(COUNTIF($E$2:$E$801,E94)&gt;1,1,0)</f>
        <v>0</v>
      </c>
      <c r="V94" s="3" t="n">
        <f aca="false">Q94*'Spam Rules'!$H$6+R94*'Spam Rules'!$H$7+S94*'Spam Rules'!$H$8+T94*'Spam Rules'!$H$9+U94*'Spam Rules'!$H$10</f>
        <v>0</v>
      </c>
      <c r="W94" s="3" t="str">
        <f aca="false">IF(V94&gt;='Spam Rules'!$B$3,"Likely Spam","Genuine")</f>
        <v>Genuine</v>
      </c>
      <c r="X94" s="3" t="n">
        <f aca="false">IFERROR(INDEX('Scoring Model'!$B$5:$B$11,MATCH(C94,'Scoring Model'!$A$5:$A$11,0)),0)</f>
        <v>30</v>
      </c>
      <c r="Y94" s="3" t="n">
        <f aca="false">IFERROR(INDEX('Scoring Model'!$E$5:$E$7,MATCH(F94,'Scoring Model'!$D$5:$D$7,0)),0)</f>
        <v>20</v>
      </c>
      <c r="Z94" s="3" t="n">
        <f aca="false">IFERROR(INDEX('Scoring Model'!$H$5:$H$13,MATCH(J94,'Scoring Model'!$G$5:$G$13,0)),0)</f>
        <v>15</v>
      </c>
      <c r="AA94" s="3" t="n">
        <f aca="false">IF(L94&gt;='Scoring Model'!$B$14,'Scoring Model'!$B$15,IF(L94&gt;='Scoring Model'!$B$16,'Scoring Model'!$B$17,0))</f>
        <v>15</v>
      </c>
      <c r="AB94" s="3" t="n">
        <f aca="false">IF(SUMPRODUCT(--ISNUMBER(SEARCH('Scoring Model'!$D$16:$D$25,K94)))&gt;0,'Scoring Model'!$B$18,0)</f>
        <v>15</v>
      </c>
      <c r="AC94" s="3" t="n">
        <f aca="false">IF(SUMPRODUCT(--ISNUMBER(SEARCH('Scoring Model'!$G$16:$G$23,K94)))&gt;0,'Scoring Model'!$B$19,0)</f>
        <v>0</v>
      </c>
      <c r="AD94" s="3" t="n">
        <f aca="false">IF(W94="Likely Spam","",SUM(X94:AC94))</f>
        <v>95</v>
      </c>
      <c r="AE94" s="3" t="str">
        <f aca="false">IF(W94="Likely Spam","Spam",IF(AD94&gt;='Scoring Model'!$B$21,"Hot",IF(AD94&gt;='Scoring Model'!$B$22,"Warm","Nurture")))</f>
        <v>Hot</v>
      </c>
      <c r="AF94" s="3" t="str">
        <f aca="false">IF(W94="Likely Spam","Flagged by spam rules",TRIM(IF(X94&gt;=20,"Strong source. ","")&amp;IF(Y94&gt;0,"Company email. ","")&amp;IF(Z94&gt;=15,"High-value product. ","")&amp;IF(AA94&gt;='Scoring Model'!$B$15,"High engagement. ","")&amp;IF(AB94&gt;0,"Buying intent in message. ","")&amp;IF(AC94&lt;0,"Negative intent in message. ","")))</f>
        <v>Strong source. Company email. High-value product. High engagement. Buying intent in message.</v>
      </c>
      <c r="AG94" s="11" t="n">
        <f aca="false">IF(W94="Likely Spam","",1/(1+EXP(-('Conversion Model'!$B$5+IFERROR(INDEX('Conversion Model'!$B$8:$B$14,MATCH(C94,'Conversion Model'!$A$8:$A$14,0)),0)+IFERROR(INDEX('Conversion Model'!$E$8:$E$9,MATCH(F94,'Conversion Model'!$D$8:$D$9,0)),0)+IFERROR(INDEX('Conversion Model'!$H$8:$H$12,MATCH(IF(LEFT(J94,8)="Payments","Payments",IF(LEFT(J94,7)="Lending","Lending",J94)),'Conversion Model'!$G$8:$G$12,0)),0)+MIN(L94,15)*'Conversion Model'!$B$17+IF(SUMPRODUCT(--ISNUMBER(SEARCH('Scoring Model'!$D$16:$D$25,K94)))&gt;0,'Conversion Model'!$B$18,0)+IF(SUMPRODUCT(--ISNUMBER(SEARCH('Scoring Model'!$G$16:$G$23,K94)))&gt;0,'Conversion Model'!$B$19,0)))))</f>
        <v>0.997505078564217</v>
      </c>
      <c r="AH94" s="3" t="n">
        <f aca="false">IF(OR(O94="Qualified",O94="Won",O94="Lost"),1,IF(O94="Unqualified",0,""))</f>
        <v>1</v>
      </c>
    </row>
    <row r="95" customFormat="false" ht="15" hidden="false" customHeight="true" outlineLevel="0" collapsed="false">
      <c r="A95" s="3" t="s">
        <v>515</v>
      </c>
      <c r="B95" s="9" t="n">
        <v>45976.5229166667</v>
      </c>
      <c r="C95" s="3" t="s">
        <v>160</v>
      </c>
      <c r="D95" s="3" t="s">
        <v>516</v>
      </c>
      <c r="E95" s="3" t="s">
        <v>517</v>
      </c>
      <c r="F95" s="3" t="s">
        <v>22</v>
      </c>
      <c r="G95" s="3" t="s">
        <v>424</v>
      </c>
      <c r="H95" s="3" t="s">
        <v>452</v>
      </c>
      <c r="I95" s="3" t="s">
        <v>64</v>
      </c>
      <c r="J95" s="3" t="s">
        <v>81</v>
      </c>
      <c r="K95" s="3" t="s">
        <v>189</v>
      </c>
      <c r="L95" s="3" t="n">
        <v>5</v>
      </c>
      <c r="M95" s="3" t="n">
        <v>14.1</v>
      </c>
      <c r="N95" s="3" t="s">
        <v>171</v>
      </c>
      <c r="O95" s="3"/>
      <c r="P95" s="10"/>
      <c r="Q95" s="3" t="n">
        <f aca="false">IF(F95="Disposable",1,0)</f>
        <v>0</v>
      </c>
      <c r="R95" s="3" t="n">
        <f aca="false">IF(SUMPRODUCT(--ISNUMBER(SEARCH('Spam Rules'!$A$22:$A$35,K95)))&gt;0,1,0)</f>
        <v>0</v>
      </c>
      <c r="S95" s="3" t="n">
        <f aca="false">IF(AND(F95="Free",G95=""),1,0)</f>
        <v>0</v>
      </c>
      <c r="T95" s="3" t="n">
        <f aca="false">IF(LEN(TRIM(K95))&lt;15,1,0)</f>
        <v>0</v>
      </c>
      <c r="U95" s="3" t="n">
        <f aca="false">IF(COUNTIF($E$2:$E$801,E95)&gt;1,1,0)</f>
        <v>0</v>
      </c>
      <c r="V95" s="3" t="n">
        <f aca="false">Q95*'Spam Rules'!$H$6+R95*'Spam Rules'!$H$7+S95*'Spam Rules'!$H$8+T95*'Spam Rules'!$H$9+U95*'Spam Rules'!$H$10</f>
        <v>0</v>
      </c>
      <c r="W95" s="3" t="str">
        <f aca="false">IF(V95&gt;='Spam Rules'!$B$3,"Likely Spam","Genuine")</f>
        <v>Genuine</v>
      </c>
      <c r="X95" s="3" t="n">
        <f aca="false">IFERROR(INDEX('Scoring Model'!$B$5:$B$11,MATCH(C95,'Scoring Model'!$A$5:$A$11,0)),0)</f>
        <v>25</v>
      </c>
      <c r="Y95" s="3" t="n">
        <f aca="false">IFERROR(INDEX('Scoring Model'!$E$5:$E$7,MATCH(F95,'Scoring Model'!$D$5:$D$7,0)),0)</f>
        <v>20</v>
      </c>
      <c r="Z95" s="3" t="n">
        <f aca="false">IFERROR(INDEX('Scoring Model'!$H$5:$H$13,MATCH(J95,'Scoring Model'!$G$5:$G$13,0)),0)</f>
        <v>5</v>
      </c>
      <c r="AA95" s="3" t="n">
        <f aca="false">IF(L95&gt;='Scoring Model'!$B$14,'Scoring Model'!$B$15,IF(L95&gt;='Scoring Model'!$B$16,'Scoring Model'!$B$17,0))</f>
        <v>8</v>
      </c>
      <c r="AB95" s="3" t="n">
        <f aca="false">IF(SUMPRODUCT(--ISNUMBER(SEARCH('Scoring Model'!$D$16:$D$25,K95)))&gt;0,'Scoring Model'!$B$18,0)</f>
        <v>15</v>
      </c>
      <c r="AC95" s="3" t="n">
        <f aca="false">IF(SUMPRODUCT(--ISNUMBER(SEARCH('Scoring Model'!$G$16:$G$23,K95)))&gt;0,'Scoring Model'!$B$19,0)</f>
        <v>0</v>
      </c>
      <c r="AD95" s="3" t="n">
        <f aca="false">IF(W95="Likely Spam","",SUM(X95:AC95))</f>
        <v>73</v>
      </c>
      <c r="AE95" s="3" t="str">
        <f aca="false">IF(W95="Likely Spam","Spam",IF(AD95&gt;='Scoring Model'!$B$21,"Hot",IF(AD95&gt;='Scoring Model'!$B$22,"Warm","Nurture")))</f>
        <v>Hot</v>
      </c>
      <c r="AF95" s="3" t="str">
        <f aca="false">IF(W95="Likely Spam","Flagged by spam rules",TRIM(IF(X95&gt;=20,"Strong source. ","")&amp;IF(Y95&gt;0,"Company email. ","")&amp;IF(Z95&gt;=15,"High-value product. ","")&amp;IF(AA95&gt;='Scoring Model'!$B$15,"High engagement. ","")&amp;IF(AB95&gt;0,"Buying intent in message. ","")&amp;IF(AC95&lt;0,"Negative intent in message. ","")))</f>
        <v>Strong source. Company email. Buying intent in message.</v>
      </c>
      <c r="AG95" s="11" t="n">
        <f aca="false">IF(W95="Likely Spam","",1/(1+EXP(-('Conversion Model'!$B$5+IFERROR(INDEX('Conversion Model'!$B$8:$B$14,MATCH(C95,'Conversion Model'!$A$8:$A$14,0)),0)+IFERROR(INDEX('Conversion Model'!$E$8:$E$9,MATCH(F95,'Conversion Model'!$D$8:$D$9,0)),0)+IFERROR(INDEX('Conversion Model'!$H$8:$H$12,MATCH(IF(LEFT(J95,8)="Payments","Payments",IF(LEFT(J95,7)="Lending","Lending",J95)),'Conversion Model'!$G$8:$G$12,0)),0)+MIN(L95,15)*'Conversion Model'!$B$17+IF(SUMPRODUCT(--ISNUMBER(SEARCH('Scoring Model'!$D$16:$D$25,K95)))&gt;0,'Conversion Model'!$B$18,0)+IF(SUMPRODUCT(--ISNUMBER(SEARCH('Scoring Model'!$G$16:$G$23,K95)))&gt;0,'Conversion Model'!$B$19,0)))))</f>
        <v>0.714226377553931</v>
      </c>
      <c r="AH95" s="3" t="str">
        <f aca="false">IF(OR(O95="Qualified",O95="Won",O95="Lost"),1,IF(O95="Unqualified",0,""))</f>
        <v/>
      </c>
    </row>
    <row r="96" customFormat="false" ht="15" hidden="false" customHeight="true" outlineLevel="0" collapsed="false">
      <c r="A96" s="3" t="s">
        <v>518</v>
      </c>
      <c r="B96" s="9" t="n">
        <v>45976.5722222222</v>
      </c>
      <c r="C96" s="3" t="s">
        <v>51</v>
      </c>
      <c r="D96" s="3" t="s">
        <v>519</v>
      </c>
      <c r="E96" s="3" t="s">
        <v>520</v>
      </c>
      <c r="F96" s="3" t="s">
        <v>22</v>
      </c>
      <c r="G96" s="3" t="s">
        <v>521</v>
      </c>
      <c r="H96" s="3" t="s">
        <v>522</v>
      </c>
      <c r="I96" s="3" t="s">
        <v>116</v>
      </c>
      <c r="J96" s="3" t="s">
        <v>81</v>
      </c>
      <c r="K96" s="3" t="s">
        <v>193</v>
      </c>
      <c r="L96" s="3" t="n">
        <v>3</v>
      </c>
      <c r="M96" s="3" t="n">
        <v>23.3</v>
      </c>
      <c r="N96" s="3" t="s">
        <v>171</v>
      </c>
      <c r="O96" s="3"/>
      <c r="P96" s="10"/>
      <c r="Q96" s="3" t="n">
        <f aca="false">IF(F96="Disposable",1,0)</f>
        <v>0</v>
      </c>
      <c r="R96" s="3" t="n">
        <f aca="false">IF(SUMPRODUCT(--ISNUMBER(SEARCH('Spam Rules'!$A$22:$A$35,K96)))&gt;0,1,0)</f>
        <v>0</v>
      </c>
      <c r="S96" s="3" t="n">
        <f aca="false">IF(AND(F96="Free",G96=""),1,0)</f>
        <v>0</v>
      </c>
      <c r="T96" s="3" t="n">
        <f aca="false">IF(LEN(TRIM(K96))&lt;15,1,0)</f>
        <v>0</v>
      </c>
      <c r="U96" s="3" t="n">
        <f aca="false">IF(COUNTIF($E$2:$E$801,E96)&gt;1,1,0)</f>
        <v>0</v>
      </c>
      <c r="V96" s="3" t="n">
        <f aca="false">Q96*'Spam Rules'!$H$6+R96*'Spam Rules'!$H$7+S96*'Spam Rules'!$H$8+T96*'Spam Rules'!$H$9+U96*'Spam Rules'!$H$10</f>
        <v>0</v>
      </c>
      <c r="W96" s="3" t="str">
        <f aca="false">IF(V96&gt;='Spam Rules'!$B$3,"Likely Spam","Genuine")</f>
        <v>Genuine</v>
      </c>
      <c r="X96" s="3" t="n">
        <f aca="false">IFERROR(INDEX('Scoring Model'!$B$5:$B$11,MATCH(C96,'Scoring Model'!$A$5:$A$11,0)),0)</f>
        <v>10</v>
      </c>
      <c r="Y96" s="3" t="n">
        <f aca="false">IFERROR(INDEX('Scoring Model'!$E$5:$E$7,MATCH(F96,'Scoring Model'!$D$5:$D$7,0)),0)</f>
        <v>20</v>
      </c>
      <c r="Z96" s="3" t="n">
        <f aca="false">IFERROR(INDEX('Scoring Model'!$H$5:$H$13,MATCH(J96,'Scoring Model'!$G$5:$G$13,0)),0)</f>
        <v>5</v>
      </c>
      <c r="AA96" s="3" t="n">
        <f aca="false">IF(L96&gt;='Scoring Model'!$B$14,'Scoring Model'!$B$15,IF(L96&gt;='Scoring Model'!$B$16,'Scoring Model'!$B$17,0))</f>
        <v>0</v>
      </c>
      <c r="AB96" s="3" t="n">
        <f aca="false">IF(SUMPRODUCT(--ISNUMBER(SEARCH('Scoring Model'!$D$16:$D$25,K96)))&gt;0,'Scoring Model'!$B$18,0)</f>
        <v>0</v>
      </c>
      <c r="AC96" s="3" t="n">
        <f aca="false">IF(SUMPRODUCT(--ISNUMBER(SEARCH('Scoring Model'!$G$16:$G$23,K96)))&gt;0,'Scoring Model'!$B$19,0)</f>
        <v>-30</v>
      </c>
      <c r="AD96" s="3" t="n">
        <f aca="false">IF(W96="Likely Spam","",SUM(X96:AC96))</f>
        <v>5</v>
      </c>
      <c r="AE96" s="3" t="str">
        <f aca="false">IF(W96="Likely Spam","Spam",IF(AD96&gt;='Scoring Model'!$B$21,"Hot",IF(AD96&gt;='Scoring Model'!$B$22,"Warm","Nurture")))</f>
        <v>Nurture</v>
      </c>
      <c r="AF96" s="3" t="str">
        <f aca="false">IF(W96="Likely Spam","Flagged by spam rules",TRIM(IF(X96&gt;=20,"Strong source. ","")&amp;IF(Y96&gt;0,"Company email. ","")&amp;IF(Z96&gt;=15,"High-value product. ","")&amp;IF(AA96&gt;='Scoring Model'!$B$15,"High engagement. ","")&amp;IF(AB96&gt;0,"Buying intent in message. ","")&amp;IF(AC96&lt;0,"Negative intent in message. ","")))</f>
        <v>Company email. Negative intent in message.</v>
      </c>
      <c r="AG96" s="11" t="n">
        <f aca="false">IF(W96="Likely Spam","",1/(1+EXP(-('Conversion Model'!$B$5+IFERROR(INDEX('Conversion Model'!$B$8:$B$14,MATCH(C96,'Conversion Model'!$A$8:$A$14,0)),0)+IFERROR(INDEX('Conversion Model'!$E$8:$E$9,MATCH(F96,'Conversion Model'!$D$8:$D$9,0)),0)+IFERROR(INDEX('Conversion Model'!$H$8:$H$12,MATCH(IF(LEFT(J96,8)="Payments","Payments",IF(LEFT(J96,7)="Lending","Lending",J96)),'Conversion Model'!$G$8:$G$12,0)),0)+MIN(L96,15)*'Conversion Model'!$B$17+IF(SUMPRODUCT(--ISNUMBER(SEARCH('Scoring Model'!$D$16:$D$25,K96)))&gt;0,'Conversion Model'!$B$18,0)+IF(SUMPRODUCT(--ISNUMBER(SEARCH('Scoring Model'!$G$16:$G$23,K96)))&gt;0,'Conversion Model'!$B$19,0)))))</f>
        <v>0.00888910553429989</v>
      </c>
      <c r="AH96" s="3" t="str">
        <f aca="false">IF(OR(O96="Qualified",O96="Won",O96="Lost"),1,IF(O96="Unqualified",0,""))</f>
        <v/>
      </c>
    </row>
    <row r="97" customFormat="false" ht="15" hidden="false" customHeight="true" outlineLevel="0" collapsed="false">
      <c r="A97" s="3" t="s">
        <v>523</v>
      </c>
      <c r="B97" s="9" t="n">
        <v>45977.1263888889</v>
      </c>
      <c r="C97" s="3" t="s">
        <v>91</v>
      </c>
      <c r="D97" s="3" t="s">
        <v>524</v>
      </c>
      <c r="E97" s="3" t="s">
        <v>525</v>
      </c>
      <c r="F97" s="3" t="s">
        <v>22</v>
      </c>
      <c r="G97" s="3" t="s">
        <v>250</v>
      </c>
      <c r="H97" s="3" t="s">
        <v>251</v>
      </c>
      <c r="I97" s="3" t="s">
        <v>227</v>
      </c>
      <c r="J97" s="3" t="s">
        <v>65</v>
      </c>
      <c r="K97" s="3" t="s">
        <v>378</v>
      </c>
      <c r="L97" s="3" t="n">
        <v>2</v>
      </c>
      <c r="M97" s="3" t="n">
        <v>24.9</v>
      </c>
      <c r="N97" s="3" t="s">
        <v>67</v>
      </c>
      <c r="O97" s="3" t="s">
        <v>194</v>
      </c>
      <c r="P97" s="10"/>
      <c r="Q97" s="3" t="n">
        <f aca="false">IF(F97="Disposable",1,0)</f>
        <v>0</v>
      </c>
      <c r="R97" s="3" t="n">
        <f aca="false">IF(SUMPRODUCT(--ISNUMBER(SEARCH('Spam Rules'!$A$22:$A$35,K97)))&gt;0,1,0)</f>
        <v>0</v>
      </c>
      <c r="S97" s="3" t="n">
        <f aca="false">IF(AND(F97="Free",G97=""),1,0)</f>
        <v>0</v>
      </c>
      <c r="T97" s="3" t="n">
        <f aca="false">IF(LEN(TRIM(K97))&lt;15,1,0)</f>
        <v>0</v>
      </c>
      <c r="U97" s="3" t="n">
        <f aca="false">IF(COUNTIF($E$2:$E$801,E97)&gt;1,1,0)</f>
        <v>0</v>
      </c>
      <c r="V97" s="3" t="n">
        <f aca="false">Q97*'Spam Rules'!$H$6+R97*'Spam Rules'!$H$7+S97*'Spam Rules'!$H$8+T97*'Spam Rules'!$H$9+U97*'Spam Rules'!$H$10</f>
        <v>0</v>
      </c>
      <c r="W97" s="3" t="str">
        <f aca="false">IF(V97&gt;='Spam Rules'!$B$3,"Likely Spam","Genuine")</f>
        <v>Genuine</v>
      </c>
      <c r="X97" s="3" t="n">
        <f aca="false">IFERROR(INDEX('Scoring Model'!$B$5:$B$11,MATCH(C97,'Scoring Model'!$A$5:$A$11,0)),0)</f>
        <v>5</v>
      </c>
      <c r="Y97" s="3" t="n">
        <f aca="false">IFERROR(INDEX('Scoring Model'!$E$5:$E$7,MATCH(F97,'Scoring Model'!$D$5:$D$7,0)),0)</f>
        <v>20</v>
      </c>
      <c r="Z97" s="3" t="n">
        <f aca="false">IFERROR(INDEX('Scoring Model'!$H$5:$H$13,MATCH(J97,'Scoring Model'!$G$5:$G$13,0)),0)</f>
        <v>0</v>
      </c>
      <c r="AA97" s="3" t="n">
        <f aca="false">IF(L97&gt;='Scoring Model'!$B$14,'Scoring Model'!$B$15,IF(L97&gt;='Scoring Model'!$B$16,'Scoring Model'!$B$17,0))</f>
        <v>0</v>
      </c>
      <c r="AB97" s="3" t="n">
        <f aca="false">IF(SUMPRODUCT(--ISNUMBER(SEARCH('Scoring Model'!$D$16:$D$25,K97)))&gt;0,'Scoring Model'!$B$18,0)</f>
        <v>0</v>
      </c>
      <c r="AC97" s="3" t="n">
        <f aca="false">IF(SUMPRODUCT(--ISNUMBER(SEARCH('Scoring Model'!$G$16:$G$23,K97)))&gt;0,'Scoring Model'!$B$19,0)</f>
        <v>-30</v>
      </c>
      <c r="AD97" s="3" t="n">
        <f aca="false">IF(W97="Likely Spam","",SUM(X97:AC97))</f>
        <v>-5</v>
      </c>
      <c r="AE97" s="3" t="str">
        <f aca="false">IF(W97="Likely Spam","Spam",IF(AD97&gt;='Scoring Model'!$B$21,"Hot",IF(AD97&gt;='Scoring Model'!$B$22,"Warm","Nurture")))</f>
        <v>Nurture</v>
      </c>
      <c r="AF97" s="3" t="str">
        <f aca="false">IF(W97="Likely Spam","Flagged by spam rules",TRIM(IF(X97&gt;=20,"Strong source. ","")&amp;IF(Y97&gt;0,"Company email. ","")&amp;IF(Z97&gt;=15,"High-value product. ","")&amp;IF(AA97&gt;='Scoring Model'!$B$15,"High engagement. ","")&amp;IF(AB97&gt;0,"Buying intent in message. ","")&amp;IF(AC97&lt;0,"Negative intent in message. ","")))</f>
        <v>Company email. Negative intent in message.</v>
      </c>
      <c r="AG97" s="11" t="n">
        <f aca="false">IF(W97="Likely Spam","",1/(1+EXP(-('Conversion Model'!$B$5+IFERROR(INDEX('Conversion Model'!$B$8:$B$14,MATCH(C97,'Conversion Model'!$A$8:$A$14,0)),0)+IFERROR(INDEX('Conversion Model'!$E$8:$E$9,MATCH(F97,'Conversion Model'!$D$8:$D$9,0)),0)+IFERROR(INDEX('Conversion Model'!$H$8:$H$12,MATCH(IF(LEFT(J97,8)="Payments","Payments",IF(LEFT(J97,7)="Lending","Lending",J97)),'Conversion Model'!$G$8:$G$12,0)),0)+MIN(L97,15)*'Conversion Model'!$B$17+IF(SUMPRODUCT(--ISNUMBER(SEARCH('Scoring Model'!$D$16:$D$25,K97)))&gt;0,'Conversion Model'!$B$18,0)+IF(SUMPRODUCT(--ISNUMBER(SEARCH('Scoring Model'!$G$16:$G$23,K97)))&gt;0,'Conversion Model'!$B$19,0)))))</f>
        <v>0.00364408221513239</v>
      </c>
      <c r="AH97" s="3" t="n">
        <f aca="false">IF(OR(O97="Qualified",O97="Won",O97="Lost"),1,IF(O97="Unqualified",0,""))</f>
        <v>0</v>
      </c>
    </row>
    <row r="98" customFormat="false" ht="15" hidden="false" customHeight="true" outlineLevel="0" collapsed="false">
      <c r="A98" s="3" t="s">
        <v>526</v>
      </c>
      <c r="B98" s="9" t="n">
        <v>45977.5673611111</v>
      </c>
      <c r="C98" s="3" t="s">
        <v>160</v>
      </c>
      <c r="D98" s="3" t="s">
        <v>465</v>
      </c>
      <c r="E98" s="3" t="s">
        <v>527</v>
      </c>
      <c r="F98" s="3" t="s">
        <v>54</v>
      </c>
      <c r="G98" s="3" t="s">
        <v>243</v>
      </c>
      <c r="H98" s="3"/>
      <c r="I98" s="3" t="s">
        <v>260</v>
      </c>
      <c r="J98" s="3" t="s">
        <v>145</v>
      </c>
      <c r="K98" s="3" t="s">
        <v>101</v>
      </c>
      <c r="L98" s="3" t="n">
        <v>4</v>
      </c>
      <c r="M98" s="3" t="n">
        <v>5.6</v>
      </c>
      <c r="N98" s="3" t="s">
        <v>171</v>
      </c>
      <c r="O98" s="3" t="s">
        <v>194</v>
      </c>
      <c r="P98" s="10"/>
      <c r="Q98" s="3" t="n">
        <f aca="false">IF(F98="Disposable",1,0)</f>
        <v>0</v>
      </c>
      <c r="R98" s="3" t="n">
        <f aca="false">IF(SUMPRODUCT(--ISNUMBER(SEARCH('Spam Rules'!$A$22:$A$35,K98)))&gt;0,1,0)</f>
        <v>0</v>
      </c>
      <c r="S98" s="3" t="n">
        <f aca="false">IF(AND(F98="Free",G98=""),1,0)</f>
        <v>0</v>
      </c>
      <c r="T98" s="3" t="n">
        <f aca="false">IF(LEN(TRIM(K98))&lt;15,1,0)</f>
        <v>0</v>
      </c>
      <c r="U98" s="3" t="n">
        <f aca="false">IF(COUNTIF($E$2:$E$801,E98)&gt;1,1,0)</f>
        <v>0</v>
      </c>
      <c r="V98" s="3" t="n">
        <f aca="false">Q98*'Spam Rules'!$H$6+R98*'Spam Rules'!$H$7+S98*'Spam Rules'!$H$8+T98*'Spam Rules'!$H$9+U98*'Spam Rules'!$H$10</f>
        <v>0</v>
      </c>
      <c r="W98" s="3" t="str">
        <f aca="false">IF(V98&gt;='Spam Rules'!$B$3,"Likely Spam","Genuine")</f>
        <v>Genuine</v>
      </c>
      <c r="X98" s="3" t="n">
        <f aca="false">IFERROR(INDEX('Scoring Model'!$B$5:$B$11,MATCH(C98,'Scoring Model'!$A$5:$A$11,0)),0)</f>
        <v>25</v>
      </c>
      <c r="Y98" s="3" t="n">
        <f aca="false">IFERROR(INDEX('Scoring Model'!$E$5:$E$7,MATCH(F98,'Scoring Model'!$D$5:$D$7,0)),0)</f>
        <v>0</v>
      </c>
      <c r="Z98" s="3" t="n">
        <f aca="false">IFERROR(INDEX('Scoring Model'!$H$5:$H$13,MATCH(J98,'Scoring Model'!$G$5:$G$13,0)),0)</f>
        <v>5</v>
      </c>
      <c r="AA98" s="3" t="n">
        <f aca="false">IF(L98&gt;='Scoring Model'!$B$14,'Scoring Model'!$B$15,IF(L98&gt;='Scoring Model'!$B$16,'Scoring Model'!$B$17,0))</f>
        <v>8</v>
      </c>
      <c r="AB98" s="3" t="n">
        <f aca="false">IF(SUMPRODUCT(--ISNUMBER(SEARCH('Scoring Model'!$D$16:$D$25,K98)))&gt;0,'Scoring Model'!$B$18,0)</f>
        <v>0</v>
      </c>
      <c r="AC98" s="3" t="n">
        <f aca="false">IF(SUMPRODUCT(--ISNUMBER(SEARCH('Scoring Model'!$G$16:$G$23,K98)))&gt;0,'Scoring Model'!$B$19,0)</f>
        <v>-30</v>
      </c>
      <c r="AD98" s="3" t="n">
        <f aca="false">IF(W98="Likely Spam","",SUM(X98:AC98))</f>
        <v>8</v>
      </c>
      <c r="AE98" s="3" t="str">
        <f aca="false">IF(W98="Likely Spam","Spam",IF(AD98&gt;='Scoring Model'!$B$21,"Hot",IF(AD98&gt;='Scoring Model'!$B$22,"Warm","Nurture")))</f>
        <v>Nurture</v>
      </c>
      <c r="AF98" s="3" t="str">
        <f aca="false">IF(W98="Likely Spam","Flagged by spam rules",TRIM(IF(X98&gt;=20,"Strong source. ","")&amp;IF(Y98&gt;0,"Company email. ","")&amp;IF(Z98&gt;=15,"High-value product. ","")&amp;IF(AA98&gt;='Scoring Model'!$B$15,"High engagement. ","")&amp;IF(AB98&gt;0,"Buying intent in message. ","")&amp;IF(AC98&lt;0,"Negative intent in message. ","")))</f>
        <v>Strong source. Negative intent in message.</v>
      </c>
      <c r="AG98" s="11" t="n">
        <f aca="false">IF(W98="Likely Spam","",1/(1+EXP(-('Conversion Model'!$B$5+IFERROR(INDEX('Conversion Model'!$B$8:$B$14,MATCH(C98,'Conversion Model'!$A$8:$A$14,0)),0)+IFERROR(INDEX('Conversion Model'!$E$8:$E$9,MATCH(F98,'Conversion Model'!$D$8:$D$9,0)),0)+IFERROR(INDEX('Conversion Model'!$H$8:$H$12,MATCH(IF(LEFT(J98,8)="Payments","Payments",IF(LEFT(J98,7)="Lending","Lending",J98)),'Conversion Model'!$G$8:$G$12,0)),0)+MIN(L98,15)*'Conversion Model'!$B$17+IF(SUMPRODUCT(--ISNUMBER(SEARCH('Scoring Model'!$D$16:$D$25,K98)))&gt;0,'Conversion Model'!$B$18,0)+IF(SUMPRODUCT(--ISNUMBER(SEARCH('Scoring Model'!$G$16:$G$23,K98)))&gt;0,'Conversion Model'!$B$19,0)))))</f>
        <v>0.0234994109193391</v>
      </c>
      <c r="AH98" s="3" t="n">
        <f aca="false">IF(OR(O98="Qualified",O98="Won",O98="Lost"),1,IF(O98="Unqualified",0,""))</f>
        <v>0</v>
      </c>
    </row>
    <row r="99" customFormat="false" ht="15" hidden="false" customHeight="true" outlineLevel="0" collapsed="false">
      <c r="A99" s="3" t="s">
        <v>528</v>
      </c>
      <c r="B99" s="9" t="n">
        <v>45977.7493055556</v>
      </c>
      <c r="C99" s="3" t="s">
        <v>112</v>
      </c>
      <c r="D99" s="3" t="s">
        <v>529</v>
      </c>
      <c r="E99" s="3" t="s">
        <v>530</v>
      </c>
      <c r="F99" s="3" t="s">
        <v>22</v>
      </c>
      <c r="G99" s="3" t="s">
        <v>531</v>
      </c>
      <c r="H99" s="3" t="s">
        <v>532</v>
      </c>
      <c r="I99" s="3" t="s">
        <v>56</v>
      </c>
      <c r="J99" s="3" t="s">
        <v>122</v>
      </c>
      <c r="K99" s="3" t="s">
        <v>189</v>
      </c>
      <c r="L99" s="3" t="n">
        <v>3</v>
      </c>
      <c r="M99" s="3" t="n">
        <v>10.4</v>
      </c>
      <c r="N99" s="3" t="s">
        <v>59</v>
      </c>
      <c r="O99" s="3" t="s">
        <v>194</v>
      </c>
      <c r="P99" s="10"/>
      <c r="Q99" s="3" t="n">
        <f aca="false">IF(F99="Disposable",1,0)</f>
        <v>0</v>
      </c>
      <c r="R99" s="3" t="n">
        <f aca="false">IF(SUMPRODUCT(--ISNUMBER(SEARCH('Spam Rules'!$A$22:$A$35,K99)))&gt;0,1,0)</f>
        <v>0</v>
      </c>
      <c r="S99" s="3" t="n">
        <f aca="false">IF(AND(F99="Free",G99=""),1,0)</f>
        <v>0</v>
      </c>
      <c r="T99" s="3" t="n">
        <f aca="false">IF(LEN(TRIM(K99))&lt;15,1,0)</f>
        <v>0</v>
      </c>
      <c r="U99" s="3" t="n">
        <f aca="false">IF(COUNTIF($E$2:$E$801,E99)&gt;1,1,0)</f>
        <v>0</v>
      </c>
      <c r="V99" s="3" t="n">
        <f aca="false">Q99*'Spam Rules'!$H$6+R99*'Spam Rules'!$H$7+S99*'Spam Rules'!$H$8+T99*'Spam Rules'!$H$9+U99*'Spam Rules'!$H$10</f>
        <v>0</v>
      </c>
      <c r="W99" s="3" t="str">
        <f aca="false">IF(V99&gt;='Spam Rules'!$B$3,"Likely Spam","Genuine")</f>
        <v>Genuine</v>
      </c>
      <c r="X99" s="3" t="n">
        <f aca="false">IFERROR(INDEX('Scoring Model'!$B$5:$B$11,MATCH(C99,'Scoring Model'!$A$5:$A$11,0)),0)</f>
        <v>15</v>
      </c>
      <c r="Y99" s="3" t="n">
        <f aca="false">IFERROR(INDEX('Scoring Model'!$E$5:$E$7,MATCH(F99,'Scoring Model'!$D$5:$D$7,0)),0)</f>
        <v>20</v>
      </c>
      <c r="Z99" s="3" t="n">
        <f aca="false">IFERROR(INDEX('Scoring Model'!$H$5:$H$13,MATCH(J99,'Scoring Model'!$G$5:$G$13,0)),0)</f>
        <v>15</v>
      </c>
      <c r="AA99" s="3" t="n">
        <f aca="false">IF(L99&gt;='Scoring Model'!$B$14,'Scoring Model'!$B$15,IF(L99&gt;='Scoring Model'!$B$16,'Scoring Model'!$B$17,0))</f>
        <v>0</v>
      </c>
      <c r="AB99" s="3" t="n">
        <f aca="false">IF(SUMPRODUCT(--ISNUMBER(SEARCH('Scoring Model'!$D$16:$D$25,K99)))&gt;0,'Scoring Model'!$B$18,0)</f>
        <v>15</v>
      </c>
      <c r="AC99" s="3" t="n">
        <f aca="false">IF(SUMPRODUCT(--ISNUMBER(SEARCH('Scoring Model'!$G$16:$G$23,K99)))&gt;0,'Scoring Model'!$B$19,0)</f>
        <v>0</v>
      </c>
      <c r="AD99" s="3" t="n">
        <f aca="false">IF(W99="Likely Spam","",SUM(X99:AC99))</f>
        <v>65</v>
      </c>
      <c r="AE99" s="3" t="str">
        <f aca="false">IF(W99="Likely Spam","Spam",IF(AD99&gt;='Scoring Model'!$B$21,"Hot",IF(AD99&gt;='Scoring Model'!$B$22,"Warm","Nurture")))</f>
        <v>Warm</v>
      </c>
      <c r="AF99" s="3" t="str">
        <f aca="false">IF(W99="Likely Spam","Flagged by spam rules",TRIM(IF(X99&gt;=20,"Strong source. ","")&amp;IF(Y99&gt;0,"Company email. ","")&amp;IF(Z99&gt;=15,"High-value product. ","")&amp;IF(AA99&gt;='Scoring Model'!$B$15,"High engagement. ","")&amp;IF(AB99&gt;0,"Buying intent in message. ","")&amp;IF(AC99&lt;0,"Negative intent in message. ","")))</f>
        <v>Company email. High-value product. Buying intent in message.</v>
      </c>
      <c r="AG99" s="11" t="n">
        <f aca="false">IF(W99="Likely Spam","",1/(1+EXP(-('Conversion Model'!$B$5+IFERROR(INDEX('Conversion Model'!$B$8:$B$14,MATCH(C99,'Conversion Model'!$A$8:$A$14,0)),0)+IFERROR(INDEX('Conversion Model'!$E$8:$E$9,MATCH(F99,'Conversion Model'!$D$8:$D$9,0)),0)+IFERROR(INDEX('Conversion Model'!$H$8:$H$12,MATCH(IF(LEFT(J99,8)="Payments","Payments",IF(LEFT(J99,7)="Lending","Lending",J99)),'Conversion Model'!$G$8:$G$12,0)),0)+MIN(L99,15)*'Conversion Model'!$B$17+IF(SUMPRODUCT(--ISNUMBER(SEARCH('Scoring Model'!$D$16:$D$25,K99)))&gt;0,'Conversion Model'!$B$18,0)+IF(SUMPRODUCT(--ISNUMBER(SEARCH('Scoring Model'!$G$16:$G$23,K99)))&gt;0,'Conversion Model'!$B$19,0)))))</f>
        <v>0.312598269441151</v>
      </c>
      <c r="AH99" s="3" t="n">
        <f aca="false">IF(OR(O99="Qualified",O99="Won",O99="Lost"),1,IF(O99="Unqualified",0,""))</f>
        <v>0</v>
      </c>
    </row>
    <row r="100" customFormat="false" ht="15" hidden="false" customHeight="true" outlineLevel="0" collapsed="false">
      <c r="A100" s="3" t="s">
        <v>533</v>
      </c>
      <c r="B100" s="9" t="n">
        <v>45978.4298611111</v>
      </c>
      <c r="C100" s="3" t="s">
        <v>112</v>
      </c>
      <c r="D100" s="3" t="s">
        <v>534</v>
      </c>
      <c r="E100" s="3" t="s">
        <v>535</v>
      </c>
      <c r="F100" s="3" t="s">
        <v>54</v>
      </c>
      <c r="G100" s="3" t="s">
        <v>79</v>
      </c>
      <c r="H100" s="3"/>
      <c r="I100" s="3" t="s">
        <v>139</v>
      </c>
      <c r="J100" s="3" t="s">
        <v>65</v>
      </c>
      <c r="K100" s="3" t="s">
        <v>66</v>
      </c>
      <c r="L100" s="3" t="n">
        <v>1</v>
      </c>
      <c r="M100" s="3" t="n">
        <v>81.2</v>
      </c>
      <c r="N100" s="3" t="s">
        <v>171</v>
      </c>
      <c r="O100" s="3"/>
      <c r="P100" s="10"/>
      <c r="Q100" s="3" t="n">
        <f aca="false">IF(F100="Disposable",1,0)</f>
        <v>0</v>
      </c>
      <c r="R100" s="3" t="n">
        <f aca="false">IF(SUMPRODUCT(--ISNUMBER(SEARCH('Spam Rules'!$A$22:$A$35,K100)))&gt;0,1,0)</f>
        <v>1</v>
      </c>
      <c r="S100" s="3" t="n">
        <f aca="false">IF(AND(F100="Free",G100=""),1,0)</f>
        <v>0</v>
      </c>
      <c r="T100" s="3" t="n">
        <f aca="false">IF(LEN(TRIM(K100))&lt;15,1,0)</f>
        <v>0</v>
      </c>
      <c r="U100" s="3" t="n">
        <f aca="false">IF(COUNTIF($E$2:$E$801,E100)&gt;1,1,0)</f>
        <v>0</v>
      </c>
      <c r="V100" s="3" t="n">
        <f aca="false">Q100*'Spam Rules'!$H$6+R100*'Spam Rules'!$H$7+S100*'Spam Rules'!$H$8+T100*'Spam Rules'!$H$9+U100*'Spam Rules'!$H$10</f>
        <v>1</v>
      </c>
      <c r="W100" s="3" t="str">
        <f aca="false">IF(V100&gt;='Spam Rules'!$B$3,"Likely Spam","Genuine")</f>
        <v>Likely Spam</v>
      </c>
      <c r="X100" s="3" t="n">
        <f aca="false">IFERROR(INDEX('Scoring Model'!$B$5:$B$11,MATCH(C100,'Scoring Model'!$A$5:$A$11,0)),0)</f>
        <v>15</v>
      </c>
      <c r="Y100" s="3" t="n">
        <f aca="false">IFERROR(INDEX('Scoring Model'!$E$5:$E$7,MATCH(F100,'Scoring Model'!$D$5:$D$7,0)),0)</f>
        <v>0</v>
      </c>
      <c r="Z100" s="3" t="n">
        <f aca="false">IFERROR(INDEX('Scoring Model'!$H$5:$H$13,MATCH(J100,'Scoring Model'!$G$5:$G$13,0)),0)</f>
        <v>0</v>
      </c>
      <c r="AA100" s="3" t="n">
        <f aca="false">IF(L100&gt;='Scoring Model'!$B$14,'Scoring Model'!$B$15,IF(L100&gt;='Scoring Model'!$B$16,'Scoring Model'!$B$17,0))</f>
        <v>0</v>
      </c>
      <c r="AB100" s="3" t="n">
        <f aca="false">IF(SUMPRODUCT(--ISNUMBER(SEARCH('Scoring Model'!$D$16:$D$25,K100)))&gt;0,'Scoring Model'!$B$18,0)</f>
        <v>0</v>
      </c>
      <c r="AC100" s="3" t="n">
        <f aca="false">IF(SUMPRODUCT(--ISNUMBER(SEARCH('Scoring Model'!$G$16:$G$23,K100)))&gt;0,'Scoring Model'!$B$19,0)</f>
        <v>0</v>
      </c>
      <c r="AD100" s="3" t="str">
        <f aca="false">IF(W100="Likely Spam","",SUM(X100:AC100))</f>
        <v/>
      </c>
      <c r="AE100" s="3" t="str">
        <f aca="false">IF(W100="Likely Spam","Spam",IF(AD100&gt;='Scoring Model'!$B$21,"Hot",IF(AD100&gt;='Scoring Model'!$B$22,"Warm","Nurture")))</f>
        <v>Spam</v>
      </c>
      <c r="AF100" s="3" t="str">
        <f aca="false">IF(W100="Likely Spam","Flagged by spam rules",TRIM(IF(X100&gt;=20,"Strong source. ","")&amp;IF(Y100&gt;0,"Company email. ","")&amp;IF(Z100&gt;=15,"High-value product. ","")&amp;IF(AA100&gt;='Scoring Model'!$B$15,"High engagement. ","")&amp;IF(AB100&gt;0,"Buying intent in message. ","")&amp;IF(AC100&lt;0,"Negative intent in message. ","")))</f>
        <v>Flagged by spam rules</v>
      </c>
      <c r="AG100" s="11" t="str">
        <f aca="false">IF(W100="Likely Spam","",1/(1+EXP(-('Conversion Model'!$B$5+IFERROR(INDEX('Conversion Model'!$B$8:$B$14,MATCH(C100,'Conversion Model'!$A$8:$A$14,0)),0)+IFERROR(INDEX('Conversion Model'!$E$8:$E$9,MATCH(F100,'Conversion Model'!$D$8:$D$9,0)),0)+IFERROR(INDEX('Conversion Model'!$H$8:$H$12,MATCH(IF(LEFT(J100,8)="Payments","Payments",IF(LEFT(J100,7)="Lending","Lending",J100)),'Conversion Model'!$G$8:$G$12,0)),0)+MIN(L100,15)*'Conversion Model'!$B$17+IF(SUMPRODUCT(--ISNUMBER(SEARCH('Scoring Model'!$D$16:$D$25,K100)))&gt;0,'Conversion Model'!$B$18,0)+IF(SUMPRODUCT(--ISNUMBER(SEARCH('Scoring Model'!$G$16:$G$23,K100)))&gt;0,'Conversion Model'!$B$19,0)))))</f>
        <v/>
      </c>
      <c r="AH100" s="3" t="str">
        <f aca="false">IF(OR(O100="Qualified",O100="Won",O100="Lost"),1,IF(O100="Unqualified",0,""))</f>
        <v/>
      </c>
    </row>
    <row r="101" customFormat="false" ht="15" hidden="false" customHeight="true" outlineLevel="0" collapsed="false">
      <c r="A101" s="3" t="s">
        <v>536</v>
      </c>
      <c r="B101" s="9" t="n">
        <v>45979.5888888889</v>
      </c>
      <c r="C101" s="3" t="s">
        <v>128</v>
      </c>
      <c r="D101" s="3" t="s">
        <v>537</v>
      </c>
      <c r="E101" s="3" t="s">
        <v>538</v>
      </c>
      <c r="F101" s="3" t="s">
        <v>22</v>
      </c>
      <c r="G101" s="3" t="s">
        <v>539</v>
      </c>
      <c r="H101" s="3" t="s">
        <v>540</v>
      </c>
      <c r="I101" s="3" t="s">
        <v>334</v>
      </c>
      <c r="J101" s="3" t="s">
        <v>117</v>
      </c>
      <c r="K101" s="3" t="s">
        <v>183</v>
      </c>
      <c r="L101" s="3" t="n">
        <v>5</v>
      </c>
      <c r="M101" s="3" t="n">
        <v>1.9</v>
      </c>
      <c r="N101" s="3" t="s">
        <v>171</v>
      </c>
      <c r="O101" s="3" t="s">
        <v>147</v>
      </c>
      <c r="P101" s="10" t="n">
        <v>120000</v>
      </c>
      <c r="Q101" s="3" t="n">
        <f aca="false">IF(F101="Disposable",1,0)</f>
        <v>0</v>
      </c>
      <c r="R101" s="3" t="n">
        <f aca="false">IF(SUMPRODUCT(--ISNUMBER(SEARCH('Spam Rules'!$A$22:$A$35,K101)))&gt;0,1,0)</f>
        <v>0</v>
      </c>
      <c r="S101" s="3" t="n">
        <f aca="false">IF(AND(F101="Free",G101=""),1,0)</f>
        <v>0</v>
      </c>
      <c r="T101" s="3" t="n">
        <f aca="false">IF(LEN(TRIM(K101))&lt;15,1,0)</f>
        <v>0</v>
      </c>
      <c r="U101" s="3" t="n">
        <f aca="false">IF(COUNTIF($E$2:$E$801,E101)&gt;1,1,0)</f>
        <v>0</v>
      </c>
      <c r="V101" s="3" t="n">
        <f aca="false">Q101*'Spam Rules'!$H$6+R101*'Spam Rules'!$H$7+S101*'Spam Rules'!$H$8+T101*'Spam Rules'!$H$9+U101*'Spam Rules'!$H$10</f>
        <v>0</v>
      </c>
      <c r="W101" s="3" t="str">
        <f aca="false">IF(V101&gt;='Spam Rules'!$B$3,"Likely Spam","Genuine")</f>
        <v>Genuine</v>
      </c>
      <c r="X101" s="3" t="n">
        <f aca="false">IFERROR(INDEX('Scoring Model'!$B$5:$B$11,MATCH(C101,'Scoring Model'!$A$5:$A$11,0)),0)</f>
        <v>30</v>
      </c>
      <c r="Y101" s="3" t="n">
        <f aca="false">IFERROR(INDEX('Scoring Model'!$E$5:$E$7,MATCH(F101,'Scoring Model'!$D$5:$D$7,0)),0)</f>
        <v>20</v>
      </c>
      <c r="Z101" s="3" t="n">
        <f aca="false">IFERROR(INDEX('Scoring Model'!$H$5:$H$13,MATCH(J101,'Scoring Model'!$G$5:$G$13,0)),0)</f>
        <v>15</v>
      </c>
      <c r="AA101" s="3" t="n">
        <f aca="false">IF(L101&gt;='Scoring Model'!$B$14,'Scoring Model'!$B$15,IF(L101&gt;='Scoring Model'!$B$16,'Scoring Model'!$B$17,0))</f>
        <v>8</v>
      </c>
      <c r="AB101" s="3" t="n">
        <f aca="false">IF(SUMPRODUCT(--ISNUMBER(SEARCH('Scoring Model'!$D$16:$D$25,K101)))&gt;0,'Scoring Model'!$B$18,0)</f>
        <v>15</v>
      </c>
      <c r="AC101" s="3" t="n">
        <f aca="false">IF(SUMPRODUCT(--ISNUMBER(SEARCH('Scoring Model'!$G$16:$G$23,K101)))&gt;0,'Scoring Model'!$B$19,0)</f>
        <v>0</v>
      </c>
      <c r="AD101" s="3" t="n">
        <f aca="false">IF(W101="Likely Spam","",SUM(X101:AC101))</f>
        <v>88</v>
      </c>
      <c r="AE101" s="3" t="str">
        <f aca="false">IF(W101="Likely Spam","Spam",IF(AD101&gt;='Scoring Model'!$B$21,"Hot",IF(AD101&gt;='Scoring Model'!$B$22,"Warm","Nurture")))</f>
        <v>Hot</v>
      </c>
      <c r="AF101" s="3" t="str">
        <f aca="false">IF(W101="Likely Spam","Flagged by spam rules",TRIM(IF(X101&gt;=20,"Strong source. ","")&amp;IF(Y101&gt;0,"Company email. ","")&amp;IF(Z101&gt;=15,"High-value product. ","")&amp;IF(AA101&gt;='Scoring Model'!$B$15,"High engagement. ","")&amp;IF(AB101&gt;0,"Buying intent in message. ","")&amp;IF(AC101&lt;0,"Negative intent in message. ","")))</f>
        <v>Strong source. Company email. High-value product. Buying intent in message.</v>
      </c>
      <c r="AG101" s="11" t="n">
        <f aca="false">IF(W101="Likely Spam","",1/(1+EXP(-('Conversion Model'!$B$5+IFERROR(INDEX('Conversion Model'!$B$8:$B$14,MATCH(C101,'Conversion Model'!$A$8:$A$14,0)),0)+IFERROR(INDEX('Conversion Model'!$E$8:$E$9,MATCH(F101,'Conversion Model'!$D$8:$D$9,0)),0)+IFERROR(INDEX('Conversion Model'!$H$8:$H$12,MATCH(IF(LEFT(J101,8)="Payments","Payments",IF(LEFT(J101,7)="Lending","Lending",J101)),'Conversion Model'!$G$8:$G$12,0)),0)+MIN(L101,15)*'Conversion Model'!$B$17+IF(SUMPRODUCT(--ISNUMBER(SEARCH('Scoring Model'!$D$16:$D$25,K101)))&gt;0,'Conversion Model'!$B$18,0)+IF(SUMPRODUCT(--ISNUMBER(SEARCH('Scoring Model'!$G$16:$G$23,K101)))&gt;0,'Conversion Model'!$B$19,0)))))</f>
        <v>0.948631730218835</v>
      </c>
      <c r="AH101" s="3" t="n">
        <f aca="false">IF(OR(O101="Qualified",O101="Won",O101="Lost"),1,IF(O101="Unqualified",0,""))</f>
        <v>1</v>
      </c>
    </row>
    <row r="102" customFormat="false" ht="15" hidden="false" customHeight="true" outlineLevel="0" collapsed="false">
      <c r="A102" s="3" t="s">
        <v>541</v>
      </c>
      <c r="B102" s="9" t="n">
        <v>45979.7215277778</v>
      </c>
      <c r="C102" s="3" t="s">
        <v>160</v>
      </c>
      <c r="D102" s="3" t="s">
        <v>542</v>
      </c>
      <c r="E102" s="3" t="s">
        <v>543</v>
      </c>
      <c r="F102" s="3" t="s">
        <v>54</v>
      </c>
      <c r="G102" s="3" t="s">
        <v>237</v>
      </c>
      <c r="H102" s="3"/>
      <c r="I102" s="3" t="s">
        <v>260</v>
      </c>
      <c r="J102" s="3" t="s">
        <v>65</v>
      </c>
      <c r="K102" s="3" t="s">
        <v>170</v>
      </c>
      <c r="L102" s="3" t="n">
        <v>1</v>
      </c>
      <c r="M102" s="3"/>
      <c r="N102" s="3" t="s">
        <v>171</v>
      </c>
      <c r="O102" s="3"/>
      <c r="P102" s="10"/>
      <c r="Q102" s="3" t="n">
        <f aca="false">IF(F102="Disposable",1,0)</f>
        <v>0</v>
      </c>
      <c r="R102" s="3" t="n">
        <f aca="false">IF(SUMPRODUCT(--ISNUMBER(SEARCH('Spam Rules'!$A$22:$A$35,K102)))&gt;0,1,0)</f>
        <v>0</v>
      </c>
      <c r="S102" s="3" t="n">
        <f aca="false">IF(AND(F102="Free",G102=""),1,0)</f>
        <v>0</v>
      </c>
      <c r="T102" s="3" t="n">
        <f aca="false">IF(LEN(TRIM(K102))&lt;15,1,0)</f>
        <v>1</v>
      </c>
      <c r="U102" s="3" t="n">
        <f aca="false">IF(COUNTIF($E$2:$E$801,E102)&gt;1,1,0)</f>
        <v>0</v>
      </c>
      <c r="V102" s="3" t="n">
        <f aca="false">Q102*'Spam Rules'!$H$6+R102*'Spam Rules'!$H$7+S102*'Spam Rules'!$H$8+T102*'Spam Rules'!$H$9+U102*'Spam Rules'!$H$10</f>
        <v>1</v>
      </c>
      <c r="W102" s="3" t="str">
        <f aca="false">IF(V102&gt;='Spam Rules'!$B$3,"Likely Spam","Genuine")</f>
        <v>Likely Spam</v>
      </c>
      <c r="X102" s="3" t="n">
        <f aca="false">IFERROR(INDEX('Scoring Model'!$B$5:$B$11,MATCH(C102,'Scoring Model'!$A$5:$A$11,0)),0)</f>
        <v>25</v>
      </c>
      <c r="Y102" s="3" t="n">
        <f aca="false">IFERROR(INDEX('Scoring Model'!$E$5:$E$7,MATCH(F102,'Scoring Model'!$D$5:$D$7,0)),0)</f>
        <v>0</v>
      </c>
      <c r="Z102" s="3" t="n">
        <f aca="false">IFERROR(INDEX('Scoring Model'!$H$5:$H$13,MATCH(J102,'Scoring Model'!$G$5:$G$13,0)),0)</f>
        <v>0</v>
      </c>
      <c r="AA102" s="3" t="n">
        <f aca="false">IF(L102&gt;='Scoring Model'!$B$14,'Scoring Model'!$B$15,IF(L102&gt;='Scoring Model'!$B$16,'Scoring Model'!$B$17,0))</f>
        <v>0</v>
      </c>
      <c r="AB102" s="3" t="n">
        <f aca="false">IF(SUMPRODUCT(--ISNUMBER(SEARCH('Scoring Model'!$D$16:$D$25,K102)))&gt;0,'Scoring Model'!$B$18,0)</f>
        <v>0</v>
      </c>
      <c r="AC102" s="3" t="n">
        <f aca="false">IF(SUMPRODUCT(--ISNUMBER(SEARCH('Scoring Model'!$G$16:$G$23,K102)))&gt;0,'Scoring Model'!$B$19,0)</f>
        <v>0</v>
      </c>
      <c r="AD102" s="3" t="str">
        <f aca="false">IF(W102="Likely Spam","",SUM(X102:AC102))</f>
        <v/>
      </c>
      <c r="AE102" s="3" t="str">
        <f aca="false">IF(W102="Likely Spam","Spam",IF(AD102&gt;='Scoring Model'!$B$21,"Hot",IF(AD102&gt;='Scoring Model'!$B$22,"Warm","Nurture")))</f>
        <v>Spam</v>
      </c>
      <c r="AF102" s="3" t="str">
        <f aca="false">IF(W102="Likely Spam","Flagged by spam rules",TRIM(IF(X102&gt;=20,"Strong source. ","")&amp;IF(Y102&gt;0,"Company email. ","")&amp;IF(Z102&gt;=15,"High-value product. ","")&amp;IF(AA102&gt;='Scoring Model'!$B$15,"High engagement. ","")&amp;IF(AB102&gt;0,"Buying intent in message. ","")&amp;IF(AC102&lt;0,"Negative intent in message. ","")))</f>
        <v>Flagged by spam rules</v>
      </c>
      <c r="AG102" s="11" t="str">
        <f aca="false">IF(W102="Likely Spam","",1/(1+EXP(-('Conversion Model'!$B$5+IFERROR(INDEX('Conversion Model'!$B$8:$B$14,MATCH(C102,'Conversion Model'!$A$8:$A$14,0)),0)+IFERROR(INDEX('Conversion Model'!$E$8:$E$9,MATCH(F102,'Conversion Model'!$D$8:$D$9,0)),0)+IFERROR(INDEX('Conversion Model'!$H$8:$H$12,MATCH(IF(LEFT(J102,8)="Payments","Payments",IF(LEFT(J102,7)="Lending","Lending",J102)),'Conversion Model'!$G$8:$G$12,0)),0)+MIN(L102,15)*'Conversion Model'!$B$17+IF(SUMPRODUCT(--ISNUMBER(SEARCH('Scoring Model'!$D$16:$D$25,K102)))&gt;0,'Conversion Model'!$B$18,0)+IF(SUMPRODUCT(--ISNUMBER(SEARCH('Scoring Model'!$G$16:$G$23,K102)))&gt;0,'Conversion Model'!$B$19,0)))))</f>
        <v/>
      </c>
      <c r="AH102" s="3" t="str">
        <f aca="false">IF(OR(O102="Qualified",O102="Won",O102="Lost"),1,IF(O102="Unqualified",0,""))</f>
        <v/>
      </c>
    </row>
    <row r="103" customFormat="false" ht="15" hidden="false" customHeight="true" outlineLevel="0" collapsed="false">
      <c r="A103" s="3" t="s">
        <v>544</v>
      </c>
      <c r="B103" s="9" t="n">
        <v>45980.7569444445</v>
      </c>
      <c r="C103" s="3" t="s">
        <v>160</v>
      </c>
      <c r="D103" s="3" t="s">
        <v>545</v>
      </c>
      <c r="E103" s="3" t="s">
        <v>546</v>
      </c>
      <c r="F103" s="3" t="s">
        <v>54</v>
      </c>
      <c r="G103" s="3" t="s">
        <v>547</v>
      </c>
      <c r="H103" s="3"/>
      <c r="I103" s="3" t="s">
        <v>94</v>
      </c>
      <c r="J103" s="3" t="s">
        <v>65</v>
      </c>
      <c r="K103" s="3" t="s">
        <v>101</v>
      </c>
      <c r="L103" s="3" t="n">
        <v>2</v>
      </c>
      <c r="M103" s="3" t="n">
        <v>634.4</v>
      </c>
      <c r="N103" s="3" t="s">
        <v>67</v>
      </c>
      <c r="O103" s="3"/>
      <c r="P103" s="10"/>
      <c r="Q103" s="3" t="n">
        <f aca="false">IF(F103="Disposable",1,0)</f>
        <v>0</v>
      </c>
      <c r="R103" s="3" t="n">
        <f aca="false">IF(SUMPRODUCT(--ISNUMBER(SEARCH('Spam Rules'!$A$22:$A$35,K103)))&gt;0,1,0)</f>
        <v>0</v>
      </c>
      <c r="S103" s="3" t="n">
        <f aca="false">IF(AND(F103="Free",G103=""),1,0)</f>
        <v>0</v>
      </c>
      <c r="T103" s="3" t="n">
        <f aca="false">IF(LEN(TRIM(K103))&lt;15,1,0)</f>
        <v>0</v>
      </c>
      <c r="U103" s="3" t="n">
        <f aca="false">IF(COUNTIF($E$2:$E$801,E103)&gt;1,1,0)</f>
        <v>0</v>
      </c>
      <c r="V103" s="3" t="n">
        <f aca="false">Q103*'Spam Rules'!$H$6+R103*'Spam Rules'!$H$7+S103*'Spam Rules'!$H$8+T103*'Spam Rules'!$H$9+U103*'Spam Rules'!$H$10</f>
        <v>0</v>
      </c>
      <c r="W103" s="3" t="str">
        <f aca="false">IF(V103&gt;='Spam Rules'!$B$3,"Likely Spam","Genuine")</f>
        <v>Genuine</v>
      </c>
      <c r="X103" s="3" t="n">
        <f aca="false">IFERROR(INDEX('Scoring Model'!$B$5:$B$11,MATCH(C103,'Scoring Model'!$A$5:$A$11,0)),0)</f>
        <v>25</v>
      </c>
      <c r="Y103" s="3" t="n">
        <f aca="false">IFERROR(INDEX('Scoring Model'!$E$5:$E$7,MATCH(F103,'Scoring Model'!$D$5:$D$7,0)),0)</f>
        <v>0</v>
      </c>
      <c r="Z103" s="3" t="n">
        <f aca="false">IFERROR(INDEX('Scoring Model'!$H$5:$H$13,MATCH(J103,'Scoring Model'!$G$5:$G$13,0)),0)</f>
        <v>0</v>
      </c>
      <c r="AA103" s="3" t="n">
        <f aca="false">IF(L103&gt;='Scoring Model'!$B$14,'Scoring Model'!$B$15,IF(L103&gt;='Scoring Model'!$B$16,'Scoring Model'!$B$17,0))</f>
        <v>0</v>
      </c>
      <c r="AB103" s="3" t="n">
        <f aca="false">IF(SUMPRODUCT(--ISNUMBER(SEARCH('Scoring Model'!$D$16:$D$25,K103)))&gt;0,'Scoring Model'!$B$18,0)</f>
        <v>0</v>
      </c>
      <c r="AC103" s="3" t="n">
        <f aca="false">IF(SUMPRODUCT(--ISNUMBER(SEARCH('Scoring Model'!$G$16:$G$23,K103)))&gt;0,'Scoring Model'!$B$19,0)</f>
        <v>-30</v>
      </c>
      <c r="AD103" s="3" t="n">
        <f aca="false">IF(W103="Likely Spam","",SUM(X103:AC103))</f>
        <v>-5</v>
      </c>
      <c r="AE103" s="3" t="str">
        <f aca="false">IF(W103="Likely Spam","Spam",IF(AD103&gt;='Scoring Model'!$B$21,"Hot",IF(AD103&gt;='Scoring Model'!$B$22,"Warm","Nurture")))</f>
        <v>Nurture</v>
      </c>
      <c r="AF103" s="3" t="str">
        <f aca="false">IF(W103="Likely Spam","Flagged by spam rules",TRIM(IF(X103&gt;=20,"Strong source. ","")&amp;IF(Y103&gt;0,"Company email. ","")&amp;IF(Z103&gt;=15,"High-value product. ","")&amp;IF(AA103&gt;='Scoring Model'!$B$15,"High engagement. ","")&amp;IF(AB103&gt;0,"Buying intent in message. ","")&amp;IF(AC103&lt;0,"Negative intent in message. ","")))</f>
        <v>Strong source. Negative intent in message.</v>
      </c>
      <c r="AG103" s="11" t="n">
        <f aca="false">IF(W103="Likely Spam","",1/(1+EXP(-('Conversion Model'!$B$5+IFERROR(INDEX('Conversion Model'!$B$8:$B$14,MATCH(C103,'Conversion Model'!$A$8:$A$14,0)),0)+IFERROR(INDEX('Conversion Model'!$E$8:$E$9,MATCH(F103,'Conversion Model'!$D$8:$D$9,0)),0)+IFERROR(INDEX('Conversion Model'!$H$8:$H$12,MATCH(IF(LEFT(J103,8)="Payments","Payments",IF(LEFT(J103,7)="Lending","Lending",J103)),'Conversion Model'!$G$8:$G$12,0)),0)+MIN(L103,15)*'Conversion Model'!$B$17+IF(SUMPRODUCT(--ISNUMBER(SEARCH('Scoring Model'!$D$16:$D$25,K103)))&gt;0,'Conversion Model'!$B$18,0)+IF(SUMPRODUCT(--ISNUMBER(SEARCH('Scoring Model'!$G$16:$G$23,K103)))&gt;0,'Conversion Model'!$B$19,0)))))</f>
        <v>0.00346007134136917</v>
      </c>
      <c r="AH103" s="3" t="str">
        <f aca="false">IF(OR(O103="Qualified",O103="Won",O103="Lost"),1,IF(O103="Unqualified",0,""))</f>
        <v/>
      </c>
    </row>
    <row r="104" customFormat="false" ht="15" hidden="false" customHeight="true" outlineLevel="0" collapsed="false">
      <c r="A104" s="3" t="s">
        <v>548</v>
      </c>
      <c r="B104" s="9" t="n">
        <v>45980.8048611111</v>
      </c>
      <c r="C104" s="3" t="s">
        <v>91</v>
      </c>
      <c r="D104" s="3" t="s">
        <v>549</v>
      </c>
      <c r="E104" s="3" t="s">
        <v>550</v>
      </c>
      <c r="F104" s="3" t="s">
        <v>54</v>
      </c>
      <c r="G104" s="3"/>
      <c r="H104" s="3"/>
      <c r="I104" s="3" t="s">
        <v>188</v>
      </c>
      <c r="J104" s="3" t="s">
        <v>81</v>
      </c>
      <c r="K104" s="3" t="s">
        <v>66</v>
      </c>
      <c r="L104" s="3" t="n">
        <v>2</v>
      </c>
      <c r="M104" s="3" t="n">
        <v>15.6</v>
      </c>
      <c r="N104" s="3" t="s">
        <v>59</v>
      </c>
      <c r="O104" s="3"/>
      <c r="P104" s="10"/>
      <c r="Q104" s="3" t="n">
        <f aca="false">IF(F104="Disposable",1,0)</f>
        <v>0</v>
      </c>
      <c r="R104" s="3" t="n">
        <f aca="false">IF(SUMPRODUCT(--ISNUMBER(SEARCH('Spam Rules'!$A$22:$A$35,K104)))&gt;0,1,0)</f>
        <v>1</v>
      </c>
      <c r="S104" s="3" t="n">
        <f aca="false">IF(AND(F104="Free",G104=""),1,0)</f>
        <v>1</v>
      </c>
      <c r="T104" s="3" t="n">
        <f aca="false">IF(LEN(TRIM(K104))&lt;15,1,0)</f>
        <v>0</v>
      </c>
      <c r="U104" s="3" t="n">
        <f aca="false">IF(COUNTIF($E$2:$E$801,E104)&gt;1,1,0)</f>
        <v>1</v>
      </c>
      <c r="V104" s="3" t="n">
        <f aca="false">Q104*'Spam Rules'!$H$6+R104*'Spam Rules'!$H$7+S104*'Spam Rules'!$H$8+T104*'Spam Rules'!$H$9+U104*'Spam Rules'!$H$10</f>
        <v>1</v>
      </c>
      <c r="W104" s="3" t="str">
        <f aca="false">IF(V104&gt;='Spam Rules'!$B$3,"Likely Spam","Genuine")</f>
        <v>Likely Spam</v>
      </c>
      <c r="X104" s="3" t="n">
        <f aca="false">IFERROR(INDEX('Scoring Model'!$B$5:$B$11,MATCH(C104,'Scoring Model'!$A$5:$A$11,0)),0)</f>
        <v>5</v>
      </c>
      <c r="Y104" s="3" t="n">
        <f aca="false">IFERROR(INDEX('Scoring Model'!$E$5:$E$7,MATCH(F104,'Scoring Model'!$D$5:$D$7,0)),0)</f>
        <v>0</v>
      </c>
      <c r="Z104" s="3" t="n">
        <f aca="false">IFERROR(INDEX('Scoring Model'!$H$5:$H$13,MATCH(J104,'Scoring Model'!$G$5:$G$13,0)),0)</f>
        <v>5</v>
      </c>
      <c r="AA104" s="3" t="n">
        <f aca="false">IF(L104&gt;='Scoring Model'!$B$14,'Scoring Model'!$B$15,IF(L104&gt;='Scoring Model'!$B$16,'Scoring Model'!$B$17,0))</f>
        <v>0</v>
      </c>
      <c r="AB104" s="3" t="n">
        <f aca="false">IF(SUMPRODUCT(--ISNUMBER(SEARCH('Scoring Model'!$D$16:$D$25,K104)))&gt;0,'Scoring Model'!$B$18,0)</f>
        <v>0</v>
      </c>
      <c r="AC104" s="3" t="n">
        <f aca="false">IF(SUMPRODUCT(--ISNUMBER(SEARCH('Scoring Model'!$G$16:$G$23,K104)))&gt;0,'Scoring Model'!$B$19,0)</f>
        <v>0</v>
      </c>
      <c r="AD104" s="3" t="str">
        <f aca="false">IF(W104="Likely Spam","",SUM(X104:AC104))</f>
        <v/>
      </c>
      <c r="AE104" s="3" t="str">
        <f aca="false">IF(W104="Likely Spam","Spam",IF(AD104&gt;='Scoring Model'!$B$21,"Hot",IF(AD104&gt;='Scoring Model'!$B$22,"Warm","Nurture")))</f>
        <v>Spam</v>
      </c>
      <c r="AF104" s="3" t="str">
        <f aca="false">IF(W104="Likely Spam","Flagged by spam rules",TRIM(IF(X104&gt;=20,"Strong source. ","")&amp;IF(Y104&gt;0,"Company email. ","")&amp;IF(Z104&gt;=15,"High-value product. ","")&amp;IF(AA104&gt;='Scoring Model'!$B$15,"High engagement. ","")&amp;IF(AB104&gt;0,"Buying intent in message. ","")&amp;IF(AC104&lt;0,"Negative intent in message. ","")))</f>
        <v>Flagged by spam rules</v>
      </c>
      <c r="AG104" s="11" t="str">
        <f aca="false">IF(W104="Likely Spam","",1/(1+EXP(-('Conversion Model'!$B$5+IFERROR(INDEX('Conversion Model'!$B$8:$B$14,MATCH(C104,'Conversion Model'!$A$8:$A$14,0)),0)+IFERROR(INDEX('Conversion Model'!$E$8:$E$9,MATCH(F104,'Conversion Model'!$D$8:$D$9,0)),0)+IFERROR(INDEX('Conversion Model'!$H$8:$H$12,MATCH(IF(LEFT(J104,8)="Payments","Payments",IF(LEFT(J104,7)="Lending","Lending",J104)),'Conversion Model'!$G$8:$G$12,0)),0)+MIN(L104,15)*'Conversion Model'!$B$17+IF(SUMPRODUCT(--ISNUMBER(SEARCH('Scoring Model'!$D$16:$D$25,K104)))&gt;0,'Conversion Model'!$B$18,0)+IF(SUMPRODUCT(--ISNUMBER(SEARCH('Scoring Model'!$G$16:$G$23,K104)))&gt;0,'Conversion Model'!$B$19,0)))))</f>
        <v/>
      </c>
      <c r="AH104" s="3" t="str">
        <f aca="false">IF(OR(O104="Qualified",O104="Won",O104="Lost"),1,IF(O104="Unqualified",0,""))</f>
        <v/>
      </c>
    </row>
    <row r="105" customFormat="false" ht="15" hidden="false" customHeight="true" outlineLevel="0" collapsed="false">
      <c r="A105" s="3" t="s">
        <v>551</v>
      </c>
      <c r="B105" s="9" t="n">
        <v>45980.8256944444</v>
      </c>
      <c r="C105" s="3" t="s">
        <v>135</v>
      </c>
      <c r="D105" s="3" t="s">
        <v>552</v>
      </c>
      <c r="E105" s="3" t="s">
        <v>553</v>
      </c>
      <c r="F105" s="3" t="s">
        <v>54</v>
      </c>
      <c r="G105" s="3" t="s">
        <v>151</v>
      </c>
      <c r="H105" s="3"/>
      <c r="I105" s="3" t="s">
        <v>204</v>
      </c>
      <c r="J105" s="3" t="s">
        <v>122</v>
      </c>
      <c r="K105" s="3" t="s">
        <v>74</v>
      </c>
      <c r="L105" s="3" t="n">
        <v>2</v>
      </c>
      <c r="M105" s="3" t="n">
        <v>2.2</v>
      </c>
      <c r="N105" s="3" t="s">
        <v>67</v>
      </c>
      <c r="O105" s="3"/>
      <c r="P105" s="10"/>
      <c r="Q105" s="3" t="n">
        <f aca="false">IF(F105="Disposable",1,0)</f>
        <v>0</v>
      </c>
      <c r="R105" s="3" t="n">
        <f aca="false">IF(SUMPRODUCT(--ISNUMBER(SEARCH('Spam Rules'!$A$22:$A$35,K105)))&gt;0,1,0)</f>
        <v>0</v>
      </c>
      <c r="S105" s="3" t="n">
        <f aca="false">IF(AND(F105="Free",G105=""),1,0)</f>
        <v>0</v>
      </c>
      <c r="T105" s="3" t="n">
        <f aca="false">IF(LEN(TRIM(K105))&lt;15,1,0)</f>
        <v>0</v>
      </c>
      <c r="U105" s="3" t="n">
        <f aca="false">IF(COUNTIF($E$2:$E$801,E105)&gt;1,1,0)</f>
        <v>0</v>
      </c>
      <c r="V105" s="3" t="n">
        <f aca="false">Q105*'Spam Rules'!$H$6+R105*'Spam Rules'!$H$7+S105*'Spam Rules'!$H$8+T105*'Spam Rules'!$H$9+U105*'Spam Rules'!$H$10</f>
        <v>0</v>
      </c>
      <c r="W105" s="3" t="str">
        <f aca="false">IF(V105&gt;='Spam Rules'!$B$3,"Likely Spam","Genuine")</f>
        <v>Genuine</v>
      </c>
      <c r="X105" s="3" t="n">
        <f aca="false">IFERROR(INDEX('Scoring Model'!$B$5:$B$11,MATCH(C105,'Scoring Model'!$A$5:$A$11,0)),0)</f>
        <v>20</v>
      </c>
      <c r="Y105" s="3" t="n">
        <f aca="false">IFERROR(INDEX('Scoring Model'!$E$5:$E$7,MATCH(F105,'Scoring Model'!$D$5:$D$7,0)),0)</f>
        <v>0</v>
      </c>
      <c r="Z105" s="3" t="n">
        <f aca="false">IFERROR(INDEX('Scoring Model'!$H$5:$H$13,MATCH(J105,'Scoring Model'!$G$5:$G$13,0)),0)</f>
        <v>15</v>
      </c>
      <c r="AA105" s="3" t="n">
        <f aca="false">IF(L105&gt;='Scoring Model'!$B$14,'Scoring Model'!$B$15,IF(L105&gt;='Scoring Model'!$B$16,'Scoring Model'!$B$17,0))</f>
        <v>0</v>
      </c>
      <c r="AB105" s="3" t="n">
        <f aca="false">IF(SUMPRODUCT(--ISNUMBER(SEARCH('Scoring Model'!$D$16:$D$25,K105)))&gt;0,'Scoring Model'!$B$18,0)</f>
        <v>0</v>
      </c>
      <c r="AC105" s="3" t="n">
        <f aca="false">IF(SUMPRODUCT(--ISNUMBER(SEARCH('Scoring Model'!$G$16:$G$23,K105)))&gt;0,'Scoring Model'!$B$19,0)</f>
        <v>-30</v>
      </c>
      <c r="AD105" s="3" t="n">
        <f aca="false">IF(W105="Likely Spam","",SUM(X105:AC105))</f>
        <v>5</v>
      </c>
      <c r="AE105" s="3" t="str">
        <f aca="false">IF(W105="Likely Spam","Spam",IF(AD105&gt;='Scoring Model'!$B$21,"Hot",IF(AD105&gt;='Scoring Model'!$B$22,"Warm","Nurture")))</f>
        <v>Nurture</v>
      </c>
      <c r="AF105" s="3" t="str">
        <f aca="false">IF(W105="Likely Spam","Flagged by spam rules",TRIM(IF(X105&gt;=20,"Strong source. ","")&amp;IF(Y105&gt;0,"Company email. ","")&amp;IF(Z105&gt;=15,"High-value product. ","")&amp;IF(AA105&gt;='Scoring Model'!$B$15,"High engagement. ","")&amp;IF(AB105&gt;0,"Buying intent in message. ","")&amp;IF(AC105&lt;0,"Negative intent in message. ","")))</f>
        <v>Strong source. High-value product. Negative intent in message.</v>
      </c>
      <c r="AG105" s="11" t="n">
        <f aca="false">IF(W105="Likely Spam","",1/(1+EXP(-('Conversion Model'!$B$5+IFERROR(INDEX('Conversion Model'!$B$8:$B$14,MATCH(C105,'Conversion Model'!$A$8:$A$14,0)),0)+IFERROR(INDEX('Conversion Model'!$E$8:$E$9,MATCH(F105,'Conversion Model'!$D$8:$D$9,0)),0)+IFERROR(INDEX('Conversion Model'!$H$8:$H$12,MATCH(IF(LEFT(J105,8)="Payments","Payments",IF(LEFT(J105,7)="Lending","Lending",J105)),'Conversion Model'!$G$8:$G$12,0)),0)+MIN(L105,15)*'Conversion Model'!$B$17+IF(SUMPRODUCT(--ISNUMBER(SEARCH('Scoring Model'!$D$16:$D$25,K105)))&gt;0,'Conversion Model'!$B$18,0)+IF(SUMPRODUCT(--ISNUMBER(SEARCH('Scoring Model'!$G$16:$G$23,K105)))&gt;0,'Conversion Model'!$B$19,0)))))</f>
        <v>0.00585259696543684</v>
      </c>
      <c r="AH105" s="3" t="str">
        <f aca="false">IF(OR(O105="Qualified",O105="Won",O105="Lost"),1,IF(O105="Unqualified",0,""))</f>
        <v/>
      </c>
    </row>
    <row r="106" customFormat="false" ht="15" hidden="false" customHeight="true" outlineLevel="0" collapsed="false">
      <c r="A106" s="3" t="s">
        <v>554</v>
      </c>
      <c r="B106" s="9" t="n">
        <v>45981.6402777778</v>
      </c>
      <c r="C106" s="3" t="s">
        <v>91</v>
      </c>
      <c r="D106" s="3" t="s">
        <v>555</v>
      </c>
      <c r="E106" s="3" t="s">
        <v>556</v>
      </c>
      <c r="F106" s="3" t="s">
        <v>22</v>
      </c>
      <c r="G106" s="3" t="s">
        <v>181</v>
      </c>
      <c r="H106" s="3" t="s">
        <v>182</v>
      </c>
      <c r="I106" s="3" t="s">
        <v>88</v>
      </c>
      <c r="J106" s="3" t="s">
        <v>245</v>
      </c>
      <c r="K106" s="3" t="s">
        <v>189</v>
      </c>
      <c r="L106" s="3" t="n">
        <v>8</v>
      </c>
      <c r="M106" s="3" t="n">
        <v>13</v>
      </c>
      <c r="N106" s="3" t="s">
        <v>171</v>
      </c>
      <c r="O106" s="3"/>
      <c r="P106" s="10"/>
      <c r="Q106" s="3" t="n">
        <f aca="false">IF(F106="Disposable",1,0)</f>
        <v>0</v>
      </c>
      <c r="R106" s="3" t="n">
        <f aca="false">IF(SUMPRODUCT(--ISNUMBER(SEARCH('Spam Rules'!$A$22:$A$35,K106)))&gt;0,1,0)</f>
        <v>0</v>
      </c>
      <c r="S106" s="3" t="n">
        <f aca="false">IF(AND(F106="Free",G106=""),1,0)</f>
        <v>0</v>
      </c>
      <c r="T106" s="3" t="n">
        <f aca="false">IF(LEN(TRIM(K106))&lt;15,1,0)</f>
        <v>0</v>
      </c>
      <c r="U106" s="3" t="n">
        <f aca="false">IF(COUNTIF($E$2:$E$801,E106)&gt;1,1,0)</f>
        <v>0</v>
      </c>
      <c r="V106" s="3" t="n">
        <f aca="false">Q106*'Spam Rules'!$H$6+R106*'Spam Rules'!$H$7+S106*'Spam Rules'!$H$8+T106*'Spam Rules'!$H$9+U106*'Spam Rules'!$H$10</f>
        <v>0</v>
      </c>
      <c r="W106" s="3" t="str">
        <f aca="false">IF(V106&gt;='Spam Rules'!$B$3,"Likely Spam","Genuine")</f>
        <v>Genuine</v>
      </c>
      <c r="X106" s="3" t="n">
        <f aca="false">IFERROR(INDEX('Scoring Model'!$B$5:$B$11,MATCH(C106,'Scoring Model'!$A$5:$A$11,0)),0)</f>
        <v>5</v>
      </c>
      <c r="Y106" s="3" t="n">
        <f aca="false">IFERROR(INDEX('Scoring Model'!$E$5:$E$7,MATCH(F106,'Scoring Model'!$D$5:$D$7,0)),0)</f>
        <v>20</v>
      </c>
      <c r="Z106" s="3" t="n">
        <f aca="false">IFERROR(INDEX('Scoring Model'!$H$5:$H$13,MATCH(J106,'Scoring Model'!$G$5:$G$13,0)),0)</f>
        <v>15</v>
      </c>
      <c r="AA106" s="3" t="n">
        <f aca="false">IF(L106&gt;='Scoring Model'!$B$14,'Scoring Model'!$B$15,IF(L106&gt;='Scoring Model'!$B$16,'Scoring Model'!$B$17,0))</f>
        <v>15</v>
      </c>
      <c r="AB106" s="3" t="n">
        <f aca="false">IF(SUMPRODUCT(--ISNUMBER(SEARCH('Scoring Model'!$D$16:$D$25,K106)))&gt;0,'Scoring Model'!$B$18,0)</f>
        <v>15</v>
      </c>
      <c r="AC106" s="3" t="n">
        <f aca="false">IF(SUMPRODUCT(--ISNUMBER(SEARCH('Scoring Model'!$G$16:$G$23,K106)))&gt;0,'Scoring Model'!$B$19,0)</f>
        <v>0</v>
      </c>
      <c r="AD106" s="3" t="n">
        <f aca="false">IF(W106="Likely Spam","",SUM(X106:AC106))</f>
        <v>70</v>
      </c>
      <c r="AE106" s="3" t="str">
        <f aca="false">IF(W106="Likely Spam","Spam",IF(AD106&gt;='Scoring Model'!$B$21,"Hot",IF(AD106&gt;='Scoring Model'!$B$22,"Warm","Nurture")))</f>
        <v>Hot</v>
      </c>
      <c r="AF106" s="3" t="str">
        <f aca="false">IF(W106="Likely Spam","Flagged by spam rules",TRIM(IF(X106&gt;=20,"Strong source. ","")&amp;IF(Y106&gt;0,"Company email. ","")&amp;IF(Z106&gt;=15,"High-value product. ","")&amp;IF(AA106&gt;='Scoring Model'!$B$15,"High engagement. ","")&amp;IF(AB106&gt;0,"Buying intent in message. ","")&amp;IF(AC106&lt;0,"Negative intent in message. ","")))</f>
        <v>Company email. High-value product. High engagement. Buying intent in message.</v>
      </c>
      <c r="AG106" s="11" t="n">
        <f aca="false">IF(W106="Likely Spam","",1/(1+EXP(-('Conversion Model'!$B$5+IFERROR(INDEX('Conversion Model'!$B$8:$B$14,MATCH(C106,'Conversion Model'!$A$8:$A$14,0)),0)+IFERROR(INDEX('Conversion Model'!$E$8:$E$9,MATCH(F106,'Conversion Model'!$D$8:$D$9,0)),0)+IFERROR(INDEX('Conversion Model'!$H$8:$H$12,MATCH(IF(LEFT(J106,8)="Payments","Payments",IF(LEFT(J106,7)="Lending","Lending",J106)),'Conversion Model'!$G$8:$G$12,0)),0)+MIN(L106,15)*'Conversion Model'!$B$17+IF(SUMPRODUCT(--ISNUMBER(SEARCH('Scoring Model'!$D$16:$D$25,K106)))&gt;0,'Conversion Model'!$B$18,0)+IF(SUMPRODUCT(--ISNUMBER(SEARCH('Scoring Model'!$G$16:$G$23,K106)))&gt;0,'Conversion Model'!$B$19,0)))))</f>
        <v>0.978416366649868</v>
      </c>
      <c r="AH106" s="3" t="str">
        <f aca="false">IF(OR(O106="Qualified",O106="Won",O106="Lost"),1,IF(O106="Unqualified",0,""))</f>
        <v/>
      </c>
    </row>
    <row r="107" customFormat="false" ht="15" hidden="false" customHeight="true" outlineLevel="0" collapsed="false">
      <c r="A107" s="3" t="s">
        <v>557</v>
      </c>
      <c r="B107" s="9" t="n">
        <v>45982.1097222222</v>
      </c>
      <c r="C107" s="3" t="s">
        <v>128</v>
      </c>
      <c r="D107" s="3" t="s">
        <v>558</v>
      </c>
      <c r="E107" s="3" t="s">
        <v>559</v>
      </c>
      <c r="F107" s="3" t="s">
        <v>54</v>
      </c>
      <c r="G107" s="3"/>
      <c r="H107" s="3"/>
      <c r="I107" s="3" t="s">
        <v>139</v>
      </c>
      <c r="J107" s="3" t="s">
        <v>122</v>
      </c>
      <c r="K107" s="3" t="s">
        <v>213</v>
      </c>
      <c r="L107" s="3" t="n">
        <v>1</v>
      </c>
      <c r="M107" s="3" t="n">
        <v>8</v>
      </c>
      <c r="N107" s="3" t="s">
        <v>96</v>
      </c>
      <c r="O107" s="3"/>
      <c r="P107" s="10"/>
      <c r="Q107" s="3" t="n">
        <f aca="false">IF(F107="Disposable",1,0)</f>
        <v>0</v>
      </c>
      <c r="R107" s="3" t="n">
        <f aca="false">IF(SUMPRODUCT(--ISNUMBER(SEARCH('Spam Rules'!$A$22:$A$35,K107)))&gt;0,1,0)</f>
        <v>0</v>
      </c>
      <c r="S107" s="3" t="n">
        <f aca="false">IF(AND(F107="Free",G107=""),1,0)</f>
        <v>1</v>
      </c>
      <c r="T107" s="3" t="n">
        <f aca="false">IF(LEN(TRIM(K107))&lt;15,1,0)</f>
        <v>0</v>
      </c>
      <c r="U107" s="3" t="n">
        <f aca="false">IF(COUNTIF($E$2:$E$801,E107)&gt;1,1,0)</f>
        <v>0</v>
      </c>
      <c r="V107" s="3" t="n">
        <f aca="false">Q107*'Spam Rules'!$H$6+R107*'Spam Rules'!$H$7+S107*'Spam Rules'!$H$8+T107*'Spam Rules'!$H$9+U107*'Spam Rules'!$H$10</f>
        <v>0</v>
      </c>
      <c r="W107" s="3" t="str">
        <f aca="false">IF(V107&gt;='Spam Rules'!$B$3,"Likely Spam","Genuine")</f>
        <v>Genuine</v>
      </c>
      <c r="X107" s="3" t="n">
        <f aca="false">IFERROR(INDEX('Scoring Model'!$B$5:$B$11,MATCH(C107,'Scoring Model'!$A$5:$A$11,0)),0)</f>
        <v>30</v>
      </c>
      <c r="Y107" s="3" t="n">
        <f aca="false">IFERROR(INDEX('Scoring Model'!$E$5:$E$7,MATCH(F107,'Scoring Model'!$D$5:$D$7,0)),0)</f>
        <v>0</v>
      </c>
      <c r="Z107" s="3" t="n">
        <f aca="false">IFERROR(INDEX('Scoring Model'!$H$5:$H$13,MATCH(J107,'Scoring Model'!$G$5:$G$13,0)),0)</f>
        <v>15</v>
      </c>
      <c r="AA107" s="3" t="n">
        <f aca="false">IF(L107&gt;='Scoring Model'!$B$14,'Scoring Model'!$B$15,IF(L107&gt;='Scoring Model'!$B$16,'Scoring Model'!$B$17,0))</f>
        <v>0</v>
      </c>
      <c r="AB107" s="3" t="n">
        <f aca="false">IF(SUMPRODUCT(--ISNUMBER(SEARCH('Scoring Model'!$D$16:$D$25,K107)))&gt;0,'Scoring Model'!$B$18,0)</f>
        <v>0</v>
      </c>
      <c r="AC107" s="3" t="n">
        <f aca="false">IF(SUMPRODUCT(--ISNUMBER(SEARCH('Scoring Model'!$G$16:$G$23,K107)))&gt;0,'Scoring Model'!$B$19,0)</f>
        <v>-30</v>
      </c>
      <c r="AD107" s="3" t="n">
        <f aca="false">IF(W107="Likely Spam","",SUM(X107:AC107))</f>
        <v>15</v>
      </c>
      <c r="AE107" s="3" t="str">
        <f aca="false">IF(W107="Likely Spam","Spam",IF(AD107&gt;='Scoring Model'!$B$21,"Hot",IF(AD107&gt;='Scoring Model'!$B$22,"Warm","Nurture")))</f>
        <v>Nurture</v>
      </c>
      <c r="AF107" s="3" t="str">
        <f aca="false">IF(W107="Likely Spam","Flagged by spam rules",TRIM(IF(X107&gt;=20,"Strong source. ","")&amp;IF(Y107&gt;0,"Company email. ","")&amp;IF(Z107&gt;=15,"High-value product. ","")&amp;IF(AA107&gt;='Scoring Model'!$B$15,"High engagement. ","")&amp;IF(AB107&gt;0,"Buying intent in message. ","")&amp;IF(AC107&lt;0,"Negative intent in message. ","")))</f>
        <v>Strong source. High-value product. Negative intent in message.</v>
      </c>
      <c r="AG107" s="11" t="n">
        <f aca="false">IF(W107="Likely Spam","",1/(1+EXP(-('Conversion Model'!$B$5+IFERROR(INDEX('Conversion Model'!$B$8:$B$14,MATCH(C107,'Conversion Model'!$A$8:$A$14,0)),0)+IFERROR(INDEX('Conversion Model'!$E$8:$E$9,MATCH(F107,'Conversion Model'!$D$8:$D$9,0)),0)+IFERROR(INDEX('Conversion Model'!$H$8:$H$12,MATCH(IF(LEFT(J107,8)="Payments","Payments",IF(LEFT(J107,7)="Lending","Lending",J107)),'Conversion Model'!$G$8:$G$12,0)),0)+MIN(L107,15)*'Conversion Model'!$B$17+IF(SUMPRODUCT(--ISNUMBER(SEARCH('Scoring Model'!$D$16:$D$25,K107)))&gt;0,'Conversion Model'!$B$18,0)+IF(SUMPRODUCT(--ISNUMBER(SEARCH('Scoring Model'!$G$16:$G$23,K107)))&gt;0,'Conversion Model'!$B$19,0)))))</f>
        <v>0.0036223621483151</v>
      </c>
      <c r="AH107" s="3" t="str">
        <f aca="false">IF(OR(O107="Qualified",O107="Won",O107="Lost"),1,IF(O107="Unqualified",0,""))</f>
        <v/>
      </c>
    </row>
    <row r="108" customFormat="false" ht="15" hidden="false" customHeight="true" outlineLevel="0" collapsed="false">
      <c r="A108" s="3" t="s">
        <v>560</v>
      </c>
      <c r="B108" s="9" t="n">
        <v>45982.1097222222</v>
      </c>
      <c r="C108" s="3" t="s">
        <v>76</v>
      </c>
      <c r="D108" s="3" t="s">
        <v>561</v>
      </c>
      <c r="E108" s="3" t="s">
        <v>562</v>
      </c>
      <c r="F108" s="3" t="s">
        <v>22</v>
      </c>
      <c r="G108" s="3" t="s">
        <v>563</v>
      </c>
      <c r="H108" s="3" t="s">
        <v>564</v>
      </c>
      <c r="I108" s="3" t="s">
        <v>56</v>
      </c>
      <c r="J108" s="3" t="s">
        <v>122</v>
      </c>
      <c r="K108" s="3" t="s">
        <v>345</v>
      </c>
      <c r="L108" s="3" t="n">
        <v>4</v>
      </c>
      <c r="M108" s="3" t="n">
        <v>11.7</v>
      </c>
      <c r="N108" s="3" t="s">
        <v>67</v>
      </c>
      <c r="O108" s="3" t="s">
        <v>194</v>
      </c>
      <c r="P108" s="10"/>
      <c r="Q108" s="3" t="n">
        <f aca="false">IF(F108="Disposable",1,0)</f>
        <v>0</v>
      </c>
      <c r="R108" s="3" t="n">
        <f aca="false">IF(SUMPRODUCT(--ISNUMBER(SEARCH('Spam Rules'!$A$22:$A$35,K108)))&gt;0,1,0)</f>
        <v>0</v>
      </c>
      <c r="S108" s="3" t="n">
        <f aca="false">IF(AND(F108="Free",G108=""),1,0)</f>
        <v>0</v>
      </c>
      <c r="T108" s="3" t="n">
        <f aca="false">IF(LEN(TRIM(K108))&lt;15,1,0)</f>
        <v>0</v>
      </c>
      <c r="U108" s="3" t="n">
        <f aca="false">IF(COUNTIF($E$2:$E$801,E108)&gt;1,1,0)</f>
        <v>0</v>
      </c>
      <c r="V108" s="3" t="n">
        <f aca="false">Q108*'Spam Rules'!$H$6+R108*'Spam Rules'!$H$7+S108*'Spam Rules'!$H$8+T108*'Spam Rules'!$H$9+U108*'Spam Rules'!$H$10</f>
        <v>0</v>
      </c>
      <c r="W108" s="3" t="str">
        <f aca="false">IF(V108&gt;='Spam Rules'!$B$3,"Likely Spam","Genuine")</f>
        <v>Genuine</v>
      </c>
      <c r="X108" s="3" t="n">
        <f aca="false">IFERROR(INDEX('Scoring Model'!$B$5:$B$11,MATCH(C108,'Scoring Model'!$A$5:$A$11,0)),0)</f>
        <v>0</v>
      </c>
      <c r="Y108" s="3" t="n">
        <f aca="false">IFERROR(INDEX('Scoring Model'!$E$5:$E$7,MATCH(F108,'Scoring Model'!$D$5:$D$7,0)),0)</f>
        <v>20</v>
      </c>
      <c r="Z108" s="3" t="n">
        <f aca="false">IFERROR(INDEX('Scoring Model'!$H$5:$H$13,MATCH(J108,'Scoring Model'!$G$5:$G$13,0)),0)</f>
        <v>15</v>
      </c>
      <c r="AA108" s="3" t="n">
        <f aca="false">IF(L108&gt;='Scoring Model'!$B$14,'Scoring Model'!$B$15,IF(L108&gt;='Scoring Model'!$B$16,'Scoring Model'!$B$17,0))</f>
        <v>8</v>
      </c>
      <c r="AB108" s="3" t="n">
        <f aca="false">IF(SUMPRODUCT(--ISNUMBER(SEARCH('Scoring Model'!$D$16:$D$25,K108)))&gt;0,'Scoring Model'!$B$18,0)</f>
        <v>15</v>
      </c>
      <c r="AC108" s="3" t="n">
        <f aca="false">IF(SUMPRODUCT(--ISNUMBER(SEARCH('Scoring Model'!$G$16:$G$23,K108)))&gt;0,'Scoring Model'!$B$19,0)</f>
        <v>0</v>
      </c>
      <c r="AD108" s="3" t="n">
        <f aca="false">IF(W108="Likely Spam","",SUM(X108:AC108))</f>
        <v>58</v>
      </c>
      <c r="AE108" s="3" t="str">
        <f aca="false">IF(W108="Likely Spam","Spam",IF(AD108&gt;='Scoring Model'!$B$21,"Hot",IF(AD108&gt;='Scoring Model'!$B$22,"Warm","Nurture")))</f>
        <v>Warm</v>
      </c>
      <c r="AF108" s="3" t="str">
        <f aca="false">IF(W108="Likely Spam","Flagged by spam rules",TRIM(IF(X108&gt;=20,"Strong source. ","")&amp;IF(Y108&gt;0,"Company email. ","")&amp;IF(Z108&gt;=15,"High-value product. ","")&amp;IF(AA108&gt;='Scoring Model'!$B$15,"High engagement. ","")&amp;IF(AB108&gt;0,"Buying intent in message. ","")&amp;IF(AC108&lt;0,"Negative intent in message. ","")))</f>
        <v>Company email. High-value product. Buying intent in message.</v>
      </c>
      <c r="AG108" s="11" t="n">
        <f aca="false">IF(W108="Likely Spam","",1/(1+EXP(-('Conversion Model'!$B$5+IFERROR(INDEX('Conversion Model'!$B$8:$B$14,MATCH(C108,'Conversion Model'!$A$8:$A$14,0)),0)+IFERROR(INDEX('Conversion Model'!$E$8:$E$9,MATCH(F108,'Conversion Model'!$D$8:$D$9,0)),0)+IFERROR(INDEX('Conversion Model'!$H$8:$H$12,MATCH(IF(LEFT(J108,8)="Payments","Payments",IF(LEFT(J108,7)="Lending","Lending",J108)),'Conversion Model'!$G$8:$G$12,0)),0)+MIN(L108,15)*'Conversion Model'!$B$17+IF(SUMPRODUCT(--ISNUMBER(SEARCH('Scoring Model'!$D$16:$D$25,K108)))&gt;0,'Conversion Model'!$B$18,0)+IF(SUMPRODUCT(--ISNUMBER(SEARCH('Scoring Model'!$G$16:$G$23,K108)))&gt;0,'Conversion Model'!$B$19,0)))))</f>
        <v>0.418727333390775</v>
      </c>
      <c r="AH108" s="3" t="n">
        <f aca="false">IF(OR(O108="Qualified",O108="Won",O108="Lost"),1,IF(O108="Unqualified",0,""))</f>
        <v>0</v>
      </c>
    </row>
    <row r="109" customFormat="false" ht="15" hidden="false" customHeight="true" outlineLevel="0" collapsed="false">
      <c r="A109" s="3" t="s">
        <v>565</v>
      </c>
      <c r="B109" s="9" t="n">
        <v>45982.6722222222</v>
      </c>
      <c r="C109" s="3" t="s">
        <v>135</v>
      </c>
      <c r="D109" s="3" t="s">
        <v>566</v>
      </c>
      <c r="E109" s="3" t="s">
        <v>567</v>
      </c>
      <c r="F109" s="3" t="s">
        <v>22</v>
      </c>
      <c r="G109" s="3" t="s">
        <v>367</v>
      </c>
      <c r="H109" s="3" t="s">
        <v>419</v>
      </c>
      <c r="I109" s="3" t="s">
        <v>204</v>
      </c>
      <c r="J109" s="3" t="s">
        <v>145</v>
      </c>
      <c r="K109" s="3" t="s">
        <v>458</v>
      </c>
      <c r="L109" s="3" t="n">
        <v>4</v>
      </c>
      <c r="M109" s="3" t="n">
        <v>6</v>
      </c>
      <c r="N109" s="3" t="s">
        <v>59</v>
      </c>
      <c r="O109" s="3"/>
      <c r="P109" s="10"/>
      <c r="Q109" s="3" t="n">
        <f aca="false">IF(F109="Disposable",1,0)</f>
        <v>0</v>
      </c>
      <c r="R109" s="3" t="n">
        <f aca="false">IF(SUMPRODUCT(--ISNUMBER(SEARCH('Spam Rules'!$A$22:$A$35,K109)))&gt;0,1,0)</f>
        <v>0</v>
      </c>
      <c r="S109" s="3" t="n">
        <f aca="false">IF(AND(F109="Free",G109=""),1,0)</f>
        <v>0</v>
      </c>
      <c r="T109" s="3" t="n">
        <f aca="false">IF(LEN(TRIM(K109))&lt;15,1,0)</f>
        <v>0</v>
      </c>
      <c r="U109" s="3" t="n">
        <f aca="false">IF(COUNTIF($E$2:$E$801,E109)&gt;1,1,0)</f>
        <v>0</v>
      </c>
      <c r="V109" s="3" t="n">
        <f aca="false">Q109*'Spam Rules'!$H$6+R109*'Spam Rules'!$H$7+S109*'Spam Rules'!$H$8+T109*'Spam Rules'!$H$9+U109*'Spam Rules'!$H$10</f>
        <v>0</v>
      </c>
      <c r="W109" s="3" t="str">
        <f aca="false">IF(V109&gt;='Spam Rules'!$B$3,"Likely Spam","Genuine")</f>
        <v>Genuine</v>
      </c>
      <c r="X109" s="3" t="n">
        <f aca="false">IFERROR(INDEX('Scoring Model'!$B$5:$B$11,MATCH(C109,'Scoring Model'!$A$5:$A$11,0)),0)</f>
        <v>20</v>
      </c>
      <c r="Y109" s="3" t="n">
        <f aca="false">IFERROR(INDEX('Scoring Model'!$E$5:$E$7,MATCH(F109,'Scoring Model'!$D$5:$D$7,0)),0)</f>
        <v>20</v>
      </c>
      <c r="Z109" s="3" t="n">
        <f aca="false">IFERROR(INDEX('Scoring Model'!$H$5:$H$13,MATCH(J109,'Scoring Model'!$G$5:$G$13,0)),0)</f>
        <v>5</v>
      </c>
      <c r="AA109" s="3" t="n">
        <f aca="false">IF(L109&gt;='Scoring Model'!$B$14,'Scoring Model'!$B$15,IF(L109&gt;='Scoring Model'!$B$16,'Scoring Model'!$B$17,0))</f>
        <v>8</v>
      </c>
      <c r="AB109" s="3" t="n">
        <f aca="false">IF(SUMPRODUCT(--ISNUMBER(SEARCH('Scoring Model'!$D$16:$D$25,K109)))&gt;0,'Scoring Model'!$B$18,0)</f>
        <v>15</v>
      </c>
      <c r="AC109" s="3" t="n">
        <f aca="false">IF(SUMPRODUCT(--ISNUMBER(SEARCH('Scoring Model'!$G$16:$G$23,K109)))&gt;0,'Scoring Model'!$B$19,0)</f>
        <v>0</v>
      </c>
      <c r="AD109" s="3" t="n">
        <f aca="false">IF(W109="Likely Spam","",SUM(X109:AC109))</f>
        <v>68</v>
      </c>
      <c r="AE109" s="3" t="str">
        <f aca="false">IF(W109="Likely Spam","Spam",IF(AD109&gt;='Scoring Model'!$B$21,"Hot",IF(AD109&gt;='Scoring Model'!$B$22,"Warm","Nurture")))</f>
        <v>Warm</v>
      </c>
      <c r="AF109" s="3" t="str">
        <f aca="false">IF(W109="Likely Spam","Flagged by spam rules",TRIM(IF(X109&gt;=20,"Strong source. ","")&amp;IF(Y109&gt;0,"Company email. ","")&amp;IF(Z109&gt;=15,"High-value product. ","")&amp;IF(AA109&gt;='Scoring Model'!$B$15,"High engagement. ","")&amp;IF(AB109&gt;0,"Buying intent in message. ","")&amp;IF(AC109&lt;0,"Negative intent in message. ","")))</f>
        <v>Strong source. Company email. Buying intent in message.</v>
      </c>
      <c r="AG109" s="11" t="n">
        <f aca="false">IF(W109="Likely Spam","",1/(1+EXP(-('Conversion Model'!$B$5+IFERROR(INDEX('Conversion Model'!$B$8:$B$14,MATCH(C109,'Conversion Model'!$A$8:$A$14,0)),0)+IFERROR(INDEX('Conversion Model'!$E$8:$E$9,MATCH(F109,'Conversion Model'!$D$8:$D$9,0)),0)+IFERROR(INDEX('Conversion Model'!$H$8:$H$12,MATCH(IF(LEFT(J109,8)="Payments","Payments",IF(LEFT(J109,7)="Lending","Lending",J109)),'Conversion Model'!$G$8:$G$12,0)),0)+MIN(L109,15)*'Conversion Model'!$B$17+IF(SUMPRODUCT(--ISNUMBER(SEARCH('Scoring Model'!$D$16:$D$25,K109)))&gt;0,'Conversion Model'!$B$18,0)+IF(SUMPRODUCT(--ISNUMBER(SEARCH('Scoring Model'!$G$16:$G$23,K109)))&gt;0,'Conversion Model'!$B$19,0)))))</f>
        <v>0.735361992098523</v>
      </c>
      <c r="AH109" s="3" t="str">
        <f aca="false">IF(OR(O109="Qualified",O109="Won",O109="Lost"),1,IF(O109="Unqualified",0,""))</f>
        <v/>
      </c>
    </row>
    <row r="110" customFormat="false" ht="15" hidden="false" customHeight="true" outlineLevel="0" collapsed="false">
      <c r="A110" s="3" t="s">
        <v>568</v>
      </c>
      <c r="B110" s="9" t="n">
        <v>45982.96875</v>
      </c>
      <c r="C110" s="3" t="s">
        <v>160</v>
      </c>
      <c r="D110" s="3" t="s">
        <v>569</v>
      </c>
      <c r="E110" s="3" t="s">
        <v>570</v>
      </c>
      <c r="F110" s="3" t="s">
        <v>54</v>
      </c>
      <c r="G110" s="3"/>
      <c r="H110" s="3"/>
      <c r="I110" s="3" t="s">
        <v>80</v>
      </c>
      <c r="J110" s="3" t="s">
        <v>122</v>
      </c>
      <c r="K110" s="3" t="s">
        <v>349</v>
      </c>
      <c r="L110" s="3" t="n">
        <v>1</v>
      </c>
      <c r="M110" s="3" t="n">
        <v>16.8</v>
      </c>
      <c r="N110" s="3" t="s">
        <v>67</v>
      </c>
      <c r="O110" s="3" t="s">
        <v>194</v>
      </c>
      <c r="P110" s="10"/>
      <c r="Q110" s="3" t="n">
        <f aca="false">IF(F110="Disposable",1,0)</f>
        <v>0</v>
      </c>
      <c r="R110" s="3" t="n">
        <f aca="false">IF(SUMPRODUCT(--ISNUMBER(SEARCH('Spam Rules'!$A$22:$A$35,K110)))&gt;0,1,0)</f>
        <v>0</v>
      </c>
      <c r="S110" s="3" t="n">
        <f aca="false">IF(AND(F110="Free",G110=""),1,0)</f>
        <v>1</v>
      </c>
      <c r="T110" s="3" t="n">
        <f aca="false">IF(LEN(TRIM(K110))&lt;15,1,0)</f>
        <v>0</v>
      </c>
      <c r="U110" s="3" t="n">
        <f aca="false">IF(COUNTIF($E$2:$E$801,E110)&gt;1,1,0)</f>
        <v>0</v>
      </c>
      <c r="V110" s="3" t="n">
        <f aca="false">Q110*'Spam Rules'!$H$6+R110*'Spam Rules'!$H$7+S110*'Spam Rules'!$H$8+T110*'Spam Rules'!$H$9+U110*'Spam Rules'!$H$10</f>
        <v>0</v>
      </c>
      <c r="W110" s="3" t="str">
        <f aca="false">IF(V110&gt;='Spam Rules'!$B$3,"Likely Spam","Genuine")</f>
        <v>Genuine</v>
      </c>
      <c r="X110" s="3" t="n">
        <f aca="false">IFERROR(INDEX('Scoring Model'!$B$5:$B$11,MATCH(C110,'Scoring Model'!$A$5:$A$11,0)),0)</f>
        <v>25</v>
      </c>
      <c r="Y110" s="3" t="n">
        <f aca="false">IFERROR(INDEX('Scoring Model'!$E$5:$E$7,MATCH(F110,'Scoring Model'!$D$5:$D$7,0)),0)</f>
        <v>0</v>
      </c>
      <c r="Z110" s="3" t="n">
        <f aca="false">IFERROR(INDEX('Scoring Model'!$H$5:$H$13,MATCH(J110,'Scoring Model'!$G$5:$G$13,0)),0)</f>
        <v>15</v>
      </c>
      <c r="AA110" s="3" t="n">
        <f aca="false">IF(L110&gt;='Scoring Model'!$B$14,'Scoring Model'!$B$15,IF(L110&gt;='Scoring Model'!$B$16,'Scoring Model'!$B$17,0))</f>
        <v>0</v>
      </c>
      <c r="AB110" s="3" t="n">
        <f aca="false">IF(SUMPRODUCT(--ISNUMBER(SEARCH('Scoring Model'!$D$16:$D$25,K110)))&gt;0,'Scoring Model'!$B$18,0)</f>
        <v>0</v>
      </c>
      <c r="AC110" s="3" t="n">
        <f aca="false">IF(SUMPRODUCT(--ISNUMBER(SEARCH('Scoring Model'!$G$16:$G$23,K110)))&gt;0,'Scoring Model'!$B$19,0)</f>
        <v>-30</v>
      </c>
      <c r="AD110" s="3" t="n">
        <f aca="false">IF(W110="Likely Spam","",SUM(X110:AC110))</f>
        <v>10</v>
      </c>
      <c r="AE110" s="3" t="str">
        <f aca="false">IF(W110="Likely Spam","Spam",IF(AD110&gt;='Scoring Model'!$B$21,"Hot",IF(AD110&gt;='Scoring Model'!$B$22,"Warm","Nurture")))</f>
        <v>Nurture</v>
      </c>
      <c r="AF110" s="3" t="str">
        <f aca="false">IF(W110="Likely Spam","Flagged by spam rules",TRIM(IF(X110&gt;=20,"Strong source. ","")&amp;IF(Y110&gt;0,"Company email. ","")&amp;IF(Z110&gt;=15,"High-value product. ","")&amp;IF(AA110&gt;='Scoring Model'!$B$15,"High engagement. ","")&amp;IF(AB110&gt;0,"Buying intent in message. ","")&amp;IF(AC110&lt;0,"Negative intent in message. ","")))</f>
        <v>Strong source. High-value product. Negative intent in message.</v>
      </c>
      <c r="AG110" s="11" t="n">
        <f aca="false">IF(W110="Likely Spam","",1/(1+EXP(-('Conversion Model'!$B$5+IFERROR(INDEX('Conversion Model'!$B$8:$B$14,MATCH(C110,'Conversion Model'!$A$8:$A$14,0)),0)+IFERROR(INDEX('Conversion Model'!$E$8:$E$9,MATCH(F110,'Conversion Model'!$D$8:$D$9,0)),0)+IFERROR(INDEX('Conversion Model'!$H$8:$H$12,MATCH(IF(LEFT(J110,8)="Payments","Payments",IF(LEFT(J110,7)="Lending","Lending",J110)),'Conversion Model'!$G$8:$G$12,0)),0)+MIN(L110,15)*'Conversion Model'!$B$17+IF(SUMPRODUCT(--ISNUMBER(SEARCH('Scoring Model'!$D$16:$D$25,K110)))&gt;0,'Conversion Model'!$B$18,0)+IF(SUMPRODUCT(--ISNUMBER(SEARCH('Scoring Model'!$G$16:$G$23,K110)))&gt;0,'Conversion Model'!$B$19,0)))))</f>
        <v>0.00184027186190052</v>
      </c>
      <c r="AH110" s="3" t="n">
        <f aca="false">IF(OR(O110="Qualified",O110="Won",O110="Lost"),1,IF(O110="Unqualified",0,""))</f>
        <v>0</v>
      </c>
    </row>
    <row r="111" customFormat="false" ht="15" hidden="false" customHeight="true" outlineLevel="0" collapsed="false">
      <c r="A111" s="3" t="s">
        <v>571</v>
      </c>
      <c r="B111" s="9" t="n">
        <v>45983.0840277778</v>
      </c>
      <c r="C111" s="3" t="s">
        <v>135</v>
      </c>
      <c r="D111" s="3" t="s">
        <v>572</v>
      </c>
      <c r="E111" s="3" t="s">
        <v>573</v>
      </c>
      <c r="F111" s="3" t="s">
        <v>54</v>
      </c>
      <c r="G111" s="3" t="s">
        <v>574</v>
      </c>
      <c r="H111" s="3"/>
      <c r="I111" s="3" t="s">
        <v>116</v>
      </c>
      <c r="J111" s="3" t="s">
        <v>81</v>
      </c>
      <c r="K111" s="3" t="s">
        <v>345</v>
      </c>
      <c r="L111" s="3" t="n">
        <v>1</v>
      </c>
      <c r="M111" s="3" t="n">
        <v>21</v>
      </c>
      <c r="N111" s="3" t="s">
        <v>171</v>
      </c>
      <c r="O111" s="3"/>
      <c r="P111" s="10"/>
      <c r="Q111" s="3" t="n">
        <f aca="false">IF(F111="Disposable",1,0)</f>
        <v>0</v>
      </c>
      <c r="R111" s="3" t="n">
        <f aca="false">IF(SUMPRODUCT(--ISNUMBER(SEARCH('Spam Rules'!$A$22:$A$35,K111)))&gt;0,1,0)</f>
        <v>0</v>
      </c>
      <c r="S111" s="3" t="n">
        <f aca="false">IF(AND(F111="Free",G111=""),1,0)</f>
        <v>0</v>
      </c>
      <c r="T111" s="3" t="n">
        <f aca="false">IF(LEN(TRIM(K111))&lt;15,1,0)</f>
        <v>0</v>
      </c>
      <c r="U111" s="3" t="n">
        <f aca="false">IF(COUNTIF($E$2:$E$801,E111)&gt;1,1,0)</f>
        <v>0</v>
      </c>
      <c r="V111" s="3" t="n">
        <f aca="false">Q111*'Spam Rules'!$H$6+R111*'Spam Rules'!$H$7+S111*'Spam Rules'!$H$8+T111*'Spam Rules'!$H$9+U111*'Spam Rules'!$H$10</f>
        <v>0</v>
      </c>
      <c r="W111" s="3" t="str">
        <f aca="false">IF(V111&gt;='Spam Rules'!$B$3,"Likely Spam","Genuine")</f>
        <v>Genuine</v>
      </c>
      <c r="X111" s="3" t="n">
        <f aca="false">IFERROR(INDEX('Scoring Model'!$B$5:$B$11,MATCH(C111,'Scoring Model'!$A$5:$A$11,0)),0)</f>
        <v>20</v>
      </c>
      <c r="Y111" s="3" t="n">
        <f aca="false">IFERROR(INDEX('Scoring Model'!$E$5:$E$7,MATCH(F111,'Scoring Model'!$D$5:$D$7,0)),0)</f>
        <v>0</v>
      </c>
      <c r="Z111" s="3" t="n">
        <f aca="false">IFERROR(INDEX('Scoring Model'!$H$5:$H$13,MATCH(J111,'Scoring Model'!$G$5:$G$13,0)),0)</f>
        <v>5</v>
      </c>
      <c r="AA111" s="3" t="n">
        <f aca="false">IF(L111&gt;='Scoring Model'!$B$14,'Scoring Model'!$B$15,IF(L111&gt;='Scoring Model'!$B$16,'Scoring Model'!$B$17,0))</f>
        <v>0</v>
      </c>
      <c r="AB111" s="3" t="n">
        <f aca="false">IF(SUMPRODUCT(--ISNUMBER(SEARCH('Scoring Model'!$D$16:$D$25,K111)))&gt;0,'Scoring Model'!$B$18,0)</f>
        <v>15</v>
      </c>
      <c r="AC111" s="3" t="n">
        <f aca="false">IF(SUMPRODUCT(--ISNUMBER(SEARCH('Scoring Model'!$G$16:$G$23,K111)))&gt;0,'Scoring Model'!$B$19,0)</f>
        <v>0</v>
      </c>
      <c r="AD111" s="3" t="n">
        <f aca="false">IF(W111="Likely Spam","",SUM(X111:AC111))</f>
        <v>40</v>
      </c>
      <c r="AE111" s="3" t="str">
        <f aca="false">IF(W111="Likely Spam","Spam",IF(AD111&gt;='Scoring Model'!$B$21,"Hot",IF(AD111&gt;='Scoring Model'!$B$22,"Warm","Nurture")))</f>
        <v>Nurture</v>
      </c>
      <c r="AF111" s="3" t="str">
        <f aca="false">IF(W111="Likely Spam","Flagged by spam rules",TRIM(IF(X111&gt;=20,"Strong source. ","")&amp;IF(Y111&gt;0,"Company email. ","")&amp;IF(Z111&gt;=15,"High-value product. ","")&amp;IF(AA111&gt;='Scoring Model'!$B$15,"High engagement. ","")&amp;IF(AB111&gt;0,"Buying intent in message. ","")&amp;IF(AC111&lt;0,"Negative intent in message. ","")))</f>
        <v>Strong source. Buying intent in message.</v>
      </c>
      <c r="AG111" s="11" t="n">
        <f aca="false">IF(W111="Likely Spam","",1/(1+EXP(-('Conversion Model'!$B$5+IFERROR(INDEX('Conversion Model'!$B$8:$B$14,MATCH(C111,'Conversion Model'!$A$8:$A$14,0)),0)+IFERROR(INDEX('Conversion Model'!$E$8:$E$9,MATCH(F111,'Conversion Model'!$D$8:$D$9,0)),0)+IFERROR(INDEX('Conversion Model'!$H$8:$H$12,MATCH(IF(LEFT(J111,8)="Payments","Payments",IF(LEFT(J111,7)="Lending","Lending",J111)),'Conversion Model'!$G$8:$G$12,0)),0)+MIN(L111,15)*'Conversion Model'!$B$17+IF(SUMPRODUCT(--ISNUMBER(SEARCH('Scoring Model'!$D$16:$D$25,K111)))&gt;0,'Conversion Model'!$B$18,0)+IF(SUMPRODUCT(--ISNUMBER(SEARCH('Scoring Model'!$G$16:$G$23,K111)))&gt;0,'Conversion Model'!$B$19,0)))))</f>
        <v>0.0565723142065664</v>
      </c>
      <c r="AH111" s="3" t="str">
        <f aca="false">IF(OR(O111="Qualified",O111="Won",O111="Lost"),1,IF(O111="Unqualified",0,""))</f>
        <v/>
      </c>
    </row>
    <row r="112" customFormat="false" ht="15" hidden="false" customHeight="true" outlineLevel="0" collapsed="false">
      <c r="A112" s="3" t="s">
        <v>575</v>
      </c>
      <c r="B112" s="9" t="n">
        <v>45983.425</v>
      </c>
      <c r="C112" s="3" t="s">
        <v>51</v>
      </c>
      <c r="D112" s="3" t="s">
        <v>576</v>
      </c>
      <c r="E112" s="3" t="s">
        <v>577</v>
      </c>
      <c r="F112" s="3" t="s">
        <v>63</v>
      </c>
      <c r="G112" s="3"/>
      <c r="H112" s="3"/>
      <c r="I112" s="3" t="s">
        <v>107</v>
      </c>
      <c r="J112" s="3" t="s">
        <v>81</v>
      </c>
      <c r="K112" s="3" t="s">
        <v>66</v>
      </c>
      <c r="L112" s="3" t="n">
        <v>2</v>
      </c>
      <c r="M112" s="3" t="n">
        <v>32.8</v>
      </c>
      <c r="N112" s="3" t="s">
        <v>59</v>
      </c>
      <c r="O112" s="3"/>
      <c r="P112" s="10"/>
      <c r="Q112" s="3" t="n">
        <f aca="false">IF(F112="Disposable",1,0)</f>
        <v>1</v>
      </c>
      <c r="R112" s="3" t="n">
        <f aca="false">IF(SUMPRODUCT(--ISNUMBER(SEARCH('Spam Rules'!$A$22:$A$35,K112)))&gt;0,1,0)</f>
        <v>1</v>
      </c>
      <c r="S112" s="3" t="n">
        <f aca="false">IF(AND(F112="Free",G112=""),1,0)</f>
        <v>0</v>
      </c>
      <c r="T112" s="3" t="n">
        <f aca="false">IF(LEN(TRIM(K112))&lt;15,1,0)</f>
        <v>0</v>
      </c>
      <c r="U112" s="3" t="n">
        <f aca="false">IF(COUNTIF($E$2:$E$801,E112)&gt;1,1,0)</f>
        <v>0</v>
      </c>
      <c r="V112" s="3" t="n">
        <f aca="false">Q112*'Spam Rules'!$H$6+R112*'Spam Rules'!$H$7+S112*'Spam Rules'!$H$8+T112*'Spam Rules'!$H$9+U112*'Spam Rules'!$H$10</f>
        <v>2</v>
      </c>
      <c r="W112" s="3" t="str">
        <f aca="false">IF(V112&gt;='Spam Rules'!$B$3,"Likely Spam","Genuine")</f>
        <v>Likely Spam</v>
      </c>
      <c r="X112" s="3" t="n">
        <f aca="false">IFERROR(INDEX('Scoring Model'!$B$5:$B$11,MATCH(C112,'Scoring Model'!$A$5:$A$11,0)),0)</f>
        <v>10</v>
      </c>
      <c r="Y112" s="3" t="n">
        <f aca="false">IFERROR(INDEX('Scoring Model'!$E$5:$E$7,MATCH(F112,'Scoring Model'!$D$5:$D$7,0)),0)</f>
        <v>0</v>
      </c>
      <c r="Z112" s="3" t="n">
        <f aca="false">IFERROR(INDEX('Scoring Model'!$H$5:$H$13,MATCH(J112,'Scoring Model'!$G$5:$G$13,0)),0)</f>
        <v>5</v>
      </c>
      <c r="AA112" s="3" t="n">
        <f aca="false">IF(L112&gt;='Scoring Model'!$B$14,'Scoring Model'!$B$15,IF(L112&gt;='Scoring Model'!$B$16,'Scoring Model'!$B$17,0))</f>
        <v>0</v>
      </c>
      <c r="AB112" s="3" t="n">
        <f aca="false">IF(SUMPRODUCT(--ISNUMBER(SEARCH('Scoring Model'!$D$16:$D$25,K112)))&gt;0,'Scoring Model'!$B$18,0)</f>
        <v>0</v>
      </c>
      <c r="AC112" s="3" t="n">
        <f aca="false">IF(SUMPRODUCT(--ISNUMBER(SEARCH('Scoring Model'!$G$16:$G$23,K112)))&gt;0,'Scoring Model'!$B$19,0)</f>
        <v>0</v>
      </c>
      <c r="AD112" s="3" t="str">
        <f aca="false">IF(W112="Likely Spam","",SUM(X112:AC112))</f>
        <v/>
      </c>
      <c r="AE112" s="3" t="str">
        <f aca="false">IF(W112="Likely Spam","Spam",IF(AD112&gt;='Scoring Model'!$B$21,"Hot",IF(AD112&gt;='Scoring Model'!$B$22,"Warm","Nurture")))</f>
        <v>Spam</v>
      </c>
      <c r="AF112" s="3" t="str">
        <f aca="false">IF(W112="Likely Spam","Flagged by spam rules",TRIM(IF(X112&gt;=20,"Strong source. ","")&amp;IF(Y112&gt;0,"Company email. ","")&amp;IF(Z112&gt;=15,"High-value product. ","")&amp;IF(AA112&gt;='Scoring Model'!$B$15,"High engagement. ","")&amp;IF(AB112&gt;0,"Buying intent in message. ","")&amp;IF(AC112&lt;0,"Negative intent in message. ","")))</f>
        <v>Flagged by spam rules</v>
      </c>
      <c r="AG112" s="11" t="str">
        <f aca="false">IF(W112="Likely Spam","",1/(1+EXP(-('Conversion Model'!$B$5+IFERROR(INDEX('Conversion Model'!$B$8:$B$14,MATCH(C112,'Conversion Model'!$A$8:$A$14,0)),0)+IFERROR(INDEX('Conversion Model'!$E$8:$E$9,MATCH(F112,'Conversion Model'!$D$8:$D$9,0)),0)+IFERROR(INDEX('Conversion Model'!$H$8:$H$12,MATCH(IF(LEFT(J112,8)="Payments","Payments",IF(LEFT(J112,7)="Lending","Lending",J112)),'Conversion Model'!$G$8:$G$12,0)),0)+MIN(L112,15)*'Conversion Model'!$B$17+IF(SUMPRODUCT(--ISNUMBER(SEARCH('Scoring Model'!$D$16:$D$25,K112)))&gt;0,'Conversion Model'!$B$18,0)+IF(SUMPRODUCT(--ISNUMBER(SEARCH('Scoring Model'!$G$16:$G$23,K112)))&gt;0,'Conversion Model'!$B$19,0)))))</f>
        <v/>
      </c>
      <c r="AH112" s="3" t="str">
        <f aca="false">IF(OR(O112="Qualified",O112="Won",O112="Lost"),1,IF(O112="Unqualified",0,""))</f>
        <v/>
      </c>
    </row>
    <row r="113" customFormat="false" ht="15" hidden="false" customHeight="true" outlineLevel="0" collapsed="false">
      <c r="A113" s="3" t="s">
        <v>578</v>
      </c>
      <c r="B113" s="9" t="n">
        <v>45983.4645833333</v>
      </c>
      <c r="C113" s="3" t="s">
        <v>135</v>
      </c>
      <c r="D113" s="3" t="s">
        <v>579</v>
      </c>
      <c r="E113" s="3" t="s">
        <v>580</v>
      </c>
      <c r="F113" s="3" t="s">
        <v>22</v>
      </c>
      <c r="G113" s="3" t="s">
        <v>581</v>
      </c>
      <c r="H113" s="3" t="s">
        <v>582</v>
      </c>
      <c r="I113" s="3" t="s">
        <v>227</v>
      </c>
      <c r="J113" s="3" t="s">
        <v>165</v>
      </c>
      <c r="K113" s="3" t="s">
        <v>228</v>
      </c>
      <c r="L113" s="3" t="n">
        <v>3</v>
      </c>
      <c r="M113" s="3" t="n">
        <v>10.5</v>
      </c>
      <c r="N113" s="3" t="s">
        <v>67</v>
      </c>
      <c r="O113" s="3"/>
      <c r="P113" s="10"/>
      <c r="Q113" s="3" t="n">
        <f aca="false">IF(F113="Disposable",1,0)</f>
        <v>0</v>
      </c>
      <c r="R113" s="3" t="n">
        <f aca="false">IF(SUMPRODUCT(--ISNUMBER(SEARCH('Spam Rules'!$A$22:$A$35,K113)))&gt;0,1,0)</f>
        <v>0</v>
      </c>
      <c r="S113" s="3" t="n">
        <f aca="false">IF(AND(F113="Free",G113=""),1,0)</f>
        <v>0</v>
      </c>
      <c r="T113" s="3" t="n">
        <f aca="false">IF(LEN(TRIM(K113))&lt;15,1,0)</f>
        <v>0</v>
      </c>
      <c r="U113" s="3" t="n">
        <f aca="false">IF(COUNTIF($E$2:$E$801,E113)&gt;1,1,0)</f>
        <v>0</v>
      </c>
      <c r="V113" s="3" t="n">
        <f aca="false">Q113*'Spam Rules'!$H$6+R113*'Spam Rules'!$H$7+S113*'Spam Rules'!$H$8+T113*'Spam Rules'!$H$9+U113*'Spam Rules'!$H$10</f>
        <v>0</v>
      </c>
      <c r="W113" s="3" t="str">
        <f aca="false">IF(V113&gt;='Spam Rules'!$B$3,"Likely Spam","Genuine")</f>
        <v>Genuine</v>
      </c>
      <c r="X113" s="3" t="n">
        <f aca="false">IFERROR(INDEX('Scoring Model'!$B$5:$B$11,MATCH(C113,'Scoring Model'!$A$5:$A$11,0)),0)</f>
        <v>20</v>
      </c>
      <c r="Y113" s="3" t="n">
        <f aca="false">IFERROR(INDEX('Scoring Model'!$E$5:$E$7,MATCH(F113,'Scoring Model'!$D$5:$D$7,0)),0)</f>
        <v>20</v>
      </c>
      <c r="Z113" s="3" t="n">
        <f aca="false">IFERROR(INDEX('Scoring Model'!$H$5:$H$13,MATCH(J113,'Scoring Model'!$G$5:$G$13,0)),0)</f>
        <v>15</v>
      </c>
      <c r="AA113" s="3" t="n">
        <f aca="false">IF(L113&gt;='Scoring Model'!$B$14,'Scoring Model'!$B$15,IF(L113&gt;='Scoring Model'!$B$16,'Scoring Model'!$B$17,0))</f>
        <v>0</v>
      </c>
      <c r="AB113" s="3" t="n">
        <f aca="false">IF(SUMPRODUCT(--ISNUMBER(SEARCH('Scoring Model'!$D$16:$D$25,K113)))&gt;0,'Scoring Model'!$B$18,0)</f>
        <v>15</v>
      </c>
      <c r="AC113" s="3" t="n">
        <f aca="false">IF(SUMPRODUCT(--ISNUMBER(SEARCH('Scoring Model'!$G$16:$G$23,K113)))&gt;0,'Scoring Model'!$B$19,0)</f>
        <v>0</v>
      </c>
      <c r="AD113" s="3" t="n">
        <f aca="false">IF(W113="Likely Spam","",SUM(X113:AC113))</f>
        <v>70</v>
      </c>
      <c r="AE113" s="3" t="str">
        <f aca="false">IF(W113="Likely Spam","Spam",IF(AD113&gt;='Scoring Model'!$B$21,"Hot",IF(AD113&gt;='Scoring Model'!$B$22,"Warm","Nurture")))</f>
        <v>Hot</v>
      </c>
      <c r="AF113" s="3" t="str">
        <f aca="false">IF(W113="Likely Spam","Flagged by spam rules",TRIM(IF(X113&gt;=20,"Strong source. ","")&amp;IF(Y113&gt;0,"Company email. ","")&amp;IF(Z113&gt;=15,"High-value product. ","")&amp;IF(AA113&gt;='Scoring Model'!$B$15,"High engagement. ","")&amp;IF(AB113&gt;0,"Buying intent in message. ","")&amp;IF(AC113&lt;0,"Negative intent in message. ","")))</f>
        <v>Strong source. Company email. High-value product. Buying intent in message.</v>
      </c>
      <c r="AG113" s="11" t="n">
        <f aca="false">IF(W113="Likely Spam","",1/(1+EXP(-('Conversion Model'!$B$5+IFERROR(INDEX('Conversion Model'!$B$8:$B$14,MATCH(C113,'Conversion Model'!$A$8:$A$14,0)),0)+IFERROR(INDEX('Conversion Model'!$E$8:$E$9,MATCH(F113,'Conversion Model'!$D$8:$D$9,0)),0)+IFERROR(INDEX('Conversion Model'!$H$8:$H$12,MATCH(IF(LEFT(J113,8)="Payments","Payments",IF(LEFT(J113,7)="Lending","Lending",J113)),'Conversion Model'!$G$8:$G$12,0)),0)+MIN(L113,15)*'Conversion Model'!$B$17+IF(SUMPRODUCT(--ISNUMBER(SEARCH('Scoring Model'!$D$16:$D$25,K113)))&gt;0,'Conversion Model'!$B$18,0)+IF(SUMPRODUCT(--ISNUMBER(SEARCH('Scoring Model'!$G$16:$G$23,K113)))&gt;0,'Conversion Model'!$B$19,0)))))</f>
        <v>0.514246143065613</v>
      </c>
      <c r="AH113" s="3" t="str">
        <f aca="false">IF(OR(O113="Qualified",O113="Won",O113="Lost"),1,IF(O113="Unqualified",0,""))</f>
        <v/>
      </c>
    </row>
    <row r="114" customFormat="false" ht="15" hidden="false" customHeight="true" outlineLevel="0" collapsed="false">
      <c r="A114" s="3" t="s">
        <v>583</v>
      </c>
      <c r="B114" s="9" t="n">
        <v>45983.83125</v>
      </c>
      <c r="C114" s="3" t="s">
        <v>76</v>
      </c>
      <c r="D114" s="3" t="s">
        <v>519</v>
      </c>
      <c r="E114" s="3" t="s">
        <v>584</v>
      </c>
      <c r="F114" s="3" t="s">
        <v>22</v>
      </c>
      <c r="G114" s="3" t="s">
        <v>487</v>
      </c>
      <c r="H114" s="3" t="s">
        <v>488</v>
      </c>
      <c r="I114" s="3" t="s">
        <v>73</v>
      </c>
      <c r="J114" s="3" t="s">
        <v>65</v>
      </c>
      <c r="K114" s="3" t="s">
        <v>89</v>
      </c>
      <c r="L114" s="3" t="n">
        <v>1</v>
      </c>
      <c r="M114" s="3" t="n">
        <v>12.5</v>
      </c>
      <c r="N114" s="3" t="s">
        <v>96</v>
      </c>
      <c r="O114" s="3" t="s">
        <v>68</v>
      </c>
      <c r="P114" s="10"/>
      <c r="Q114" s="3" t="n">
        <f aca="false">IF(F114="Disposable",1,0)</f>
        <v>0</v>
      </c>
      <c r="R114" s="3" t="n">
        <f aca="false">IF(SUMPRODUCT(--ISNUMBER(SEARCH('Spam Rules'!$A$22:$A$35,K114)))&gt;0,1,0)</f>
        <v>1</v>
      </c>
      <c r="S114" s="3" t="n">
        <f aca="false">IF(AND(F114="Free",G114=""),1,0)</f>
        <v>0</v>
      </c>
      <c r="T114" s="3" t="n">
        <f aca="false">IF(LEN(TRIM(K114))&lt;15,1,0)</f>
        <v>0</v>
      </c>
      <c r="U114" s="3" t="n">
        <f aca="false">IF(COUNTIF($E$2:$E$801,E114)&gt;1,1,0)</f>
        <v>1</v>
      </c>
      <c r="V114" s="3" t="n">
        <f aca="false">Q114*'Spam Rules'!$H$6+R114*'Spam Rules'!$H$7+S114*'Spam Rules'!$H$8+T114*'Spam Rules'!$H$9+U114*'Spam Rules'!$H$10</f>
        <v>1</v>
      </c>
      <c r="W114" s="3" t="str">
        <f aca="false">IF(V114&gt;='Spam Rules'!$B$3,"Likely Spam","Genuine")</f>
        <v>Likely Spam</v>
      </c>
      <c r="X114" s="3" t="n">
        <f aca="false">IFERROR(INDEX('Scoring Model'!$B$5:$B$11,MATCH(C114,'Scoring Model'!$A$5:$A$11,0)),0)</f>
        <v>0</v>
      </c>
      <c r="Y114" s="3" t="n">
        <f aca="false">IFERROR(INDEX('Scoring Model'!$E$5:$E$7,MATCH(F114,'Scoring Model'!$D$5:$D$7,0)),0)</f>
        <v>20</v>
      </c>
      <c r="Z114" s="3" t="n">
        <f aca="false">IFERROR(INDEX('Scoring Model'!$H$5:$H$13,MATCH(J114,'Scoring Model'!$G$5:$G$13,0)),0)</f>
        <v>0</v>
      </c>
      <c r="AA114" s="3" t="n">
        <f aca="false">IF(L114&gt;='Scoring Model'!$B$14,'Scoring Model'!$B$15,IF(L114&gt;='Scoring Model'!$B$16,'Scoring Model'!$B$17,0))</f>
        <v>0</v>
      </c>
      <c r="AB114" s="3" t="n">
        <f aca="false">IF(SUMPRODUCT(--ISNUMBER(SEARCH('Scoring Model'!$D$16:$D$25,K114)))&gt;0,'Scoring Model'!$B$18,0)</f>
        <v>0</v>
      </c>
      <c r="AC114" s="3" t="n">
        <f aca="false">IF(SUMPRODUCT(--ISNUMBER(SEARCH('Scoring Model'!$G$16:$G$23,K114)))&gt;0,'Scoring Model'!$B$19,0)</f>
        <v>0</v>
      </c>
      <c r="AD114" s="3" t="str">
        <f aca="false">IF(W114="Likely Spam","",SUM(X114:AC114))</f>
        <v/>
      </c>
      <c r="AE114" s="3" t="str">
        <f aca="false">IF(W114="Likely Spam","Spam",IF(AD114&gt;='Scoring Model'!$B$21,"Hot",IF(AD114&gt;='Scoring Model'!$B$22,"Warm","Nurture")))</f>
        <v>Spam</v>
      </c>
      <c r="AF114" s="3" t="str">
        <f aca="false">IF(W114="Likely Spam","Flagged by spam rules",TRIM(IF(X114&gt;=20,"Strong source. ","")&amp;IF(Y114&gt;0,"Company email. ","")&amp;IF(Z114&gt;=15,"High-value product. ","")&amp;IF(AA114&gt;='Scoring Model'!$B$15,"High engagement. ","")&amp;IF(AB114&gt;0,"Buying intent in message. ","")&amp;IF(AC114&lt;0,"Negative intent in message. ","")))</f>
        <v>Flagged by spam rules</v>
      </c>
      <c r="AG114" s="11" t="str">
        <f aca="false">IF(W114="Likely Spam","",1/(1+EXP(-('Conversion Model'!$B$5+IFERROR(INDEX('Conversion Model'!$B$8:$B$14,MATCH(C114,'Conversion Model'!$A$8:$A$14,0)),0)+IFERROR(INDEX('Conversion Model'!$E$8:$E$9,MATCH(F114,'Conversion Model'!$D$8:$D$9,0)),0)+IFERROR(INDEX('Conversion Model'!$H$8:$H$12,MATCH(IF(LEFT(J114,8)="Payments","Payments",IF(LEFT(J114,7)="Lending","Lending",J114)),'Conversion Model'!$G$8:$G$12,0)),0)+MIN(L114,15)*'Conversion Model'!$B$17+IF(SUMPRODUCT(--ISNUMBER(SEARCH('Scoring Model'!$D$16:$D$25,K114)))&gt;0,'Conversion Model'!$B$18,0)+IF(SUMPRODUCT(--ISNUMBER(SEARCH('Scoring Model'!$G$16:$G$23,K114)))&gt;0,'Conversion Model'!$B$19,0)))))</f>
        <v/>
      </c>
      <c r="AH114" s="3" t="str">
        <f aca="false">IF(OR(O114="Qualified",O114="Won",O114="Lost"),1,IF(O114="Unqualified",0,""))</f>
        <v/>
      </c>
    </row>
    <row r="115" customFormat="false" ht="15" hidden="false" customHeight="true" outlineLevel="0" collapsed="false">
      <c r="A115" s="3" t="s">
        <v>585</v>
      </c>
      <c r="B115" s="9" t="n">
        <v>45983.9645833333</v>
      </c>
      <c r="C115" s="3" t="s">
        <v>51</v>
      </c>
      <c r="D115" s="3" t="s">
        <v>586</v>
      </c>
      <c r="E115" s="3" t="s">
        <v>587</v>
      </c>
      <c r="F115" s="3" t="s">
        <v>22</v>
      </c>
      <c r="G115" s="3" t="s">
        <v>279</v>
      </c>
      <c r="H115" s="3" t="s">
        <v>588</v>
      </c>
      <c r="I115" s="3" t="s">
        <v>88</v>
      </c>
      <c r="J115" s="3" t="s">
        <v>245</v>
      </c>
      <c r="K115" s="3" t="s">
        <v>589</v>
      </c>
      <c r="L115" s="3" t="n">
        <v>1</v>
      </c>
      <c r="M115" s="3" t="n">
        <v>26.6</v>
      </c>
      <c r="N115" s="3" t="s">
        <v>59</v>
      </c>
      <c r="O115" s="3" t="s">
        <v>194</v>
      </c>
      <c r="P115" s="10"/>
      <c r="Q115" s="3" t="n">
        <f aca="false">IF(F115="Disposable",1,0)</f>
        <v>0</v>
      </c>
      <c r="R115" s="3" t="n">
        <f aca="false">IF(SUMPRODUCT(--ISNUMBER(SEARCH('Spam Rules'!$A$22:$A$35,K115)))&gt;0,1,0)</f>
        <v>0</v>
      </c>
      <c r="S115" s="3" t="n">
        <f aca="false">IF(AND(F115="Free",G115=""),1,0)</f>
        <v>0</v>
      </c>
      <c r="T115" s="3" t="n">
        <f aca="false">IF(LEN(TRIM(K115))&lt;15,1,0)</f>
        <v>0</v>
      </c>
      <c r="U115" s="3" t="n">
        <f aca="false">IF(COUNTIF($E$2:$E$801,E115)&gt;1,1,0)</f>
        <v>0</v>
      </c>
      <c r="V115" s="3" t="n">
        <f aca="false">Q115*'Spam Rules'!$H$6+R115*'Spam Rules'!$H$7+S115*'Spam Rules'!$H$8+T115*'Spam Rules'!$H$9+U115*'Spam Rules'!$H$10</f>
        <v>0</v>
      </c>
      <c r="W115" s="3" t="str">
        <f aca="false">IF(V115&gt;='Spam Rules'!$B$3,"Likely Spam","Genuine")</f>
        <v>Genuine</v>
      </c>
      <c r="X115" s="3" t="n">
        <f aca="false">IFERROR(INDEX('Scoring Model'!$B$5:$B$11,MATCH(C115,'Scoring Model'!$A$5:$A$11,0)),0)</f>
        <v>10</v>
      </c>
      <c r="Y115" s="3" t="n">
        <f aca="false">IFERROR(INDEX('Scoring Model'!$E$5:$E$7,MATCH(F115,'Scoring Model'!$D$5:$D$7,0)),0)</f>
        <v>20</v>
      </c>
      <c r="Z115" s="3" t="n">
        <f aca="false">IFERROR(INDEX('Scoring Model'!$H$5:$H$13,MATCH(J115,'Scoring Model'!$G$5:$G$13,0)),0)</f>
        <v>15</v>
      </c>
      <c r="AA115" s="3" t="n">
        <f aca="false">IF(L115&gt;='Scoring Model'!$B$14,'Scoring Model'!$B$15,IF(L115&gt;='Scoring Model'!$B$16,'Scoring Model'!$B$17,0))</f>
        <v>0</v>
      </c>
      <c r="AB115" s="3" t="n">
        <f aca="false">IF(SUMPRODUCT(--ISNUMBER(SEARCH('Scoring Model'!$D$16:$D$25,K115)))&gt;0,'Scoring Model'!$B$18,0)</f>
        <v>15</v>
      </c>
      <c r="AC115" s="3" t="n">
        <f aca="false">IF(SUMPRODUCT(--ISNUMBER(SEARCH('Scoring Model'!$G$16:$G$23,K115)))&gt;0,'Scoring Model'!$B$19,0)</f>
        <v>0</v>
      </c>
      <c r="AD115" s="3" t="n">
        <f aca="false">IF(W115="Likely Spam","",SUM(X115:AC115))</f>
        <v>60</v>
      </c>
      <c r="AE115" s="3" t="str">
        <f aca="false">IF(W115="Likely Spam","Spam",IF(AD115&gt;='Scoring Model'!$B$21,"Hot",IF(AD115&gt;='Scoring Model'!$B$22,"Warm","Nurture")))</f>
        <v>Warm</v>
      </c>
      <c r="AF115" s="3" t="str">
        <f aca="false">IF(W115="Likely Spam","Flagged by spam rules",TRIM(IF(X115&gt;=20,"Strong source. ","")&amp;IF(Y115&gt;0,"Company email. ","")&amp;IF(Z115&gt;=15,"High-value product. ","")&amp;IF(AA115&gt;='Scoring Model'!$B$15,"High engagement. ","")&amp;IF(AB115&gt;0,"Buying intent in message. ","")&amp;IF(AC115&lt;0,"Negative intent in message. ","")))</f>
        <v>Company email. High-value product. Buying intent in message.</v>
      </c>
      <c r="AG115" s="11" t="n">
        <f aca="false">IF(W115="Likely Spam","",1/(1+EXP(-('Conversion Model'!$B$5+IFERROR(INDEX('Conversion Model'!$B$8:$B$14,MATCH(C115,'Conversion Model'!$A$8:$A$14,0)),0)+IFERROR(INDEX('Conversion Model'!$E$8:$E$9,MATCH(F115,'Conversion Model'!$D$8:$D$9,0)),0)+IFERROR(INDEX('Conversion Model'!$H$8:$H$12,MATCH(IF(LEFT(J115,8)="Payments","Payments",IF(LEFT(J115,7)="Lending","Lending",J115)),'Conversion Model'!$G$8:$G$12,0)),0)+MIN(L115,15)*'Conversion Model'!$B$17+IF(SUMPRODUCT(--ISNUMBER(SEARCH('Scoring Model'!$D$16:$D$25,K115)))&gt;0,'Conversion Model'!$B$18,0)+IF(SUMPRODUCT(--ISNUMBER(SEARCH('Scoring Model'!$G$16:$G$23,K115)))&gt;0,'Conversion Model'!$B$19,0)))))</f>
        <v>0.184222106257031</v>
      </c>
      <c r="AH115" s="3" t="n">
        <f aca="false">IF(OR(O115="Qualified",O115="Won",O115="Lost"),1,IF(O115="Unqualified",0,""))</f>
        <v>0</v>
      </c>
    </row>
    <row r="116" customFormat="false" ht="15" hidden="false" customHeight="true" outlineLevel="0" collapsed="false">
      <c r="A116" s="3" t="s">
        <v>590</v>
      </c>
      <c r="B116" s="9" t="n">
        <v>45984.2777777778</v>
      </c>
      <c r="C116" s="3" t="s">
        <v>112</v>
      </c>
      <c r="D116" s="3" t="s">
        <v>591</v>
      </c>
      <c r="E116" s="3" t="s">
        <v>592</v>
      </c>
      <c r="F116" s="3" t="s">
        <v>63</v>
      </c>
      <c r="G116" s="3"/>
      <c r="H116" s="3"/>
      <c r="I116" s="3" t="s">
        <v>227</v>
      </c>
      <c r="J116" s="3" t="s">
        <v>65</v>
      </c>
      <c r="K116" s="3" t="s">
        <v>126</v>
      </c>
      <c r="L116" s="3" t="n">
        <v>2</v>
      </c>
      <c r="M116" s="3" t="n">
        <v>31.4</v>
      </c>
      <c r="N116" s="3" t="s">
        <v>67</v>
      </c>
      <c r="O116" s="3" t="s">
        <v>68</v>
      </c>
      <c r="P116" s="10"/>
      <c r="Q116" s="3" t="n">
        <f aca="false">IF(F116="Disposable",1,0)</f>
        <v>1</v>
      </c>
      <c r="R116" s="3" t="n">
        <f aca="false">IF(SUMPRODUCT(--ISNUMBER(SEARCH('Spam Rules'!$A$22:$A$35,K116)))&gt;0,1,0)</f>
        <v>0</v>
      </c>
      <c r="S116" s="3" t="n">
        <f aca="false">IF(AND(F116="Free",G116=""),1,0)</f>
        <v>0</v>
      </c>
      <c r="T116" s="3" t="n">
        <f aca="false">IF(LEN(TRIM(K116))&lt;15,1,0)</f>
        <v>1</v>
      </c>
      <c r="U116" s="3" t="n">
        <f aca="false">IF(COUNTIF($E$2:$E$801,E116)&gt;1,1,0)</f>
        <v>0</v>
      </c>
      <c r="V116" s="3" t="n">
        <f aca="false">Q116*'Spam Rules'!$H$6+R116*'Spam Rules'!$H$7+S116*'Spam Rules'!$H$8+T116*'Spam Rules'!$H$9+U116*'Spam Rules'!$H$10</f>
        <v>2</v>
      </c>
      <c r="W116" s="3" t="str">
        <f aca="false">IF(V116&gt;='Spam Rules'!$B$3,"Likely Spam","Genuine")</f>
        <v>Likely Spam</v>
      </c>
      <c r="X116" s="3" t="n">
        <f aca="false">IFERROR(INDEX('Scoring Model'!$B$5:$B$11,MATCH(C116,'Scoring Model'!$A$5:$A$11,0)),0)</f>
        <v>15</v>
      </c>
      <c r="Y116" s="3" t="n">
        <f aca="false">IFERROR(INDEX('Scoring Model'!$E$5:$E$7,MATCH(F116,'Scoring Model'!$D$5:$D$7,0)),0)</f>
        <v>0</v>
      </c>
      <c r="Z116" s="3" t="n">
        <f aca="false">IFERROR(INDEX('Scoring Model'!$H$5:$H$13,MATCH(J116,'Scoring Model'!$G$5:$G$13,0)),0)</f>
        <v>0</v>
      </c>
      <c r="AA116" s="3" t="n">
        <f aca="false">IF(L116&gt;='Scoring Model'!$B$14,'Scoring Model'!$B$15,IF(L116&gt;='Scoring Model'!$B$16,'Scoring Model'!$B$17,0))</f>
        <v>0</v>
      </c>
      <c r="AB116" s="3" t="n">
        <f aca="false">IF(SUMPRODUCT(--ISNUMBER(SEARCH('Scoring Model'!$D$16:$D$25,K116)))&gt;0,'Scoring Model'!$B$18,0)</f>
        <v>0</v>
      </c>
      <c r="AC116" s="3" t="n">
        <f aca="false">IF(SUMPRODUCT(--ISNUMBER(SEARCH('Scoring Model'!$G$16:$G$23,K116)))&gt;0,'Scoring Model'!$B$19,0)</f>
        <v>0</v>
      </c>
      <c r="AD116" s="3" t="str">
        <f aca="false">IF(W116="Likely Spam","",SUM(X116:AC116))</f>
        <v/>
      </c>
      <c r="AE116" s="3" t="str">
        <f aca="false">IF(W116="Likely Spam","Spam",IF(AD116&gt;='Scoring Model'!$B$21,"Hot",IF(AD116&gt;='Scoring Model'!$B$22,"Warm","Nurture")))</f>
        <v>Spam</v>
      </c>
      <c r="AF116" s="3" t="str">
        <f aca="false">IF(W116="Likely Spam","Flagged by spam rules",TRIM(IF(X116&gt;=20,"Strong source. ","")&amp;IF(Y116&gt;0,"Company email. ","")&amp;IF(Z116&gt;=15,"High-value product. ","")&amp;IF(AA116&gt;='Scoring Model'!$B$15,"High engagement. ","")&amp;IF(AB116&gt;0,"Buying intent in message. ","")&amp;IF(AC116&lt;0,"Negative intent in message. ","")))</f>
        <v>Flagged by spam rules</v>
      </c>
      <c r="AG116" s="11" t="str">
        <f aca="false">IF(W116="Likely Spam","",1/(1+EXP(-('Conversion Model'!$B$5+IFERROR(INDEX('Conversion Model'!$B$8:$B$14,MATCH(C116,'Conversion Model'!$A$8:$A$14,0)),0)+IFERROR(INDEX('Conversion Model'!$E$8:$E$9,MATCH(F116,'Conversion Model'!$D$8:$D$9,0)),0)+IFERROR(INDEX('Conversion Model'!$H$8:$H$12,MATCH(IF(LEFT(J116,8)="Payments","Payments",IF(LEFT(J116,7)="Lending","Lending",J116)),'Conversion Model'!$G$8:$G$12,0)),0)+MIN(L116,15)*'Conversion Model'!$B$17+IF(SUMPRODUCT(--ISNUMBER(SEARCH('Scoring Model'!$D$16:$D$25,K116)))&gt;0,'Conversion Model'!$B$18,0)+IF(SUMPRODUCT(--ISNUMBER(SEARCH('Scoring Model'!$G$16:$G$23,K116)))&gt;0,'Conversion Model'!$B$19,0)))))</f>
        <v/>
      </c>
      <c r="AH116" s="3" t="str">
        <f aca="false">IF(OR(O116="Qualified",O116="Won",O116="Lost"),1,IF(O116="Unqualified",0,""))</f>
        <v/>
      </c>
    </row>
    <row r="117" customFormat="false" ht="15" hidden="false" customHeight="true" outlineLevel="0" collapsed="false">
      <c r="A117" s="3" t="s">
        <v>593</v>
      </c>
      <c r="B117" s="9" t="n">
        <v>45984.33125</v>
      </c>
      <c r="C117" s="3" t="s">
        <v>160</v>
      </c>
      <c r="D117" s="3" t="s">
        <v>594</v>
      </c>
      <c r="E117" s="3" t="s">
        <v>595</v>
      </c>
      <c r="F117" s="3" t="s">
        <v>22</v>
      </c>
      <c r="G117" s="3" t="s">
        <v>596</v>
      </c>
      <c r="H117" s="3" t="s">
        <v>597</v>
      </c>
      <c r="I117" s="3" t="s">
        <v>107</v>
      </c>
      <c r="J117" s="3" t="s">
        <v>245</v>
      </c>
      <c r="K117" s="3" t="s">
        <v>246</v>
      </c>
      <c r="L117" s="3" t="n">
        <v>10</v>
      </c>
      <c r="M117" s="3" t="n">
        <v>3.1</v>
      </c>
      <c r="N117" s="3" t="s">
        <v>59</v>
      </c>
      <c r="O117" s="3"/>
      <c r="P117" s="10"/>
      <c r="Q117" s="3" t="n">
        <f aca="false">IF(F117="Disposable",1,0)</f>
        <v>0</v>
      </c>
      <c r="R117" s="3" t="n">
        <f aca="false">IF(SUMPRODUCT(--ISNUMBER(SEARCH('Spam Rules'!$A$22:$A$35,K117)))&gt;0,1,0)</f>
        <v>0</v>
      </c>
      <c r="S117" s="3" t="n">
        <f aca="false">IF(AND(F117="Free",G117=""),1,0)</f>
        <v>0</v>
      </c>
      <c r="T117" s="3" t="n">
        <f aca="false">IF(LEN(TRIM(K117))&lt;15,1,0)</f>
        <v>0</v>
      </c>
      <c r="U117" s="3" t="n">
        <f aca="false">IF(COUNTIF($E$2:$E$801,E117)&gt;1,1,0)</f>
        <v>0</v>
      </c>
      <c r="V117" s="3" t="n">
        <f aca="false">Q117*'Spam Rules'!$H$6+R117*'Spam Rules'!$H$7+S117*'Spam Rules'!$H$8+T117*'Spam Rules'!$H$9+U117*'Spam Rules'!$H$10</f>
        <v>0</v>
      </c>
      <c r="W117" s="3" t="str">
        <f aca="false">IF(V117&gt;='Spam Rules'!$B$3,"Likely Spam","Genuine")</f>
        <v>Genuine</v>
      </c>
      <c r="X117" s="3" t="n">
        <f aca="false">IFERROR(INDEX('Scoring Model'!$B$5:$B$11,MATCH(C117,'Scoring Model'!$A$5:$A$11,0)),0)</f>
        <v>25</v>
      </c>
      <c r="Y117" s="3" t="n">
        <f aca="false">IFERROR(INDEX('Scoring Model'!$E$5:$E$7,MATCH(F117,'Scoring Model'!$D$5:$D$7,0)),0)</f>
        <v>20</v>
      </c>
      <c r="Z117" s="3" t="n">
        <f aca="false">IFERROR(INDEX('Scoring Model'!$H$5:$H$13,MATCH(J117,'Scoring Model'!$G$5:$G$13,0)),0)</f>
        <v>15</v>
      </c>
      <c r="AA117" s="3" t="n">
        <f aca="false">IF(L117&gt;='Scoring Model'!$B$14,'Scoring Model'!$B$15,IF(L117&gt;='Scoring Model'!$B$16,'Scoring Model'!$B$17,0))</f>
        <v>15</v>
      </c>
      <c r="AB117" s="3" t="n">
        <f aca="false">IF(SUMPRODUCT(--ISNUMBER(SEARCH('Scoring Model'!$D$16:$D$25,K117)))&gt;0,'Scoring Model'!$B$18,0)</f>
        <v>15</v>
      </c>
      <c r="AC117" s="3" t="n">
        <f aca="false">IF(SUMPRODUCT(--ISNUMBER(SEARCH('Scoring Model'!$G$16:$G$23,K117)))&gt;0,'Scoring Model'!$B$19,0)</f>
        <v>0</v>
      </c>
      <c r="AD117" s="3" t="n">
        <f aca="false">IF(W117="Likely Spam","",SUM(X117:AC117))</f>
        <v>90</v>
      </c>
      <c r="AE117" s="3" t="str">
        <f aca="false">IF(W117="Likely Spam","Spam",IF(AD117&gt;='Scoring Model'!$B$21,"Hot",IF(AD117&gt;='Scoring Model'!$B$22,"Warm","Nurture")))</f>
        <v>Hot</v>
      </c>
      <c r="AF117" s="3" t="str">
        <f aca="false">IF(W117="Likely Spam","Flagged by spam rules",TRIM(IF(X117&gt;=20,"Strong source. ","")&amp;IF(Y117&gt;0,"Company email. ","")&amp;IF(Z117&gt;=15,"High-value product. ","")&amp;IF(AA117&gt;='Scoring Model'!$B$15,"High engagement. ","")&amp;IF(AB117&gt;0,"Buying intent in message. ","")&amp;IF(AC117&lt;0,"Negative intent in message. ","")))</f>
        <v>Strong source. Company email. High-value product. High engagement. Buying intent in message.</v>
      </c>
      <c r="AG117" s="11" t="n">
        <f aca="false">IF(W117="Likely Spam","",1/(1+EXP(-('Conversion Model'!$B$5+IFERROR(INDEX('Conversion Model'!$B$8:$B$14,MATCH(C117,'Conversion Model'!$A$8:$A$14,0)),0)+IFERROR(INDEX('Conversion Model'!$E$8:$E$9,MATCH(F117,'Conversion Model'!$D$8:$D$9,0)),0)+IFERROR(INDEX('Conversion Model'!$H$8:$H$12,MATCH(IF(LEFT(J117,8)="Payments","Payments",IF(LEFT(J117,7)="Lending","Lending",J117)),'Conversion Model'!$G$8:$G$12,0)),0)+MIN(L117,15)*'Conversion Model'!$B$17+IF(SUMPRODUCT(--ISNUMBER(SEARCH('Scoring Model'!$D$16:$D$25,K117)))&gt;0,'Conversion Model'!$B$18,0)+IF(SUMPRODUCT(--ISNUMBER(SEARCH('Scoring Model'!$G$16:$G$23,K117)))&gt;0,'Conversion Model'!$B$19,0)))))</f>
        <v>0.998067487640788</v>
      </c>
      <c r="AH117" s="3" t="str">
        <f aca="false">IF(OR(O117="Qualified",O117="Won",O117="Lost"),1,IF(O117="Unqualified",0,""))</f>
        <v/>
      </c>
    </row>
    <row r="118" customFormat="false" ht="15" hidden="false" customHeight="true" outlineLevel="0" collapsed="false">
      <c r="A118" s="3" t="s">
        <v>598</v>
      </c>
      <c r="B118" s="9" t="n">
        <v>45984.6388888889</v>
      </c>
      <c r="C118" s="3" t="s">
        <v>160</v>
      </c>
      <c r="D118" s="3" t="s">
        <v>196</v>
      </c>
      <c r="E118" s="3" t="s">
        <v>197</v>
      </c>
      <c r="F118" s="3" t="s">
        <v>54</v>
      </c>
      <c r="G118" s="3" t="s">
        <v>599</v>
      </c>
      <c r="H118" s="3"/>
      <c r="I118" s="3" t="s">
        <v>116</v>
      </c>
      <c r="J118" s="3" t="s">
        <v>145</v>
      </c>
      <c r="K118" s="3" t="s">
        <v>189</v>
      </c>
      <c r="L118" s="3" t="n">
        <v>9</v>
      </c>
      <c r="M118" s="3" t="n">
        <v>20.2</v>
      </c>
      <c r="N118" s="3" t="s">
        <v>67</v>
      </c>
      <c r="O118" s="3"/>
      <c r="P118" s="10"/>
      <c r="Q118" s="3" t="n">
        <f aca="false">IF(F118="Disposable",1,0)</f>
        <v>0</v>
      </c>
      <c r="R118" s="3" t="n">
        <f aca="false">IF(SUMPRODUCT(--ISNUMBER(SEARCH('Spam Rules'!$A$22:$A$35,K118)))&gt;0,1,0)</f>
        <v>0</v>
      </c>
      <c r="S118" s="3" t="n">
        <f aca="false">IF(AND(F118="Free",G118=""),1,0)</f>
        <v>0</v>
      </c>
      <c r="T118" s="3" t="n">
        <f aca="false">IF(LEN(TRIM(K118))&lt;15,1,0)</f>
        <v>0</v>
      </c>
      <c r="U118" s="3" t="n">
        <f aca="false">IF(COUNTIF($E$2:$E$801,E118)&gt;1,1,0)</f>
        <v>1</v>
      </c>
      <c r="V118" s="3" t="n">
        <f aca="false">Q118*'Spam Rules'!$H$6+R118*'Spam Rules'!$H$7+S118*'Spam Rules'!$H$8+T118*'Spam Rules'!$H$9+U118*'Spam Rules'!$H$10</f>
        <v>0</v>
      </c>
      <c r="W118" s="3" t="str">
        <f aca="false">IF(V118&gt;='Spam Rules'!$B$3,"Likely Spam","Genuine")</f>
        <v>Genuine</v>
      </c>
      <c r="X118" s="3" t="n">
        <f aca="false">IFERROR(INDEX('Scoring Model'!$B$5:$B$11,MATCH(C118,'Scoring Model'!$A$5:$A$11,0)),0)</f>
        <v>25</v>
      </c>
      <c r="Y118" s="3" t="n">
        <f aca="false">IFERROR(INDEX('Scoring Model'!$E$5:$E$7,MATCH(F118,'Scoring Model'!$D$5:$D$7,0)),0)</f>
        <v>0</v>
      </c>
      <c r="Z118" s="3" t="n">
        <f aca="false">IFERROR(INDEX('Scoring Model'!$H$5:$H$13,MATCH(J118,'Scoring Model'!$G$5:$G$13,0)),0)</f>
        <v>5</v>
      </c>
      <c r="AA118" s="3" t="n">
        <f aca="false">IF(L118&gt;='Scoring Model'!$B$14,'Scoring Model'!$B$15,IF(L118&gt;='Scoring Model'!$B$16,'Scoring Model'!$B$17,0))</f>
        <v>15</v>
      </c>
      <c r="AB118" s="3" t="n">
        <f aca="false">IF(SUMPRODUCT(--ISNUMBER(SEARCH('Scoring Model'!$D$16:$D$25,K118)))&gt;0,'Scoring Model'!$B$18,0)</f>
        <v>15</v>
      </c>
      <c r="AC118" s="3" t="n">
        <f aca="false">IF(SUMPRODUCT(--ISNUMBER(SEARCH('Scoring Model'!$G$16:$G$23,K118)))&gt;0,'Scoring Model'!$B$19,0)</f>
        <v>0</v>
      </c>
      <c r="AD118" s="3" t="n">
        <f aca="false">IF(W118="Likely Spam","",SUM(X118:AC118))</f>
        <v>60</v>
      </c>
      <c r="AE118" s="3" t="str">
        <f aca="false">IF(W118="Likely Spam","Spam",IF(AD118&gt;='Scoring Model'!$B$21,"Hot",IF(AD118&gt;='Scoring Model'!$B$22,"Warm","Nurture")))</f>
        <v>Warm</v>
      </c>
      <c r="AF118" s="3" t="str">
        <f aca="false">IF(W118="Likely Spam","Flagged by spam rules",TRIM(IF(X118&gt;=20,"Strong source. ","")&amp;IF(Y118&gt;0,"Company email. ","")&amp;IF(Z118&gt;=15,"High-value product. ","")&amp;IF(AA118&gt;='Scoring Model'!$B$15,"High engagement. ","")&amp;IF(AB118&gt;0,"Buying intent in message. ","")&amp;IF(AC118&lt;0,"Negative intent in message. ","")))</f>
        <v>Strong source. High engagement. Buying intent in message.</v>
      </c>
      <c r="AG118" s="11" t="n">
        <f aca="false">IF(W118="Likely Spam","",1/(1+EXP(-('Conversion Model'!$B$5+IFERROR(INDEX('Conversion Model'!$B$8:$B$14,MATCH(C118,'Conversion Model'!$A$8:$A$14,0)),0)+IFERROR(INDEX('Conversion Model'!$E$8:$E$9,MATCH(F118,'Conversion Model'!$D$8:$D$9,0)),0)+IFERROR(INDEX('Conversion Model'!$H$8:$H$12,MATCH(IF(LEFT(J118,8)="Payments","Payments",IF(LEFT(J118,7)="Lending","Lending",J118)),'Conversion Model'!$G$8:$G$12,0)),0)+MIN(L118,15)*'Conversion Model'!$B$17+IF(SUMPRODUCT(--ISNUMBER(SEARCH('Scoring Model'!$D$16:$D$25,K118)))&gt;0,'Conversion Model'!$B$18,0)+IF(SUMPRODUCT(--ISNUMBER(SEARCH('Scoring Model'!$G$16:$G$23,K118)))&gt;0,'Conversion Model'!$B$19,0)))))</f>
        <v>0.977946852714783</v>
      </c>
      <c r="AH118" s="3" t="str">
        <f aca="false">IF(OR(O118="Qualified",O118="Won",O118="Lost"),1,IF(O118="Unqualified",0,""))</f>
        <v/>
      </c>
    </row>
    <row r="119" customFormat="false" ht="15" hidden="false" customHeight="true" outlineLevel="0" collapsed="false">
      <c r="A119" s="3" t="s">
        <v>600</v>
      </c>
      <c r="B119" s="9" t="n">
        <v>45985.3006944444</v>
      </c>
      <c r="C119" s="3" t="s">
        <v>51</v>
      </c>
      <c r="D119" s="3" t="s">
        <v>601</v>
      </c>
      <c r="E119" s="3" t="s">
        <v>602</v>
      </c>
      <c r="F119" s="3" t="s">
        <v>54</v>
      </c>
      <c r="G119" s="3" t="s">
        <v>603</v>
      </c>
      <c r="H119" s="3"/>
      <c r="I119" s="3" t="s">
        <v>56</v>
      </c>
      <c r="J119" s="3" t="s">
        <v>65</v>
      </c>
      <c r="K119" s="3" t="s">
        <v>101</v>
      </c>
      <c r="L119" s="3" t="n">
        <v>4</v>
      </c>
      <c r="M119" s="3" t="n">
        <v>5.1</v>
      </c>
      <c r="N119" s="3" t="s">
        <v>59</v>
      </c>
      <c r="O119" s="3" t="s">
        <v>194</v>
      </c>
      <c r="P119" s="10"/>
      <c r="Q119" s="3" t="n">
        <f aca="false">IF(F119="Disposable",1,0)</f>
        <v>0</v>
      </c>
      <c r="R119" s="3" t="n">
        <f aca="false">IF(SUMPRODUCT(--ISNUMBER(SEARCH('Spam Rules'!$A$22:$A$35,K119)))&gt;0,1,0)</f>
        <v>0</v>
      </c>
      <c r="S119" s="3" t="n">
        <f aca="false">IF(AND(F119="Free",G119=""),1,0)</f>
        <v>0</v>
      </c>
      <c r="T119" s="3" t="n">
        <f aca="false">IF(LEN(TRIM(K119))&lt;15,1,0)</f>
        <v>0</v>
      </c>
      <c r="U119" s="3" t="n">
        <f aca="false">IF(COUNTIF($E$2:$E$801,E119)&gt;1,1,0)</f>
        <v>0</v>
      </c>
      <c r="V119" s="3" t="n">
        <f aca="false">Q119*'Spam Rules'!$H$6+R119*'Spam Rules'!$H$7+S119*'Spam Rules'!$H$8+T119*'Spam Rules'!$H$9+U119*'Spam Rules'!$H$10</f>
        <v>0</v>
      </c>
      <c r="W119" s="3" t="str">
        <f aca="false">IF(V119&gt;='Spam Rules'!$B$3,"Likely Spam","Genuine")</f>
        <v>Genuine</v>
      </c>
      <c r="X119" s="3" t="n">
        <f aca="false">IFERROR(INDEX('Scoring Model'!$B$5:$B$11,MATCH(C119,'Scoring Model'!$A$5:$A$11,0)),0)</f>
        <v>10</v>
      </c>
      <c r="Y119" s="3" t="n">
        <f aca="false">IFERROR(INDEX('Scoring Model'!$E$5:$E$7,MATCH(F119,'Scoring Model'!$D$5:$D$7,0)),0)</f>
        <v>0</v>
      </c>
      <c r="Z119" s="3" t="n">
        <f aca="false">IFERROR(INDEX('Scoring Model'!$H$5:$H$13,MATCH(J119,'Scoring Model'!$G$5:$G$13,0)),0)</f>
        <v>0</v>
      </c>
      <c r="AA119" s="3" t="n">
        <f aca="false">IF(L119&gt;='Scoring Model'!$B$14,'Scoring Model'!$B$15,IF(L119&gt;='Scoring Model'!$B$16,'Scoring Model'!$B$17,0))</f>
        <v>8</v>
      </c>
      <c r="AB119" s="3" t="n">
        <f aca="false">IF(SUMPRODUCT(--ISNUMBER(SEARCH('Scoring Model'!$D$16:$D$25,K119)))&gt;0,'Scoring Model'!$B$18,0)</f>
        <v>0</v>
      </c>
      <c r="AC119" s="3" t="n">
        <f aca="false">IF(SUMPRODUCT(--ISNUMBER(SEARCH('Scoring Model'!$G$16:$G$23,K119)))&gt;0,'Scoring Model'!$B$19,0)</f>
        <v>-30</v>
      </c>
      <c r="AD119" s="3" t="n">
        <f aca="false">IF(W119="Likely Spam","",SUM(X119:AC119))</f>
        <v>-12</v>
      </c>
      <c r="AE119" s="3" t="str">
        <f aca="false">IF(W119="Likely Spam","Spam",IF(AD119&gt;='Scoring Model'!$B$21,"Hot",IF(AD119&gt;='Scoring Model'!$B$22,"Warm","Nurture")))</f>
        <v>Nurture</v>
      </c>
      <c r="AF119" s="3" t="str">
        <f aca="false">IF(W119="Likely Spam","Flagged by spam rules",TRIM(IF(X119&gt;=20,"Strong source. ","")&amp;IF(Y119&gt;0,"Company email. ","")&amp;IF(Z119&gt;=15,"High-value product. ","")&amp;IF(AA119&gt;='Scoring Model'!$B$15,"High engagement. ","")&amp;IF(AB119&gt;0,"Buying intent in message. ","")&amp;IF(AC119&lt;0,"Negative intent in message. ","")))</f>
        <v>Negative intent in message.</v>
      </c>
      <c r="AG119" s="11" t="n">
        <f aca="false">IF(W119="Likely Spam","",1/(1+EXP(-('Conversion Model'!$B$5+IFERROR(INDEX('Conversion Model'!$B$8:$B$14,MATCH(C119,'Conversion Model'!$A$8:$A$14,0)),0)+IFERROR(INDEX('Conversion Model'!$E$8:$E$9,MATCH(F119,'Conversion Model'!$D$8:$D$9,0)),0)+IFERROR(INDEX('Conversion Model'!$H$8:$H$12,MATCH(IF(LEFT(J119,8)="Payments","Payments",IF(LEFT(J119,7)="Lending","Lending",J119)),'Conversion Model'!$G$8:$G$12,0)),0)+MIN(L119,15)*'Conversion Model'!$B$17+IF(SUMPRODUCT(--ISNUMBER(SEARCH('Scoring Model'!$D$16:$D$25,K119)))&gt;0,'Conversion Model'!$B$18,0)+IF(SUMPRODUCT(--ISNUMBER(SEARCH('Scoring Model'!$G$16:$G$23,K119)))&gt;0,'Conversion Model'!$B$19,0)))))</f>
        <v>0.0101910707855211</v>
      </c>
      <c r="AH119" s="3" t="n">
        <f aca="false">IF(OR(O119="Qualified",O119="Won",O119="Lost"),1,IF(O119="Unqualified",0,""))</f>
        <v>0</v>
      </c>
    </row>
    <row r="120" customFormat="false" ht="15" hidden="false" customHeight="true" outlineLevel="0" collapsed="false">
      <c r="A120" s="3" t="s">
        <v>604</v>
      </c>
      <c r="B120" s="9" t="n">
        <v>45985.5</v>
      </c>
      <c r="C120" s="3" t="s">
        <v>76</v>
      </c>
      <c r="D120" s="3" t="s">
        <v>605</v>
      </c>
      <c r="E120" s="3" t="s">
        <v>606</v>
      </c>
      <c r="F120" s="3" t="s">
        <v>54</v>
      </c>
      <c r="G120" s="3" t="s">
        <v>607</v>
      </c>
      <c r="H120" s="3"/>
      <c r="I120" s="3" t="s">
        <v>139</v>
      </c>
      <c r="J120" s="3" t="s">
        <v>81</v>
      </c>
      <c r="K120" s="3" t="s">
        <v>378</v>
      </c>
      <c r="L120" s="3" t="n">
        <v>3</v>
      </c>
      <c r="M120" s="3" t="n">
        <v>42.9</v>
      </c>
      <c r="N120" s="3" t="s">
        <v>67</v>
      </c>
      <c r="O120" s="3" t="s">
        <v>194</v>
      </c>
      <c r="P120" s="10"/>
      <c r="Q120" s="3" t="n">
        <f aca="false">IF(F120="Disposable",1,0)</f>
        <v>0</v>
      </c>
      <c r="R120" s="3" t="n">
        <f aca="false">IF(SUMPRODUCT(--ISNUMBER(SEARCH('Spam Rules'!$A$22:$A$35,K120)))&gt;0,1,0)</f>
        <v>0</v>
      </c>
      <c r="S120" s="3" t="n">
        <f aca="false">IF(AND(F120="Free",G120=""),1,0)</f>
        <v>0</v>
      </c>
      <c r="T120" s="3" t="n">
        <f aca="false">IF(LEN(TRIM(K120))&lt;15,1,0)</f>
        <v>0</v>
      </c>
      <c r="U120" s="3" t="n">
        <f aca="false">IF(COUNTIF($E$2:$E$801,E120)&gt;1,1,0)</f>
        <v>0</v>
      </c>
      <c r="V120" s="3" t="n">
        <f aca="false">Q120*'Spam Rules'!$H$6+R120*'Spam Rules'!$H$7+S120*'Spam Rules'!$H$8+T120*'Spam Rules'!$H$9+U120*'Spam Rules'!$H$10</f>
        <v>0</v>
      </c>
      <c r="W120" s="3" t="str">
        <f aca="false">IF(V120&gt;='Spam Rules'!$B$3,"Likely Spam","Genuine")</f>
        <v>Genuine</v>
      </c>
      <c r="X120" s="3" t="n">
        <f aca="false">IFERROR(INDEX('Scoring Model'!$B$5:$B$11,MATCH(C120,'Scoring Model'!$A$5:$A$11,0)),0)</f>
        <v>0</v>
      </c>
      <c r="Y120" s="3" t="n">
        <f aca="false">IFERROR(INDEX('Scoring Model'!$E$5:$E$7,MATCH(F120,'Scoring Model'!$D$5:$D$7,0)),0)</f>
        <v>0</v>
      </c>
      <c r="Z120" s="3" t="n">
        <f aca="false">IFERROR(INDEX('Scoring Model'!$H$5:$H$13,MATCH(J120,'Scoring Model'!$G$5:$G$13,0)),0)</f>
        <v>5</v>
      </c>
      <c r="AA120" s="3" t="n">
        <f aca="false">IF(L120&gt;='Scoring Model'!$B$14,'Scoring Model'!$B$15,IF(L120&gt;='Scoring Model'!$B$16,'Scoring Model'!$B$17,0))</f>
        <v>0</v>
      </c>
      <c r="AB120" s="3" t="n">
        <f aca="false">IF(SUMPRODUCT(--ISNUMBER(SEARCH('Scoring Model'!$D$16:$D$25,K120)))&gt;0,'Scoring Model'!$B$18,0)</f>
        <v>0</v>
      </c>
      <c r="AC120" s="3" t="n">
        <f aca="false">IF(SUMPRODUCT(--ISNUMBER(SEARCH('Scoring Model'!$G$16:$G$23,K120)))&gt;0,'Scoring Model'!$B$19,0)</f>
        <v>-30</v>
      </c>
      <c r="AD120" s="3" t="n">
        <f aca="false">IF(W120="Likely Spam","",SUM(X120:AC120))</f>
        <v>-25</v>
      </c>
      <c r="AE120" s="3" t="str">
        <f aca="false">IF(W120="Likely Spam","Spam",IF(AD120&gt;='Scoring Model'!$B$21,"Hot",IF(AD120&gt;='Scoring Model'!$B$22,"Warm","Nurture")))</f>
        <v>Nurture</v>
      </c>
      <c r="AF120" s="3" t="str">
        <f aca="false">IF(W120="Likely Spam","Flagged by spam rules",TRIM(IF(X120&gt;=20,"Strong source. ","")&amp;IF(Y120&gt;0,"Company email. ","")&amp;IF(Z120&gt;=15,"High-value product. ","")&amp;IF(AA120&gt;='Scoring Model'!$B$15,"High engagement. ","")&amp;IF(AB120&gt;0,"Buying intent in message. ","")&amp;IF(AC120&lt;0,"Negative intent in message. ","")))</f>
        <v>Negative intent in message.</v>
      </c>
      <c r="AG120" s="11" t="n">
        <f aca="false">IF(W120="Likely Spam","",1/(1+EXP(-('Conversion Model'!$B$5+IFERROR(INDEX('Conversion Model'!$B$8:$B$14,MATCH(C120,'Conversion Model'!$A$8:$A$14,0)),0)+IFERROR(INDEX('Conversion Model'!$E$8:$E$9,MATCH(F120,'Conversion Model'!$D$8:$D$9,0)),0)+IFERROR(INDEX('Conversion Model'!$H$8:$H$12,MATCH(IF(LEFT(J120,8)="Payments","Payments",IF(LEFT(J120,7)="Lending","Lending",J120)),'Conversion Model'!$G$8:$G$12,0)),0)+MIN(L120,15)*'Conversion Model'!$B$17+IF(SUMPRODUCT(--ISNUMBER(SEARCH('Scoring Model'!$D$16:$D$25,K120)))&gt;0,'Conversion Model'!$B$18,0)+IF(SUMPRODUCT(--ISNUMBER(SEARCH('Scoring Model'!$G$16:$G$23,K120)))&gt;0,'Conversion Model'!$B$19,0)))))</f>
        <v>0.00271566245674634</v>
      </c>
      <c r="AH120" s="3" t="n">
        <f aca="false">IF(OR(O120="Qualified",O120="Won",O120="Lost"),1,IF(O120="Unqualified",0,""))</f>
        <v>0</v>
      </c>
    </row>
    <row r="121" customFormat="false" ht="15" hidden="false" customHeight="true" outlineLevel="0" collapsed="false">
      <c r="A121" s="3" t="s">
        <v>608</v>
      </c>
      <c r="B121" s="9" t="n">
        <v>45985.5666666667</v>
      </c>
      <c r="C121" s="3" t="s">
        <v>91</v>
      </c>
      <c r="D121" s="3" t="s">
        <v>609</v>
      </c>
      <c r="E121" s="3" t="s">
        <v>610</v>
      </c>
      <c r="F121" s="3" t="s">
        <v>54</v>
      </c>
      <c r="G121" s="3" t="s">
        <v>115</v>
      </c>
      <c r="H121" s="3"/>
      <c r="I121" s="3" t="s">
        <v>73</v>
      </c>
      <c r="J121" s="3" t="s">
        <v>122</v>
      </c>
      <c r="K121" s="3" t="s">
        <v>193</v>
      </c>
      <c r="L121" s="3" t="n">
        <v>3</v>
      </c>
      <c r="M121" s="3" t="n">
        <v>3.4</v>
      </c>
      <c r="N121" s="3" t="s">
        <v>67</v>
      </c>
      <c r="O121" s="3" t="s">
        <v>194</v>
      </c>
      <c r="P121" s="10"/>
      <c r="Q121" s="3" t="n">
        <f aca="false">IF(F121="Disposable",1,0)</f>
        <v>0</v>
      </c>
      <c r="R121" s="3" t="n">
        <f aca="false">IF(SUMPRODUCT(--ISNUMBER(SEARCH('Spam Rules'!$A$22:$A$35,K121)))&gt;0,1,0)</f>
        <v>0</v>
      </c>
      <c r="S121" s="3" t="n">
        <f aca="false">IF(AND(F121="Free",G121=""),1,0)</f>
        <v>0</v>
      </c>
      <c r="T121" s="3" t="n">
        <f aca="false">IF(LEN(TRIM(K121))&lt;15,1,0)</f>
        <v>0</v>
      </c>
      <c r="U121" s="3" t="n">
        <f aca="false">IF(COUNTIF($E$2:$E$801,E121)&gt;1,1,0)</f>
        <v>0</v>
      </c>
      <c r="V121" s="3" t="n">
        <f aca="false">Q121*'Spam Rules'!$H$6+R121*'Spam Rules'!$H$7+S121*'Spam Rules'!$H$8+T121*'Spam Rules'!$H$9+U121*'Spam Rules'!$H$10</f>
        <v>0</v>
      </c>
      <c r="W121" s="3" t="str">
        <f aca="false">IF(V121&gt;='Spam Rules'!$B$3,"Likely Spam","Genuine")</f>
        <v>Genuine</v>
      </c>
      <c r="X121" s="3" t="n">
        <f aca="false">IFERROR(INDEX('Scoring Model'!$B$5:$B$11,MATCH(C121,'Scoring Model'!$A$5:$A$11,0)),0)</f>
        <v>5</v>
      </c>
      <c r="Y121" s="3" t="n">
        <f aca="false">IFERROR(INDEX('Scoring Model'!$E$5:$E$7,MATCH(F121,'Scoring Model'!$D$5:$D$7,0)),0)</f>
        <v>0</v>
      </c>
      <c r="Z121" s="3" t="n">
        <f aca="false">IFERROR(INDEX('Scoring Model'!$H$5:$H$13,MATCH(J121,'Scoring Model'!$G$5:$G$13,0)),0)</f>
        <v>15</v>
      </c>
      <c r="AA121" s="3" t="n">
        <f aca="false">IF(L121&gt;='Scoring Model'!$B$14,'Scoring Model'!$B$15,IF(L121&gt;='Scoring Model'!$B$16,'Scoring Model'!$B$17,0))</f>
        <v>0</v>
      </c>
      <c r="AB121" s="3" t="n">
        <f aca="false">IF(SUMPRODUCT(--ISNUMBER(SEARCH('Scoring Model'!$D$16:$D$25,K121)))&gt;0,'Scoring Model'!$B$18,0)</f>
        <v>0</v>
      </c>
      <c r="AC121" s="3" t="n">
        <f aca="false">IF(SUMPRODUCT(--ISNUMBER(SEARCH('Scoring Model'!$G$16:$G$23,K121)))&gt;0,'Scoring Model'!$B$19,0)</f>
        <v>-30</v>
      </c>
      <c r="AD121" s="3" t="n">
        <f aca="false">IF(W121="Likely Spam","",SUM(X121:AC121))</f>
        <v>-10</v>
      </c>
      <c r="AE121" s="3" t="str">
        <f aca="false">IF(W121="Likely Spam","Spam",IF(AD121&gt;='Scoring Model'!$B$21,"Hot",IF(AD121&gt;='Scoring Model'!$B$22,"Warm","Nurture")))</f>
        <v>Nurture</v>
      </c>
      <c r="AF121" s="3" t="str">
        <f aca="false">IF(W121="Likely Spam","Flagged by spam rules",TRIM(IF(X121&gt;=20,"Strong source. ","")&amp;IF(Y121&gt;0,"Company email. ","")&amp;IF(Z121&gt;=15,"High-value product. ","")&amp;IF(AA121&gt;='Scoring Model'!$B$15,"High engagement. ","")&amp;IF(AB121&gt;0,"Buying intent in message. ","")&amp;IF(AC121&lt;0,"Negative intent in message. ","")))</f>
        <v>High-value product. Negative intent in message.</v>
      </c>
      <c r="AG121" s="11" t="n">
        <f aca="false">IF(W121="Likely Spam","",1/(1+EXP(-('Conversion Model'!$B$5+IFERROR(INDEX('Conversion Model'!$B$8:$B$14,MATCH(C121,'Conversion Model'!$A$8:$A$14,0)),0)+IFERROR(INDEX('Conversion Model'!$E$8:$E$9,MATCH(F121,'Conversion Model'!$D$8:$D$9,0)),0)+IFERROR(INDEX('Conversion Model'!$H$8:$H$12,MATCH(IF(LEFT(J121,8)="Payments","Payments",IF(LEFT(J121,7)="Lending","Lending",J121)),'Conversion Model'!$G$8:$G$12,0)),0)+MIN(L121,15)*'Conversion Model'!$B$17+IF(SUMPRODUCT(--ISNUMBER(SEARCH('Scoring Model'!$D$16:$D$25,K121)))&gt;0,'Conversion Model'!$B$18,0)+IF(SUMPRODUCT(--ISNUMBER(SEARCH('Scoring Model'!$G$16:$G$23,K121)))&gt;0,'Conversion Model'!$B$19,0)))))</f>
        <v>0.00398589317334019</v>
      </c>
      <c r="AH121" s="3" t="n">
        <f aca="false">IF(OR(O121="Qualified",O121="Won",O121="Lost"),1,IF(O121="Unqualified",0,""))</f>
        <v>0</v>
      </c>
    </row>
    <row r="122" customFormat="false" ht="15" hidden="false" customHeight="true" outlineLevel="0" collapsed="false">
      <c r="A122" s="3" t="s">
        <v>611</v>
      </c>
      <c r="B122" s="9" t="n">
        <v>45985.5736111111</v>
      </c>
      <c r="C122" s="3" t="s">
        <v>51</v>
      </c>
      <c r="D122" s="3" t="s">
        <v>612</v>
      </c>
      <c r="E122" s="3" t="s">
        <v>613</v>
      </c>
      <c r="F122" s="3" t="s">
        <v>54</v>
      </c>
      <c r="G122" s="3" t="s">
        <v>237</v>
      </c>
      <c r="H122" s="3"/>
      <c r="I122" s="3" t="s">
        <v>116</v>
      </c>
      <c r="J122" s="3" t="s">
        <v>81</v>
      </c>
      <c r="K122" s="3" t="s">
        <v>170</v>
      </c>
      <c r="L122" s="3" t="n">
        <v>2</v>
      </c>
      <c r="M122" s="3"/>
      <c r="N122" s="3" t="s">
        <v>96</v>
      </c>
      <c r="O122" s="3" t="s">
        <v>68</v>
      </c>
      <c r="P122" s="10"/>
      <c r="Q122" s="3" t="n">
        <f aca="false">IF(F122="Disposable",1,0)</f>
        <v>0</v>
      </c>
      <c r="R122" s="3" t="n">
        <f aca="false">IF(SUMPRODUCT(--ISNUMBER(SEARCH('Spam Rules'!$A$22:$A$35,K122)))&gt;0,1,0)</f>
        <v>0</v>
      </c>
      <c r="S122" s="3" t="n">
        <f aca="false">IF(AND(F122="Free",G122=""),1,0)</f>
        <v>0</v>
      </c>
      <c r="T122" s="3" t="n">
        <f aca="false">IF(LEN(TRIM(K122))&lt;15,1,0)</f>
        <v>1</v>
      </c>
      <c r="U122" s="3" t="n">
        <f aca="false">IF(COUNTIF($E$2:$E$801,E122)&gt;1,1,0)</f>
        <v>0</v>
      </c>
      <c r="V122" s="3" t="n">
        <f aca="false">Q122*'Spam Rules'!$H$6+R122*'Spam Rules'!$H$7+S122*'Spam Rules'!$H$8+T122*'Spam Rules'!$H$9+U122*'Spam Rules'!$H$10</f>
        <v>1</v>
      </c>
      <c r="W122" s="3" t="str">
        <f aca="false">IF(V122&gt;='Spam Rules'!$B$3,"Likely Spam","Genuine")</f>
        <v>Likely Spam</v>
      </c>
      <c r="X122" s="3" t="n">
        <f aca="false">IFERROR(INDEX('Scoring Model'!$B$5:$B$11,MATCH(C122,'Scoring Model'!$A$5:$A$11,0)),0)</f>
        <v>10</v>
      </c>
      <c r="Y122" s="3" t="n">
        <f aca="false">IFERROR(INDEX('Scoring Model'!$E$5:$E$7,MATCH(F122,'Scoring Model'!$D$5:$D$7,0)),0)</f>
        <v>0</v>
      </c>
      <c r="Z122" s="3" t="n">
        <f aca="false">IFERROR(INDEX('Scoring Model'!$H$5:$H$13,MATCH(J122,'Scoring Model'!$G$5:$G$13,0)),0)</f>
        <v>5</v>
      </c>
      <c r="AA122" s="3" t="n">
        <f aca="false">IF(L122&gt;='Scoring Model'!$B$14,'Scoring Model'!$B$15,IF(L122&gt;='Scoring Model'!$B$16,'Scoring Model'!$B$17,0))</f>
        <v>0</v>
      </c>
      <c r="AB122" s="3" t="n">
        <f aca="false">IF(SUMPRODUCT(--ISNUMBER(SEARCH('Scoring Model'!$D$16:$D$25,K122)))&gt;0,'Scoring Model'!$B$18,0)</f>
        <v>0</v>
      </c>
      <c r="AC122" s="3" t="n">
        <f aca="false">IF(SUMPRODUCT(--ISNUMBER(SEARCH('Scoring Model'!$G$16:$G$23,K122)))&gt;0,'Scoring Model'!$B$19,0)</f>
        <v>0</v>
      </c>
      <c r="AD122" s="3" t="str">
        <f aca="false">IF(W122="Likely Spam","",SUM(X122:AC122))</f>
        <v/>
      </c>
      <c r="AE122" s="3" t="str">
        <f aca="false">IF(W122="Likely Spam","Spam",IF(AD122&gt;='Scoring Model'!$B$21,"Hot",IF(AD122&gt;='Scoring Model'!$B$22,"Warm","Nurture")))</f>
        <v>Spam</v>
      </c>
      <c r="AF122" s="3" t="str">
        <f aca="false">IF(W122="Likely Spam","Flagged by spam rules",TRIM(IF(X122&gt;=20,"Strong source. ","")&amp;IF(Y122&gt;0,"Company email. ","")&amp;IF(Z122&gt;=15,"High-value product. ","")&amp;IF(AA122&gt;='Scoring Model'!$B$15,"High engagement. ","")&amp;IF(AB122&gt;0,"Buying intent in message. ","")&amp;IF(AC122&lt;0,"Negative intent in message. ","")))</f>
        <v>Flagged by spam rules</v>
      </c>
      <c r="AG122" s="11" t="str">
        <f aca="false">IF(W122="Likely Spam","",1/(1+EXP(-('Conversion Model'!$B$5+IFERROR(INDEX('Conversion Model'!$B$8:$B$14,MATCH(C122,'Conversion Model'!$A$8:$A$14,0)),0)+IFERROR(INDEX('Conversion Model'!$E$8:$E$9,MATCH(F122,'Conversion Model'!$D$8:$D$9,0)),0)+IFERROR(INDEX('Conversion Model'!$H$8:$H$12,MATCH(IF(LEFT(J122,8)="Payments","Payments",IF(LEFT(J122,7)="Lending","Lending",J122)),'Conversion Model'!$G$8:$G$12,0)),0)+MIN(L122,15)*'Conversion Model'!$B$17+IF(SUMPRODUCT(--ISNUMBER(SEARCH('Scoring Model'!$D$16:$D$25,K122)))&gt;0,'Conversion Model'!$B$18,0)+IF(SUMPRODUCT(--ISNUMBER(SEARCH('Scoring Model'!$G$16:$G$23,K122)))&gt;0,'Conversion Model'!$B$19,0)))))</f>
        <v/>
      </c>
      <c r="AH122" s="3" t="str">
        <f aca="false">IF(OR(O122="Qualified",O122="Won",O122="Lost"),1,IF(O122="Unqualified",0,""))</f>
        <v/>
      </c>
    </row>
    <row r="123" customFormat="false" ht="15" hidden="false" customHeight="true" outlineLevel="0" collapsed="false">
      <c r="A123" s="3" t="s">
        <v>614</v>
      </c>
      <c r="B123" s="9" t="n">
        <v>45985.8222222222</v>
      </c>
      <c r="C123" s="3" t="s">
        <v>160</v>
      </c>
      <c r="D123" s="3" t="s">
        <v>615</v>
      </c>
      <c r="E123" s="3" t="s">
        <v>616</v>
      </c>
      <c r="F123" s="3" t="s">
        <v>22</v>
      </c>
      <c r="G123" s="3" t="s">
        <v>617</v>
      </c>
      <c r="H123" s="3" t="s">
        <v>618</v>
      </c>
      <c r="I123" s="3" t="s">
        <v>227</v>
      </c>
      <c r="J123" s="3" t="s">
        <v>108</v>
      </c>
      <c r="K123" s="3" t="s">
        <v>619</v>
      </c>
      <c r="L123" s="3" t="n">
        <v>4</v>
      </c>
      <c r="M123" s="3" t="n">
        <v>5.7</v>
      </c>
      <c r="N123" s="3" t="s">
        <v>171</v>
      </c>
      <c r="O123" s="3"/>
      <c r="P123" s="10"/>
      <c r="Q123" s="3" t="n">
        <f aca="false">IF(F123="Disposable",1,0)</f>
        <v>0</v>
      </c>
      <c r="R123" s="3" t="n">
        <f aca="false">IF(SUMPRODUCT(--ISNUMBER(SEARCH('Spam Rules'!$A$22:$A$35,K123)))&gt;0,1,0)</f>
        <v>0</v>
      </c>
      <c r="S123" s="3" t="n">
        <f aca="false">IF(AND(F123="Free",G123=""),1,0)</f>
        <v>0</v>
      </c>
      <c r="T123" s="3" t="n">
        <f aca="false">IF(LEN(TRIM(K123))&lt;15,1,0)</f>
        <v>0</v>
      </c>
      <c r="U123" s="3" t="n">
        <f aca="false">IF(COUNTIF($E$2:$E$801,E123)&gt;1,1,0)</f>
        <v>0</v>
      </c>
      <c r="V123" s="3" t="n">
        <f aca="false">Q123*'Spam Rules'!$H$6+R123*'Spam Rules'!$H$7+S123*'Spam Rules'!$H$8+T123*'Spam Rules'!$H$9+U123*'Spam Rules'!$H$10</f>
        <v>0</v>
      </c>
      <c r="W123" s="3" t="str">
        <f aca="false">IF(V123&gt;='Spam Rules'!$B$3,"Likely Spam","Genuine")</f>
        <v>Genuine</v>
      </c>
      <c r="X123" s="3" t="n">
        <f aca="false">IFERROR(INDEX('Scoring Model'!$B$5:$B$11,MATCH(C123,'Scoring Model'!$A$5:$A$11,0)),0)</f>
        <v>25</v>
      </c>
      <c r="Y123" s="3" t="n">
        <f aca="false">IFERROR(INDEX('Scoring Model'!$E$5:$E$7,MATCH(F123,'Scoring Model'!$D$5:$D$7,0)),0)</f>
        <v>20</v>
      </c>
      <c r="Z123" s="3" t="n">
        <f aca="false">IFERROR(INDEX('Scoring Model'!$H$5:$H$13,MATCH(J123,'Scoring Model'!$G$5:$G$13,0)),0)</f>
        <v>15</v>
      </c>
      <c r="AA123" s="3" t="n">
        <f aca="false">IF(L123&gt;='Scoring Model'!$B$14,'Scoring Model'!$B$15,IF(L123&gt;='Scoring Model'!$B$16,'Scoring Model'!$B$17,0))</f>
        <v>8</v>
      </c>
      <c r="AB123" s="3" t="n">
        <f aca="false">IF(SUMPRODUCT(--ISNUMBER(SEARCH('Scoring Model'!$D$16:$D$25,K123)))&gt;0,'Scoring Model'!$B$18,0)</f>
        <v>15</v>
      </c>
      <c r="AC123" s="3" t="n">
        <f aca="false">IF(SUMPRODUCT(--ISNUMBER(SEARCH('Scoring Model'!$G$16:$G$23,K123)))&gt;0,'Scoring Model'!$B$19,0)</f>
        <v>0</v>
      </c>
      <c r="AD123" s="3" t="n">
        <f aca="false">IF(W123="Likely Spam","",SUM(X123:AC123))</f>
        <v>83</v>
      </c>
      <c r="AE123" s="3" t="str">
        <f aca="false">IF(W123="Likely Spam","Spam",IF(AD123&gt;='Scoring Model'!$B$21,"Hot",IF(AD123&gt;='Scoring Model'!$B$22,"Warm","Nurture")))</f>
        <v>Hot</v>
      </c>
      <c r="AF123" s="3" t="str">
        <f aca="false">IF(W123="Likely Spam","Flagged by spam rules",TRIM(IF(X123&gt;=20,"Strong source. ","")&amp;IF(Y123&gt;0,"Company email. ","")&amp;IF(Z123&gt;=15,"High-value product. ","")&amp;IF(AA123&gt;='Scoring Model'!$B$15,"High engagement. ","")&amp;IF(AB123&gt;0,"Buying intent in message. ","")&amp;IF(AC123&lt;0,"Negative intent in message. ","")))</f>
        <v>Strong source. Company email. High-value product. Buying intent in message.</v>
      </c>
      <c r="AG123" s="11" t="n">
        <f aca="false">IF(W123="Likely Spam","",1/(1+EXP(-('Conversion Model'!$B$5+IFERROR(INDEX('Conversion Model'!$B$8:$B$14,MATCH(C123,'Conversion Model'!$A$8:$A$14,0)),0)+IFERROR(INDEX('Conversion Model'!$E$8:$E$9,MATCH(F123,'Conversion Model'!$D$8:$D$9,0)),0)+IFERROR(INDEX('Conversion Model'!$H$8:$H$12,MATCH(IF(LEFT(J123,8)="Payments","Payments",IF(LEFT(J123,7)="Lending","Lending",J123)),'Conversion Model'!$G$8:$G$12,0)),0)+MIN(L123,15)*'Conversion Model'!$B$17+IF(SUMPRODUCT(--ISNUMBER(SEARCH('Scoring Model'!$D$16:$D$25,K123)))&gt;0,'Conversion Model'!$B$18,0)+IF(SUMPRODUCT(--ISNUMBER(SEARCH('Scoring Model'!$G$16:$G$23,K123)))&gt;0,'Conversion Model'!$B$19,0)))))</f>
        <v>0.622459331201855</v>
      </c>
      <c r="AH123" s="3" t="str">
        <f aca="false">IF(OR(O123="Qualified",O123="Won",O123="Lost"),1,IF(O123="Unqualified",0,""))</f>
        <v/>
      </c>
    </row>
    <row r="124" customFormat="false" ht="15" hidden="false" customHeight="true" outlineLevel="0" collapsed="false">
      <c r="A124" s="3" t="s">
        <v>620</v>
      </c>
      <c r="B124" s="9" t="n">
        <v>45985.8909722222</v>
      </c>
      <c r="C124" s="3" t="s">
        <v>51</v>
      </c>
      <c r="D124" s="3" t="s">
        <v>621</v>
      </c>
      <c r="E124" s="3" t="s">
        <v>622</v>
      </c>
      <c r="F124" s="3" t="s">
        <v>63</v>
      </c>
      <c r="G124" s="3"/>
      <c r="H124" s="3"/>
      <c r="I124" s="3" t="s">
        <v>88</v>
      </c>
      <c r="J124" s="3" t="s">
        <v>65</v>
      </c>
      <c r="K124" s="3" t="s">
        <v>239</v>
      </c>
      <c r="L124" s="3" t="n">
        <v>2</v>
      </c>
      <c r="M124" s="3"/>
      <c r="N124" s="3" t="s">
        <v>67</v>
      </c>
      <c r="O124" s="3"/>
      <c r="P124" s="10"/>
      <c r="Q124" s="3" t="n">
        <f aca="false">IF(F124="Disposable",1,0)</f>
        <v>1</v>
      </c>
      <c r="R124" s="3" t="n">
        <f aca="false">IF(SUMPRODUCT(--ISNUMBER(SEARCH('Spam Rules'!$A$22:$A$35,K124)))&gt;0,1,0)</f>
        <v>1</v>
      </c>
      <c r="S124" s="3" t="n">
        <f aca="false">IF(AND(F124="Free",G124=""),1,0)</f>
        <v>0</v>
      </c>
      <c r="T124" s="3" t="n">
        <f aca="false">IF(LEN(TRIM(K124))&lt;15,1,0)</f>
        <v>0</v>
      </c>
      <c r="U124" s="3" t="n">
        <f aca="false">IF(COUNTIF($E$2:$E$801,E124)&gt;1,1,0)</f>
        <v>0</v>
      </c>
      <c r="V124" s="3" t="n">
        <f aca="false">Q124*'Spam Rules'!$H$6+R124*'Spam Rules'!$H$7+S124*'Spam Rules'!$H$8+T124*'Spam Rules'!$H$9+U124*'Spam Rules'!$H$10</f>
        <v>2</v>
      </c>
      <c r="W124" s="3" t="str">
        <f aca="false">IF(V124&gt;='Spam Rules'!$B$3,"Likely Spam","Genuine")</f>
        <v>Likely Spam</v>
      </c>
      <c r="X124" s="3" t="n">
        <f aca="false">IFERROR(INDEX('Scoring Model'!$B$5:$B$11,MATCH(C124,'Scoring Model'!$A$5:$A$11,0)),0)</f>
        <v>10</v>
      </c>
      <c r="Y124" s="3" t="n">
        <f aca="false">IFERROR(INDEX('Scoring Model'!$E$5:$E$7,MATCH(F124,'Scoring Model'!$D$5:$D$7,0)),0)</f>
        <v>0</v>
      </c>
      <c r="Z124" s="3" t="n">
        <f aca="false">IFERROR(INDEX('Scoring Model'!$H$5:$H$13,MATCH(J124,'Scoring Model'!$G$5:$G$13,0)),0)</f>
        <v>0</v>
      </c>
      <c r="AA124" s="3" t="n">
        <f aca="false">IF(L124&gt;='Scoring Model'!$B$14,'Scoring Model'!$B$15,IF(L124&gt;='Scoring Model'!$B$16,'Scoring Model'!$B$17,0))</f>
        <v>0</v>
      </c>
      <c r="AB124" s="3" t="n">
        <f aca="false">IF(SUMPRODUCT(--ISNUMBER(SEARCH('Scoring Model'!$D$16:$D$25,K124)))&gt;0,'Scoring Model'!$B$18,0)</f>
        <v>0</v>
      </c>
      <c r="AC124" s="3" t="n">
        <f aca="false">IF(SUMPRODUCT(--ISNUMBER(SEARCH('Scoring Model'!$G$16:$G$23,K124)))&gt;0,'Scoring Model'!$B$19,0)</f>
        <v>0</v>
      </c>
      <c r="AD124" s="3" t="str">
        <f aca="false">IF(W124="Likely Spam","",SUM(X124:AC124))</f>
        <v/>
      </c>
      <c r="AE124" s="3" t="str">
        <f aca="false">IF(W124="Likely Spam","Spam",IF(AD124&gt;='Scoring Model'!$B$21,"Hot",IF(AD124&gt;='Scoring Model'!$B$22,"Warm","Nurture")))</f>
        <v>Spam</v>
      </c>
      <c r="AF124" s="3" t="str">
        <f aca="false">IF(W124="Likely Spam","Flagged by spam rules",TRIM(IF(X124&gt;=20,"Strong source. ","")&amp;IF(Y124&gt;0,"Company email. ","")&amp;IF(Z124&gt;=15,"High-value product. ","")&amp;IF(AA124&gt;='Scoring Model'!$B$15,"High engagement. ","")&amp;IF(AB124&gt;0,"Buying intent in message. ","")&amp;IF(AC124&lt;0,"Negative intent in message. ","")))</f>
        <v>Flagged by spam rules</v>
      </c>
      <c r="AG124" s="11" t="str">
        <f aca="false">IF(W124="Likely Spam","",1/(1+EXP(-('Conversion Model'!$B$5+IFERROR(INDEX('Conversion Model'!$B$8:$B$14,MATCH(C124,'Conversion Model'!$A$8:$A$14,0)),0)+IFERROR(INDEX('Conversion Model'!$E$8:$E$9,MATCH(F124,'Conversion Model'!$D$8:$D$9,0)),0)+IFERROR(INDEX('Conversion Model'!$H$8:$H$12,MATCH(IF(LEFT(J124,8)="Payments","Payments",IF(LEFT(J124,7)="Lending","Lending",J124)),'Conversion Model'!$G$8:$G$12,0)),0)+MIN(L124,15)*'Conversion Model'!$B$17+IF(SUMPRODUCT(--ISNUMBER(SEARCH('Scoring Model'!$D$16:$D$25,K124)))&gt;0,'Conversion Model'!$B$18,0)+IF(SUMPRODUCT(--ISNUMBER(SEARCH('Scoring Model'!$G$16:$G$23,K124)))&gt;0,'Conversion Model'!$B$19,0)))))</f>
        <v/>
      </c>
      <c r="AH124" s="3" t="str">
        <f aca="false">IF(OR(O124="Qualified",O124="Won",O124="Lost"),1,IF(O124="Unqualified",0,""))</f>
        <v/>
      </c>
    </row>
    <row r="125" customFormat="false" ht="15" hidden="false" customHeight="true" outlineLevel="0" collapsed="false">
      <c r="A125" s="3" t="s">
        <v>623</v>
      </c>
      <c r="B125" s="9" t="n">
        <v>45986.0055555556</v>
      </c>
      <c r="C125" s="3" t="s">
        <v>160</v>
      </c>
      <c r="D125" s="3" t="s">
        <v>624</v>
      </c>
      <c r="E125" s="3" t="s">
        <v>625</v>
      </c>
      <c r="F125" s="3" t="s">
        <v>22</v>
      </c>
      <c r="G125" s="3" t="s">
        <v>626</v>
      </c>
      <c r="H125" s="3" t="s">
        <v>627</v>
      </c>
      <c r="I125" s="3" t="s">
        <v>260</v>
      </c>
      <c r="J125" s="3" t="s">
        <v>165</v>
      </c>
      <c r="K125" s="3" t="s">
        <v>628</v>
      </c>
      <c r="L125" s="3" t="n">
        <v>5</v>
      </c>
      <c r="M125" s="3" t="n">
        <v>10.8</v>
      </c>
      <c r="N125" s="3" t="s">
        <v>59</v>
      </c>
      <c r="O125" s="3"/>
      <c r="P125" s="10"/>
      <c r="Q125" s="3" t="n">
        <f aca="false">IF(F125="Disposable",1,0)</f>
        <v>0</v>
      </c>
      <c r="R125" s="3" t="n">
        <f aca="false">IF(SUMPRODUCT(--ISNUMBER(SEARCH('Spam Rules'!$A$22:$A$35,K125)))&gt;0,1,0)</f>
        <v>0</v>
      </c>
      <c r="S125" s="3" t="n">
        <f aca="false">IF(AND(F125="Free",G125=""),1,0)</f>
        <v>0</v>
      </c>
      <c r="T125" s="3" t="n">
        <f aca="false">IF(LEN(TRIM(K125))&lt;15,1,0)</f>
        <v>0</v>
      </c>
      <c r="U125" s="3" t="n">
        <f aca="false">IF(COUNTIF($E$2:$E$801,E125)&gt;1,1,0)</f>
        <v>0</v>
      </c>
      <c r="V125" s="3" t="n">
        <f aca="false">Q125*'Spam Rules'!$H$6+R125*'Spam Rules'!$H$7+S125*'Spam Rules'!$H$8+T125*'Spam Rules'!$H$9+U125*'Spam Rules'!$H$10</f>
        <v>0</v>
      </c>
      <c r="W125" s="3" t="str">
        <f aca="false">IF(V125&gt;='Spam Rules'!$B$3,"Likely Spam","Genuine")</f>
        <v>Genuine</v>
      </c>
      <c r="X125" s="3" t="n">
        <f aca="false">IFERROR(INDEX('Scoring Model'!$B$5:$B$11,MATCH(C125,'Scoring Model'!$A$5:$A$11,0)),0)</f>
        <v>25</v>
      </c>
      <c r="Y125" s="3" t="n">
        <f aca="false">IFERROR(INDEX('Scoring Model'!$E$5:$E$7,MATCH(F125,'Scoring Model'!$D$5:$D$7,0)),0)</f>
        <v>20</v>
      </c>
      <c r="Z125" s="3" t="n">
        <f aca="false">IFERROR(INDEX('Scoring Model'!$H$5:$H$13,MATCH(J125,'Scoring Model'!$G$5:$G$13,0)),0)</f>
        <v>15</v>
      </c>
      <c r="AA125" s="3" t="n">
        <f aca="false">IF(L125&gt;='Scoring Model'!$B$14,'Scoring Model'!$B$15,IF(L125&gt;='Scoring Model'!$B$16,'Scoring Model'!$B$17,0))</f>
        <v>8</v>
      </c>
      <c r="AB125" s="3" t="n">
        <f aca="false">IF(SUMPRODUCT(--ISNUMBER(SEARCH('Scoring Model'!$D$16:$D$25,K125)))&gt;0,'Scoring Model'!$B$18,0)</f>
        <v>15</v>
      </c>
      <c r="AC125" s="3" t="n">
        <f aca="false">IF(SUMPRODUCT(--ISNUMBER(SEARCH('Scoring Model'!$G$16:$G$23,K125)))&gt;0,'Scoring Model'!$B$19,0)</f>
        <v>0</v>
      </c>
      <c r="AD125" s="3" t="n">
        <f aca="false">IF(W125="Likely Spam","",SUM(X125:AC125))</f>
        <v>83</v>
      </c>
      <c r="AE125" s="3" t="str">
        <f aca="false">IF(W125="Likely Spam","Spam",IF(AD125&gt;='Scoring Model'!$B$21,"Hot",IF(AD125&gt;='Scoring Model'!$B$22,"Warm","Nurture")))</f>
        <v>Hot</v>
      </c>
      <c r="AF125" s="3" t="str">
        <f aca="false">IF(W125="Likely Spam","Flagged by spam rules",TRIM(IF(X125&gt;=20,"Strong source. ","")&amp;IF(Y125&gt;0,"Company email. ","")&amp;IF(Z125&gt;=15,"High-value product. ","")&amp;IF(AA125&gt;='Scoring Model'!$B$15,"High engagement. ","")&amp;IF(AB125&gt;0,"Buying intent in message. ","")&amp;IF(AC125&lt;0,"Negative intent in message. ","")))</f>
        <v>Strong source. Company email. High-value product. Buying intent in message.</v>
      </c>
      <c r="AG125" s="11" t="n">
        <f aca="false">IF(W125="Likely Spam","",1/(1+EXP(-('Conversion Model'!$B$5+IFERROR(INDEX('Conversion Model'!$B$8:$B$14,MATCH(C125,'Conversion Model'!$A$8:$A$14,0)),0)+IFERROR(INDEX('Conversion Model'!$E$8:$E$9,MATCH(F125,'Conversion Model'!$D$8:$D$9,0)),0)+IFERROR(INDEX('Conversion Model'!$H$8:$H$12,MATCH(IF(LEFT(J125,8)="Payments","Payments",IF(LEFT(J125,7)="Lending","Lending",J125)),'Conversion Model'!$G$8:$G$12,0)),0)+MIN(L125,15)*'Conversion Model'!$B$17+IF(SUMPRODUCT(--ISNUMBER(SEARCH('Scoring Model'!$D$16:$D$25,K125)))&gt;0,'Conversion Model'!$B$18,0)+IF(SUMPRODUCT(--ISNUMBER(SEARCH('Scoring Model'!$G$16:$G$23,K125)))&gt;0,'Conversion Model'!$B$19,0)))))</f>
        <v>0.786171387343127</v>
      </c>
      <c r="AH125" s="3" t="str">
        <f aca="false">IF(OR(O125="Qualified",O125="Won",O125="Lost"),1,IF(O125="Unqualified",0,""))</f>
        <v/>
      </c>
    </row>
    <row r="126" customFormat="false" ht="15" hidden="false" customHeight="true" outlineLevel="0" collapsed="false">
      <c r="A126" s="3" t="s">
        <v>629</v>
      </c>
      <c r="B126" s="9" t="n">
        <v>45986.0145833333</v>
      </c>
      <c r="C126" s="3" t="s">
        <v>112</v>
      </c>
      <c r="D126" s="3" t="s">
        <v>630</v>
      </c>
      <c r="E126" s="3" t="s">
        <v>631</v>
      </c>
      <c r="F126" s="3" t="s">
        <v>22</v>
      </c>
      <c r="G126" s="3" t="s">
        <v>632</v>
      </c>
      <c r="H126" s="3" t="s">
        <v>633</v>
      </c>
      <c r="I126" s="3" t="s">
        <v>139</v>
      </c>
      <c r="J126" s="3" t="s">
        <v>117</v>
      </c>
      <c r="K126" s="3" t="s">
        <v>634</v>
      </c>
      <c r="L126" s="3" t="n">
        <v>1</v>
      </c>
      <c r="M126" s="3" t="n">
        <v>48.3</v>
      </c>
      <c r="N126" s="3" t="s">
        <v>59</v>
      </c>
      <c r="O126" s="3" t="s">
        <v>133</v>
      </c>
      <c r="P126" s="10"/>
      <c r="Q126" s="3" t="n">
        <f aca="false">IF(F126="Disposable",1,0)</f>
        <v>0</v>
      </c>
      <c r="R126" s="3" t="n">
        <f aca="false">IF(SUMPRODUCT(--ISNUMBER(SEARCH('Spam Rules'!$A$22:$A$35,K126)))&gt;0,1,0)</f>
        <v>0</v>
      </c>
      <c r="S126" s="3" t="n">
        <f aca="false">IF(AND(F126="Free",G126=""),1,0)</f>
        <v>0</v>
      </c>
      <c r="T126" s="3" t="n">
        <f aca="false">IF(LEN(TRIM(K126))&lt;15,1,0)</f>
        <v>0</v>
      </c>
      <c r="U126" s="3" t="n">
        <f aca="false">IF(COUNTIF($E$2:$E$801,E126)&gt;1,1,0)</f>
        <v>0</v>
      </c>
      <c r="V126" s="3" t="n">
        <f aca="false">Q126*'Spam Rules'!$H$6+R126*'Spam Rules'!$H$7+S126*'Spam Rules'!$H$8+T126*'Spam Rules'!$H$9+U126*'Spam Rules'!$H$10</f>
        <v>0</v>
      </c>
      <c r="W126" s="3" t="str">
        <f aca="false">IF(V126&gt;='Spam Rules'!$B$3,"Likely Spam","Genuine")</f>
        <v>Genuine</v>
      </c>
      <c r="X126" s="3" t="n">
        <f aca="false">IFERROR(INDEX('Scoring Model'!$B$5:$B$11,MATCH(C126,'Scoring Model'!$A$5:$A$11,0)),0)</f>
        <v>15</v>
      </c>
      <c r="Y126" s="3" t="n">
        <f aca="false">IFERROR(INDEX('Scoring Model'!$E$5:$E$7,MATCH(F126,'Scoring Model'!$D$5:$D$7,0)),0)</f>
        <v>20</v>
      </c>
      <c r="Z126" s="3" t="n">
        <f aca="false">IFERROR(INDEX('Scoring Model'!$H$5:$H$13,MATCH(J126,'Scoring Model'!$G$5:$G$13,0)),0)</f>
        <v>15</v>
      </c>
      <c r="AA126" s="3" t="n">
        <f aca="false">IF(L126&gt;='Scoring Model'!$B$14,'Scoring Model'!$B$15,IF(L126&gt;='Scoring Model'!$B$16,'Scoring Model'!$B$17,0))</f>
        <v>0</v>
      </c>
      <c r="AB126" s="3" t="n">
        <f aca="false">IF(SUMPRODUCT(--ISNUMBER(SEARCH('Scoring Model'!$D$16:$D$25,K126)))&gt;0,'Scoring Model'!$B$18,0)</f>
        <v>15</v>
      </c>
      <c r="AC126" s="3" t="n">
        <f aca="false">IF(SUMPRODUCT(--ISNUMBER(SEARCH('Scoring Model'!$G$16:$G$23,K126)))&gt;0,'Scoring Model'!$B$19,0)</f>
        <v>0</v>
      </c>
      <c r="AD126" s="3" t="n">
        <f aca="false">IF(W126="Likely Spam","",SUM(X126:AC126))</f>
        <v>65</v>
      </c>
      <c r="AE126" s="3" t="str">
        <f aca="false">IF(W126="Likely Spam","Spam",IF(AD126&gt;='Scoring Model'!$B$21,"Hot",IF(AD126&gt;='Scoring Model'!$B$22,"Warm","Nurture")))</f>
        <v>Warm</v>
      </c>
      <c r="AF126" s="3" t="str">
        <f aca="false">IF(W126="Likely Spam","Flagged by spam rules",TRIM(IF(X126&gt;=20,"Strong source. ","")&amp;IF(Y126&gt;0,"Company email. ","")&amp;IF(Z126&gt;=15,"High-value product. ","")&amp;IF(AA126&gt;='Scoring Model'!$B$15,"High engagement. ","")&amp;IF(AB126&gt;0,"Buying intent in message. ","")&amp;IF(AC126&lt;0,"Negative intent in message. ","")))</f>
        <v>Company email. High-value product. Buying intent in message.</v>
      </c>
      <c r="AG126" s="11" t="n">
        <f aca="false">IF(W126="Likely Spam","",1/(1+EXP(-('Conversion Model'!$B$5+IFERROR(INDEX('Conversion Model'!$B$8:$B$14,MATCH(C126,'Conversion Model'!$A$8:$A$14,0)),0)+IFERROR(INDEX('Conversion Model'!$E$8:$E$9,MATCH(F126,'Conversion Model'!$D$8:$D$9,0)),0)+IFERROR(INDEX('Conversion Model'!$H$8:$H$12,MATCH(IF(LEFT(J126,8)="Payments","Payments",IF(LEFT(J126,7)="Lending","Lending",J126)),'Conversion Model'!$G$8:$G$12,0)),0)+MIN(L126,15)*'Conversion Model'!$B$17+IF(SUMPRODUCT(--ISNUMBER(SEARCH('Scoring Model'!$D$16:$D$25,K126)))&gt;0,'Conversion Model'!$B$18,0)+IF(SUMPRODUCT(--ISNUMBER(SEARCH('Scoring Model'!$G$16:$G$23,K126)))&gt;0,'Conversion Model'!$B$19,0)))))</f>
        <v>0.18892659628082</v>
      </c>
      <c r="AH126" s="3" t="str">
        <f aca="false">IF(OR(O126="Qualified",O126="Won",O126="Lost"),1,IF(O126="Unqualified",0,""))</f>
        <v/>
      </c>
    </row>
    <row r="127" customFormat="false" ht="15" hidden="false" customHeight="true" outlineLevel="0" collapsed="false">
      <c r="A127" s="3" t="s">
        <v>635</v>
      </c>
      <c r="B127" s="9" t="n">
        <v>45986.1395833333</v>
      </c>
      <c r="C127" s="3" t="s">
        <v>112</v>
      </c>
      <c r="D127" s="3" t="s">
        <v>103</v>
      </c>
      <c r="E127" s="3" t="s">
        <v>636</v>
      </c>
      <c r="F127" s="3" t="s">
        <v>22</v>
      </c>
      <c r="G127" s="3" t="s">
        <v>637</v>
      </c>
      <c r="H127" s="3" t="s">
        <v>638</v>
      </c>
      <c r="I127" s="3" t="s">
        <v>94</v>
      </c>
      <c r="J127" s="3" t="s">
        <v>81</v>
      </c>
      <c r="K127" s="3" t="s">
        <v>74</v>
      </c>
      <c r="L127" s="3" t="n">
        <v>2</v>
      </c>
      <c r="M127" s="3" t="n">
        <v>21.4</v>
      </c>
      <c r="N127" s="3" t="s">
        <v>67</v>
      </c>
      <c r="O127" s="3"/>
      <c r="P127" s="10"/>
      <c r="Q127" s="3" t="n">
        <f aca="false">IF(F127="Disposable",1,0)</f>
        <v>0</v>
      </c>
      <c r="R127" s="3" t="n">
        <f aca="false">IF(SUMPRODUCT(--ISNUMBER(SEARCH('Spam Rules'!$A$22:$A$35,K127)))&gt;0,1,0)</f>
        <v>0</v>
      </c>
      <c r="S127" s="3" t="n">
        <f aca="false">IF(AND(F127="Free",G127=""),1,0)</f>
        <v>0</v>
      </c>
      <c r="T127" s="3" t="n">
        <f aca="false">IF(LEN(TRIM(K127))&lt;15,1,0)</f>
        <v>0</v>
      </c>
      <c r="U127" s="3" t="n">
        <f aca="false">IF(COUNTIF($E$2:$E$801,E127)&gt;1,1,0)</f>
        <v>0</v>
      </c>
      <c r="V127" s="3" t="n">
        <f aca="false">Q127*'Spam Rules'!$H$6+R127*'Spam Rules'!$H$7+S127*'Spam Rules'!$H$8+T127*'Spam Rules'!$H$9+U127*'Spam Rules'!$H$10</f>
        <v>0</v>
      </c>
      <c r="W127" s="3" t="str">
        <f aca="false">IF(V127&gt;='Spam Rules'!$B$3,"Likely Spam","Genuine")</f>
        <v>Genuine</v>
      </c>
      <c r="X127" s="3" t="n">
        <f aca="false">IFERROR(INDEX('Scoring Model'!$B$5:$B$11,MATCH(C127,'Scoring Model'!$A$5:$A$11,0)),0)</f>
        <v>15</v>
      </c>
      <c r="Y127" s="3" t="n">
        <f aca="false">IFERROR(INDEX('Scoring Model'!$E$5:$E$7,MATCH(F127,'Scoring Model'!$D$5:$D$7,0)),0)</f>
        <v>20</v>
      </c>
      <c r="Z127" s="3" t="n">
        <f aca="false">IFERROR(INDEX('Scoring Model'!$H$5:$H$13,MATCH(J127,'Scoring Model'!$G$5:$G$13,0)),0)</f>
        <v>5</v>
      </c>
      <c r="AA127" s="3" t="n">
        <f aca="false">IF(L127&gt;='Scoring Model'!$B$14,'Scoring Model'!$B$15,IF(L127&gt;='Scoring Model'!$B$16,'Scoring Model'!$B$17,0))</f>
        <v>0</v>
      </c>
      <c r="AB127" s="3" t="n">
        <f aca="false">IF(SUMPRODUCT(--ISNUMBER(SEARCH('Scoring Model'!$D$16:$D$25,K127)))&gt;0,'Scoring Model'!$B$18,0)</f>
        <v>0</v>
      </c>
      <c r="AC127" s="3" t="n">
        <f aca="false">IF(SUMPRODUCT(--ISNUMBER(SEARCH('Scoring Model'!$G$16:$G$23,K127)))&gt;0,'Scoring Model'!$B$19,0)</f>
        <v>-30</v>
      </c>
      <c r="AD127" s="3" t="n">
        <f aca="false">IF(W127="Likely Spam","",SUM(X127:AC127))</f>
        <v>10</v>
      </c>
      <c r="AE127" s="3" t="str">
        <f aca="false">IF(W127="Likely Spam","Spam",IF(AD127&gt;='Scoring Model'!$B$21,"Hot",IF(AD127&gt;='Scoring Model'!$B$22,"Warm","Nurture")))</f>
        <v>Nurture</v>
      </c>
      <c r="AF127" s="3" t="str">
        <f aca="false">IF(W127="Likely Spam","Flagged by spam rules",TRIM(IF(X127&gt;=20,"Strong source. ","")&amp;IF(Y127&gt;0,"Company email. ","")&amp;IF(Z127&gt;=15,"High-value product. ","")&amp;IF(AA127&gt;='Scoring Model'!$B$15,"High engagement. ","")&amp;IF(AB127&gt;0,"Buying intent in message. ","")&amp;IF(AC127&lt;0,"Negative intent in message. ","")))</f>
        <v>Company email. Negative intent in message.</v>
      </c>
      <c r="AG127" s="11" t="n">
        <f aca="false">IF(W127="Likely Spam","",1/(1+EXP(-('Conversion Model'!$B$5+IFERROR(INDEX('Conversion Model'!$B$8:$B$14,MATCH(C127,'Conversion Model'!$A$8:$A$14,0)),0)+IFERROR(INDEX('Conversion Model'!$E$8:$E$9,MATCH(F127,'Conversion Model'!$D$8:$D$9,0)),0)+IFERROR(INDEX('Conversion Model'!$H$8:$H$12,MATCH(IF(LEFT(J127,8)="Payments","Payments",IF(LEFT(J127,7)="Lending","Lending",J127)),'Conversion Model'!$G$8:$G$12,0)),0)+MIN(L127,15)*'Conversion Model'!$B$17+IF(SUMPRODUCT(--ISNUMBER(SEARCH('Scoring Model'!$D$16:$D$25,K127)))&gt;0,'Conversion Model'!$B$18,0)+IF(SUMPRODUCT(--ISNUMBER(SEARCH('Scoring Model'!$G$16:$G$23,K127)))&gt;0,'Conversion Model'!$B$19,0)))))</f>
        <v>0.00413139583871991</v>
      </c>
      <c r="AH127" s="3" t="str">
        <f aca="false">IF(OR(O127="Qualified",O127="Won",O127="Lost"),1,IF(O127="Unqualified",0,""))</f>
        <v/>
      </c>
    </row>
    <row r="128" customFormat="false" ht="15" hidden="false" customHeight="true" outlineLevel="0" collapsed="false">
      <c r="A128" s="3" t="s">
        <v>639</v>
      </c>
      <c r="B128" s="9" t="n">
        <v>45986.1791666667</v>
      </c>
      <c r="C128" s="3" t="s">
        <v>135</v>
      </c>
      <c r="D128" s="3" t="s">
        <v>640</v>
      </c>
      <c r="E128" s="3" t="s">
        <v>641</v>
      </c>
      <c r="F128" s="3" t="s">
        <v>22</v>
      </c>
      <c r="G128" s="3" t="s">
        <v>642</v>
      </c>
      <c r="H128" s="3" t="s">
        <v>643</v>
      </c>
      <c r="I128" s="3" t="s">
        <v>204</v>
      </c>
      <c r="J128" s="3" t="s">
        <v>108</v>
      </c>
      <c r="K128" s="3" t="s">
        <v>644</v>
      </c>
      <c r="L128" s="3" t="n">
        <v>6</v>
      </c>
      <c r="M128" s="3" t="n">
        <v>22.3</v>
      </c>
      <c r="N128" s="3" t="s">
        <v>67</v>
      </c>
      <c r="O128" s="3"/>
      <c r="P128" s="10"/>
      <c r="Q128" s="3" t="n">
        <f aca="false">IF(F128="Disposable",1,0)</f>
        <v>0</v>
      </c>
      <c r="R128" s="3" t="n">
        <f aca="false">IF(SUMPRODUCT(--ISNUMBER(SEARCH('Spam Rules'!$A$22:$A$35,K128)))&gt;0,1,0)</f>
        <v>0</v>
      </c>
      <c r="S128" s="3" t="n">
        <f aca="false">IF(AND(F128="Free",G128=""),1,0)</f>
        <v>0</v>
      </c>
      <c r="T128" s="3" t="n">
        <f aca="false">IF(LEN(TRIM(K128))&lt;15,1,0)</f>
        <v>0</v>
      </c>
      <c r="U128" s="3" t="n">
        <f aca="false">IF(COUNTIF($E$2:$E$801,E128)&gt;1,1,0)</f>
        <v>0</v>
      </c>
      <c r="V128" s="3" t="n">
        <f aca="false">Q128*'Spam Rules'!$H$6+R128*'Spam Rules'!$H$7+S128*'Spam Rules'!$H$8+T128*'Spam Rules'!$H$9+U128*'Spam Rules'!$H$10</f>
        <v>0</v>
      </c>
      <c r="W128" s="3" t="str">
        <f aca="false">IF(V128&gt;='Spam Rules'!$B$3,"Likely Spam","Genuine")</f>
        <v>Genuine</v>
      </c>
      <c r="X128" s="3" t="n">
        <f aca="false">IFERROR(INDEX('Scoring Model'!$B$5:$B$11,MATCH(C128,'Scoring Model'!$A$5:$A$11,0)),0)</f>
        <v>20</v>
      </c>
      <c r="Y128" s="3" t="n">
        <f aca="false">IFERROR(INDEX('Scoring Model'!$E$5:$E$7,MATCH(F128,'Scoring Model'!$D$5:$D$7,0)),0)</f>
        <v>20</v>
      </c>
      <c r="Z128" s="3" t="n">
        <f aca="false">IFERROR(INDEX('Scoring Model'!$H$5:$H$13,MATCH(J128,'Scoring Model'!$G$5:$G$13,0)),0)</f>
        <v>15</v>
      </c>
      <c r="AA128" s="3" t="n">
        <f aca="false">IF(L128&gt;='Scoring Model'!$B$14,'Scoring Model'!$B$15,IF(L128&gt;='Scoring Model'!$B$16,'Scoring Model'!$B$17,0))</f>
        <v>8</v>
      </c>
      <c r="AB128" s="3" t="n">
        <f aca="false">IF(SUMPRODUCT(--ISNUMBER(SEARCH('Scoring Model'!$D$16:$D$25,K128)))&gt;0,'Scoring Model'!$B$18,0)</f>
        <v>15</v>
      </c>
      <c r="AC128" s="3" t="n">
        <f aca="false">IF(SUMPRODUCT(--ISNUMBER(SEARCH('Scoring Model'!$G$16:$G$23,K128)))&gt;0,'Scoring Model'!$B$19,0)</f>
        <v>0</v>
      </c>
      <c r="AD128" s="3" t="n">
        <f aca="false">IF(W128="Likely Spam","",SUM(X128:AC128))</f>
        <v>78</v>
      </c>
      <c r="AE128" s="3" t="str">
        <f aca="false">IF(W128="Likely Spam","Spam",IF(AD128&gt;='Scoring Model'!$B$21,"Hot",IF(AD128&gt;='Scoring Model'!$B$22,"Warm","Nurture")))</f>
        <v>Hot</v>
      </c>
      <c r="AF128" s="3" t="str">
        <f aca="false">IF(W128="Likely Spam","Flagged by spam rules",TRIM(IF(X128&gt;=20,"Strong source. ","")&amp;IF(Y128&gt;0,"Company email. ","")&amp;IF(Z128&gt;=15,"High-value product. ","")&amp;IF(AA128&gt;='Scoring Model'!$B$15,"High engagement. ","")&amp;IF(AB128&gt;0,"Buying intent in message. ","")&amp;IF(AC128&lt;0,"Negative intent in message. ","")))</f>
        <v>Strong source. Company email. High-value product. Buying intent in message.</v>
      </c>
      <c r="AG128" s="11" t="n">
        <f aca="false">IF(W128="Likely Spam","",1/(1+EXP(-('Conversion Model'!$B$5+IFERROR(INDEX('Conversion Model'!$B$8:$B$14,MATCH(C128,'Conversion Model'!$A$8:$A$14,0)),0)+IFERROR(INDEX('Conversion Model'!$E$8:$E$9,MATCH(F128,'Conversion Model'!$D$8:$D$9,0)),0)+IFERROR(INDEX('Conversion Model'!$H$8:$H$12,MATCH(IF(LEFT(J128,8)="Payments","Payments",IF(LEFT(J128,7)="Lending","Lending",J128)),'Conversion Model'!$G$8:$G$12,0)),0)+MIN(L128,15)*'Conversion Model'!$B$17+IF(SUMPRODUCT(--ISNUMBER(SEARCH('Scoring Model'!$D$16:$D$25,K128)))&gt;0,'Conversion Model'!$B$18,0)+IF(SUMPRODUCT(--ISNUMBER(SEARCH('Scoring Model'!$G$16:$G$23,K128)))&gt;0,'Conversion Model'!$B$19,0)))))</f>
        <v>0.921506933125302</v>
      </c>
      <c r="AH128" s="3" t="str">
        <f aca="false">IF(OR(O128="Qualified",O128="Won",O128="Lost"),1,IF(O128="Unqualified",0,""))</f>
        <v/>
      </c>
    </row>
    <row r="129" customFormat="false" ht="15" hidden="false" customHeight="true" outlineLevel="0" collapsed="false">
      <c r="A129" s="3" t="s">
        <v>645</v>
      </c>
      <c r="B129" s="9" t="n">
        <v>45986.7</v>
      </c>
      <c r="C129" s="3" t="s">
        <v>112</v>
      </c>
      <c r="D129" s="3" t="s">
        <v>646</v>
      </c>
      <c r="E129" s="3" t="s">
        <v>647</v>
      </c>
      <c r="F129" s="3" t="s">
        <v>22</v>
      </c>
      <c r="G129" s="3" t="s">
        <v>400</v>
      </c>
      <c r="H129" s="3" t="s">
        <v>401</v>
      </c>
      <c r="I129" s="3" t="s">
        <v>64</v>
      </c>
      <c r="J129" s="3" t="s">
        <v>81</v>
      </c>
      <c r="K129" s="3" t="s">
        <v>355</v>
      </c>
      <c r="L129" s="3" t="n">
        <v>4</v>
      </c>
      <c r="M129" s="3" t="n">
        <v>30.3</v>
      </c>
      <c r="N129" s="3" t="s">
        <v>59</v>
      </c>
      <c r="O129" s="3" t="s">
        <v>147</v>
      </c>
      <c r="P129" s="10" t="n">
        <v>60000</v>
      </c>
      <c r="Q129" s="3" t="n">
        <f aca="false">IF(F129="Disposable",1,0)</f>
        <v>0</v>
      </c>
      <c r="R129" s="3" t="n">
        <f aca="false">IF(SUMPRODUCT(--ISNUMBER(SEARCH('Spam Rules'!$A$22:$A$35,K129)))&gt;0,1,0)</f>
        <v>0</v>
      </c>
      <c r="S129" s="3" t="n">
        <f aca="false">IF(AND(F129="Free",G129=""),1,0)</f>
        <v>0</v>
      </c>
      <c r="T129" s="3" t="n">
        <f aca="false">IF(LEN(TRIM(K129))&lt;15,1,0)</f>
        <v>0</v>
      </c>
      <c r="U129" s="3" t="n">
        <f aca="false">IF(COUNTIF($E$2:$E$801,E129)&gt;1,1,0)</f>
        <v>0</v>
      </c>
      <c r="V129" s="3" t="n">
        <f aca="false">Q129*'Spam Rules'!$H$6+R129*'Spam Rules'!$H$7+S129*'Spam Rules'!$H$8+T129*'Spam Rules'!$H$9+U129*'Spam Rules'!$H$10</f>
        <v>0</v>
      </c>
      <c r="W129" s="3" t="str">
        <f aca="false">IF(V129&gt;='Spam Rules'!$B$3,"Likely Spam","Genuine")</f>
        <v>Genuine</v>
      </c>
      <c r="X129" s="3" t="n">
        <f aca="false">IFERROR(INDEX('Scoring Model'!$B$5:$B$11,MATCH(C129,'Scoring Model'!$A$5:$A$11,0)),0)</f>
        <v>15</v>
      </c>
      <c r="Y129" s="3" t="n">
        <f aca="false">IFERROR(INDEX('Scoring Model'!$E$5:$E$7,MATCH(F129,'Scoring Model'!$D$5:$D$7,0)),0)</f>
        <v>20</v>
      </c>
      <c r="Z129" s="3" t="n">
        <f aca="false">IFERROR(INDEX('Scoring Model'!$H$5:$H$13,MATCH(J129,'Scoring Model'!$G$5:$G$13,0)),0)</f>
        <v>5</v>
      </c>
      <c r="AA129" s="3" t="n">
        <f aca="false">IF(L129&gt;='Scoring Model'!$B$14,'Scoring Model'!$B$15,IF(L129&gt;='Scoring Model'!$B$16,'Scoring Model'!$B$17,0))</f>
        <v>8</v>
      </c>
      <c r="AB129" s="3" t="n">
        <f aca="false">IF(SUMPRODUCT(--ISNUMBER(SEARCH('Scoring Model'!$D$16:$D$25,K129)))&gt;0,'Scoring Model'!$B$18,0)</f>
        <v>15</v>
      </c>
      <c r="AC129" s="3" t="n">
        <f aca="false">IF(SUMPRODUCT(--ISNUMBER(SEARCH('Scoring Model'!$G$16:$G$23,K129)))&gt;0,'Scoring Model'!$B$19,0)</f>
        <v>0</v>
      </c>
      <c r="AD129" s="3" t="n">
        <f aca="false">IF(W129="Likely Spam","",SUM(X129:AC129))</f>
        <v>63</v>
      </c>
      <c r="AE129" s="3" t="str">
        <f aca="false">IF(W129="Likely Spam","Spam",IF(AD129&gt;='Scoring Model'!$B$21,"Hot",IF(AD129&gt;='Scoring Model'!$B$22,"Warm","Nurture")))</f>
        <v>Warm</v>
      </c>
      <c r="AF129" s="3" t="str">
        <f aca="false">IF(W129="Likely Spam","Flagged by spam rules",TRIM(IF(X129&gt;=20,"Strong source. ","")&amp;IF(Y129&gt;0,"Company email. ","")&amp;IF(Z129&gt;=15,"High-value product. ","")&amp;IF(AA129&gt;='Scoring Model'!$B$15,"High engagement. ","")&amp;IF(AB129&gt;0,"Buying intent in message. ","")&amp;IF(AC129&lt;0,"Negative intent in message. ","")))</f>
        <v>Company email. Buying intent in message.</v>
      </c>
      <c r="AG129" s="11" t="n">
        <f aca="false">IF(W129="Likely Spam","",1/(1+EXP(-('Conversion Model'!$B$5+IFERROR(INDEX('Conversion Model'!$B$8:$B$14,MATCH(C129,'Conversion Model'!$A$8:$A$14,0)),0)+IFERROR(INDEX('Conversion Model'!$E$8:$E$9,MATCH(F129,'Conversion Model'!$D$8:$D$9,0)),0)+IFERROR(INDEX('Conversion Model'!$H$8:$H$12,MATCH(IF(LEFT(J129,8)="Payments","Payments",IF(LEFT(J129,7)="Lending","Lending",J129)),'Conversion Model'!$G$8:$G$12,0)),0)+MIN(L129,15)*'Conversion Model'!$B$17+IF(SUMPRODUCT(--ISNUMBER(SEARCH('Scoring Model'!$D$16:$D$25,K129)))&gt;0,'Conversion Model'!$B$18,0)+IF(SUMPRODUCT(--ISNUMBER(SEARCH('Scoring Model'!$G$16:$G$23,K129)))&gt;0,'Conversion Model'!$B$19,0)))))</f>
        <v>0.408057839600411</v>
      </c>
      <c r="AH129" s="3" t="n">
        <f aca="false">IF(OR(O129="Qualified",O129="Won",O129="Lost"),1,IF(O129="Unqualified",0,""))</f>
        <v>1</v>
      </c>
    </row>
    <row r="130" customFormat="false" ht="15" hidden="false" customHeight="true" outlineLevel="0" collapsed="false">
      <c r="A130" s="3" t="s">
        <v>648</v>
      </c>
      <c r="B130" s="9" t="n">
        <v>45987.7430555556</v>
      </c>
      <c r="C130" s="3" t="s">
        <v>160</v>
      </c>
      <c r="D130" s="3" t="s">
        <v>649</v>
      </c>
      <c r="E130" s="3" t="s">
        <v>650</v>
      </c>
      <c r="F130" s="3" t="s">
        <v>54</v>
      </c>
      <c r="G130" s="3" t="s">
        <v>651</v>
      </c>
      <c r="H130" s="3"/>
      <c r="I130" s="3" t="s">
        <v>56</v>
      </c>
      <c r="J130" s="3" t="s">
        <v>117</v>
      </c>
      <c r="K130" s="3" t="s">
        <v>153</v>
      </c>
      <c r="L130" s="3" t="n">
        <v>8</v>
      </c>
      <c r="M130" s="3" t="n">
        <v>57.6</v>
      </c>
      <c r="N130" s="3" t="s">
        <v>96</v>
      </c>
      <c r="O130" s="3"/>
      <c r="P130" s="10"/>
      <c r="Q130" s="3" t="n">
        <f aca="false">IF(F130="Disposable",1,0)</f>
        <v>0</v>
      </c>
      <c r="R130" s="3" t="n">
        <f aca="false">IF(SUMPRODUCT(--ISNUMBER(SEARCH('Spam Rules'!$A$22:$A$35,K130)))&gt;0,1,0)</f>
        <v>0</v>
      </c>
      <c r="S130" s="3" t="n">
        <f aca="false">IF(AND(F130="Free",G130=""),1,0)</f>
        <v>0</v>
      </c>
      <c r="T130" s="3" t="n">
        <f aca="false">IF(LEN(TRIM(K130))&lt;15,1,0)</f>
        <v>0</v>
      </c>
      <c r="U130" s="3" t="n">
        <f aca="false">IF(COUNTIF($E$2:$E$801,E130)&gt;1,1,0)</f>
        <v>0</v>
      </c>
      <c r="V130" s="3" t="n">
        <f aca="false">Q130*'Spam Rules'!$H$6+R130*'Spam Rules'!$H$7+S130*'Spam Rules'!$H$8+T130*'Spam Rules'!$H$9+U130*'Spam Rules'!$H$10</f>
        <v>0</v>
      </c>
      <c r="W130" s="3" t="str">
        <f aca="false">IF(V130&gt;='Spam Rules'!$B$3,"Likely Spam","Genuine")</f>
        <v>Genuine</v>
      </c>
      <c r="X130" s="3" t="n">
        <f aca="false">IFERROR(INDEX('Scoring Model'!$B$5:$B$11,MATCH(C130,'Scoring Model'!$A$5:$A$11,0)),0)</f>
        <v>25</v>
      </c>
      <c r="Y130" s="3" t="n">
        <f aca="false">IFERROR(INDEX('Scoring Model'!$E$5:$E$7,MATCH(F130,'Scoring Model'!$D$5:$D$7,0)),0)</f>
        <v>0</v>
      </c>
      <c r="Z130" s="3" t="n">
        <f aca="false">IFERROR(INDEX('Scoring Model'!$H$5:$H$13,MATCH(J130,'Scoring Model'!$G$5:$G$13,0)),0)</f>
        <v>15</v>
      </c>
      <c r="AA130" s="3" t="n">
        <f aca="false">IF(L130&gt;='Scoring Model'!$B$14,'Scoring Model'!$B$15,IF(L130&gt;='Scoring Model'!$B$16,'Scoring Model'!$B$17,0))</f>
        <v>15</v>
      </c>
      <c r="AB130" s="3" t="n">
        <f aca="false">IF(SUMPRODUCT(--ISNUMBER(SEARCH('Scoring Model'!$D$16:$D$25,K130)))&gt;0,'Scoring Model'!$B$18,0)</f>
        <v>15</v>
      </c>
      <c r="AC130" s="3" t="n">
        <f aca="false">IF(SUMPRODUCT(--ISNUMBER(SEARCH('Scoring Model'!$G$16:$G$23,K130)))&gt;0,'Scoring Model'!$B$19,0)</f>
        <v>0</v>
      </c>
      <c r="AD130" s="3" t="n">
        <f aca="false">IF(W130="Likely Spam","",SUM(X130:AC130))</f>
        <v>70</v>
      </c>
      <c r="AE130" s="3" t="str">
        <f aca="false">IF(W130="Likely Spam","Spam",IF(AD130&gt;='Scoring Model'!$B$21,"Hot",IF(AD130&gt;='Scoring Model'!$B$22,"Warm","Nurture")))</f>
        <v>Hot</v>
      </c>
      <c r="AF130" s="3" t="str">
        <f aca="false">IF(W130="Likely Spam","Flagged by spam rules",TRIM(IF(X130&gt;=20,"Strong source. ","")&amp;IF(Y130&gt;0,"Company email. ","")&amp;IF(Z130&gt;=15,"High-value product. ","")&amp;IF(AA130&gt;='Scoring Model'!$B$15,"High engagement. ","")&amp;IF(AB130&gt;0,"Buying intent in message. ","")&amp;IF(AC130&lt;0,"Negative intent in message. ","")))</f>
        <v>Strong source. High-value product. High engagement. Buying intent in message.</v>
      </c>
      <c r="AG130" s="11" t="n">
        <f aca="false">IF(W130="Likely Spam","",1/(1+EXP(-('Conversion Model'!$B$5+IFERROR(INDEX('Conversion Model'!$B$8:$B$14,MATCH(C130,'Conversion Model'!$A$8:$A$14,0)),0)+IFERROR(INDEX('Conversion Model'!$E$8:$E$9,MATCH(F130,'Conversion Model'!$D$8:$D$9,0)),0)+IFERROR(INDEX('Conversion Model'!$H$8:$H$12,MATCH(IF(LEFT(J130,8)="Payments","Payments",IF(LEFT(J130,7)="Lending","Lending",J130)),'Conversion Model'!$G$8:$G$12,0)),0)+MIN(L130,15)*'Conversion Model'!$B$17+IF(SUMPRODUCT(--ISNUMBER(SEARCH('Scoring Model'!$D$16:$D$25,K130)))&gt;0,'Conversion Model'!$B$18,0)+IF(SUMPRODUCT(--ISNUMBER(SEARCH('Scoring Model'!$G$16:$G$23,K130)))&gt;0,'Conversion Model'!$B$19,0)))))</f>
        <v>0.97729048651736</v>
      </c>
      <c r="AH130" s="3" t="str">
        <f aca="false">IF(OR(O130="Qualified",O130="Won",O130="Lost"),1,IF(O130="Unqualified",0,""))</f>
        <v/>
      </c>
    </row>
    <row r="131" customFormat="false" ht="15" hidden="false" customHeight="true" outlineLevel="0" collapsed="false">
      <c r="A131" s="3" t="s">
        <v>652</v>
      </c>
      <c r="B131" s="9" t="n">
        <v>45988.0041666667</v>
      </c>
      <c r="C131" s="3" t="s">
        <v>51</v>
      </c>
      <c r="D131" s="3" t="s">
        <v>653</v>
      </c>
      <c r="E131" s="3" t="s">
        <v>362</v>
      </c>
      <c r="F131" s="3" t="s">
        <v>54</v>
      </c>
      <c r="G131" s="3" t="s">
        <v>79</v>
      </c>
      <c r="H131" s="3"/>
      <c r="I131" s="3" t="s">
        <v>334</v>
      </c>
      <c r="J131" s="3" t="s">
        <v>65</v>
      </c>
      <c r="K131" s="3" t="s">
        <v>66</v>
      </c>
      <c r="L131" s="3" t="n">
        <v>1</v>
      </c>
      <c r="M131" s="3" t="n">
        <v>12.4</v>
      </c>
      <c r="N131" s="3" t="s">
        <v>59</v>
      </c>
      <c r="O131" s="3"/>
      <c r="P131" s="10"/>
      <c r="Q131" s="3" t="n">
        <f aca="false">IF(F131="Disposable",1,0)</f>
        <v>0</v>
      </c>
      <c r="R131" s="3" t="n">
        <f aca="false">IF(SUMPRODUCT(--ISNUMBER(SEARCH('Spam Rules'!$A$22:$A$35,K131)))&gt;0,1,0)</f>
        <v>1</v>
      </c>
      <c r="S131" s="3" t="n">
        <f aca="false">IF(AND(F131="Free",G131=""),1,0)</f>
        <v>0</v>
      </c>
      <c r="T131" s="3" t="n">
        <f aca="false">IF(LEN(TRIM(K131))&lt;15,1,0)</f>
        <v>0</v>
      </c>
      <c r="U131" s="3" t="n">
        <f aca="false">IF(COUNTIF($E$2:$E$801,E131)&gt;1,1,0)</f>
        <v>1</v>
      </c>
      <c r="V131" s="3" t="n">
        <f aca="false">Q131*'Spam Rules'!$H$6+R131*'Spam Rules'!$H$7+S131*'Spam Rules'!$H$8+T131*'Spam Rules'!$H$9+U131*'Spam Rules'!$H$10</f>
        <v>1</v>
      </c>
      <c r="W131" s="3" t="str">
        <f aca="false">IF(V131&gt;='Spam Rules'!$B$3,"Likely Spam","Genuine")</f>
        <v>Likely Spam</v>
      </c>
      <c r="X131" s="3" t="n">
        <f aca="false">IFERROR(INDEX('Scoring Model'!$B$5:$B$11,MATCH(C131,'Scoring Model'!$A$5:$A$11,0)),0)</f>
        <v>10</v>
      </c>
      <c r="Y131" s="3" t="n">
        <f aca="false">IFERROR(INDEX('Scoring Model'!$E$5:$E$7,MATCH(F131,'Scoring Model'!$D$5:$D$7,0)),0)</f>
        <v>0</v>
      </c>
      <c r="Z131" s="3" t="n">
        <f aca="false">IFERROR(INDEX('Scoring Model'!$H$5:$H$13,MATCH(J131,'Scoring Model'!$G$5:$G$13,0)),0)</f>
        <v>0</v>
      </c>
      <c r="AA131" s="3" t="n">
        <f aca="false">IF(L131&gt;='Scoring Model'!$B$14,'Scoring Model'!$B$15,IF(L131&gt;='Scoring Model'!$B$16,'Scoring Model'!$B$17,0))</f>
        <v>0</v>
      </c>
      <c r="AB131" s="3" t="n">
        <f aca="false">IF(SUMPRODUCT(--ISNUMBER(SEARCH('Scoring Model'!$D$16:$D$25,K131)))&gt;0,'Scoring Model'!$B$18,0)</f>
        <v>0</v>
      </c>
      <c r="AC131" s="3" t="n">
        <f aca="false">IF(SUMPRODUCT(--ISNUMBER(SEARCH('Scoring Model'!$G$16:$G$23,K131)))&gt;0,'Scoring Model'!$B$19,0)</f>
        <v>0</v>
      </c>
      <c r="AD131" s="3" t="str">
        <f aca="false">IF(W131="Likely Spam","",SUM(X131:AC131))</f>
        <v/>
      </c>
      <c r="AE131" s="3" t="str">
        <f aca="false">IF(W131="Likely Spam","Spam",IF(AD131&gt;='Scoring Model'!$B$21,"Hot",IF(AD131&gt;='Scoring Model'!$B$22,"Warm","Nurture")))</f>
        <v>Spam</v>
      </c>
      <c r="AF131" s="3" t="str">
        <f aca="false">IF(W131="Likely Spam","Flagged by spam rules",TRIM(IF(X131&gt;=20,"Strong source. ","")&amp;IF(Y131&gt;0,"Company email. ","")&amp;IF(Z131&gt;=15,"High-value product. ","")&amp;IF(AA131&gt;='Scoring Model'!$B$15,"High engagement. ","")&amp;IF(AB131&gt;0,"Buying intent in message. ","")&amp;IF(AC131&lt;0,"Negative intent in message. ","")))</f>
        <v>Flagged by spam rules</v>
      </c>
      <c r="AG131" s="11" t="str">
        <f aca="false">IF(W131="Likely Spam","",1/(1+EXP(-('Conversion Model'!$B$5+IFERROR(INDEX('Conversion Model'!$B$8:$B$14,MATCH(C131,'Conversion Model'!$A$8:$A$14,0)),0)+IFERROR(INDEX('Conversion Model'!$E$8:$E$9,MATCH(F131,'Conversion Model'!$D$8:$D$9,0)),0)+IFERROR(INDEX('Conversion Model'!$H$8:$H$12,MATCH(IF(LEFT(J131,8)="Payments","Payments",IF(LEFT(J131,7)="Lending","Lending",J131)),'Conversion Model'!$G$8:$G$12,0)),0)+MIN(L131,15)*'Conversion Model'!$B$17+IF(SUMPRODUCT(--ISNUMBER(SEARCH('Scoring Model'!$D$16:$D$25,K131)))&gt;0,'Conversion Model'!$B$18,0)+IF(SUMPRODUCT(--ISNUMBER(SEARCH('Scoring Model'!$G$16:$G$23,K131)))&gt;0,'Conversion Model'!$B$19,0)))))</f>
        <v/>
      </c>
      <c r="AH131" s="3" t="str">
        <f aca="false">IF(OR(O131="Qualified",O131="Won",O131="Lost"),1,IF(O131="Unqualified",0,""))</f>
        <v/>
      </c>
    </row>
    <row r="132" customFormat="false" ht="15" hidden="false" customHeight="true" outlineLevel="0" collapsed="false">
      <c r="A132" s="3" t="s">
        <v>654</v>
      </c>
      <c r="B132" s="9" t="n">
        <v>45988.0597222222</v>
      </c>
      <c r="C132" s="3" t="s">
        <v>76</v>
      </c>
      <c r="D132" s="3" t="s">
        <v>655</v>
      </c>
      <c r="E132" s="3" t="s">
        <v>656</v>
      </c>
      <c r="F132" s="3" t="s">
        <v>22</v>
      </c>
      <c r="G132" s="3" t="s">
        <v>321</v>
      </c>
      <c r="H132" s="3" t="s">
        <v>388</v>
      </c>
      <c r="I132" s="3" t="s">
        <v>334</v>
      </c>
      <c r="J132" s="3" t="s">
        <v>122</v>
      </c>
      <c r="K132" s="3" t="s">
        <v>657</v>
      </c>
      <c r="L132" s="3" t="n">
        <v>1</v>
      </c>
      <c r="M132" s="3" t="n">
        <v>10.9</v>
      </c>
      <c r="N132" s="3" t="s">
        <v>67</v>
      </c>
      <c r="O132" s="3" t="s">
        <v>68</v>
      </c>
      <c r="P132" s="10"/>
      <c r="Q132" s="3" t="n">
        <f aca="false">IF(F132="Disposable",1,0)</f>
        <v>0</v>
      </c>
      <c r="R132" s="3" t="n">
        <f aca="false">IF(SUMPRODUCT(--ISNUMBER(SEARCH('Spam Rules'!$A$22:$A$35,K132)))&gt;0,1,0)</f>
        <v>1</v>
      </c>
      <c r="S132" s="3" t="n">
        <f aca="false">IF(AND(F132="Free",G132=""),1,0)</f>
        <v>0</v>
      </c>
      <c r="T132" s="3" t="n">
        <f aca="false">IF(LEN(TRIM(K132))&lt;15,1,0)</f>
        <v>0</v>
      </c>
      <c r="U132" s="3" t="n">
        <f aca="false">IF(COUNTIF($E$2:$E$801,E132)&gt;1,1,0)</f>
        <v>1</v>
      </c>
      <c r="V132" s="3" t="n">
        <f aca="false">Q132*'Spam Rules'!$H$6+R132*'Spam Rules'!$H$7+S132*'Spam Rules'!$H$8+T132*'Spam Rules'!$H$9+U132*'Spam Rules'!$H$10</f>
        <v>1</v>
      </c>
      <c r="W132" s="3" t="str">
        <f aca="false">IF(V132&gt;='Spam Rules'!$B$3,"Likely Spam","Genuine")</f>
        <v>Likely Spam</v>
      </c>
      <c r="X132" s="3" t="n">
        <f aca="false">IFERROR(INDEX('Scoring Model'!$B$5:$B$11,MATCH(C132,'Scoring Model'!$A$5:$A$11,0)),0)</f>
        <v>0</v>
      </c>
      <c r="Y132" s="3" t="n">
        <f aca="false">IFERROR(INDEX('Scoring Model'!$E$5:$E$7,MATCH(F132,'Scoring Model'!$D$5:$D$7,0)),0)</f>
        <v>20</v>
      </c>
      <c r="Z132" s="3" t="n">
        <f aca="false">IFERROR(INDEX('Scoring Model'!$H$5:$H$13,MATCH(J132,'Scoring Model'!$G$5:$G$13,0)),0)</f>
        <v>15</v>
      </c>
      <c r="AA132" s="3" t="n">
        <f aca="false">IF(L132&gt;='Scoring Model'!$B$14,'Scoring Model'!$B$15,IF(L132&gt;='Scoring Model'!$B$16,'Scoring Model'!$B$17,0))</f>
        <v>0</v>
      </c>
      <c r="AB132" s="3" t="n">
        <f aca="false">IF(SUMPRODUCT(--ISNUMBER(SEARCH('Scoring Model'!$D$16:$D$25,K132)))&gt;0,'Scoring Model'!$B$18,0)</f>
        <v>0</v>
      </c>
      <c r="AC132" s="3" t="n">
        <f aca="false">IF(SUMPRODUCT(--ISNUMBER(SEARCH('Scoring Model'!$G$16:$G$23,K132)))&gt;0,'Scoring Model'!$B$19,0)</f>
        <v>0</v>
      </c>
      <c r="AD132" s="3" t="str">
        <f aca="false">IF(W132="Likely Spam","",SUM(X132:AC132))</f>
        <v/>
      </c>
      <c r="AE132" s="3" t="str">
        <f aca="false">IF(W132="Likely Spam","Spam",IF(AD132&gt;='Scoring Model'!$B$21,"Hot",IF(AD132&gt;='Scoring Model'!$B$22,"Warm","Nurture")))</f>
        <v>Spam</v>
      </c>
      <c r="AF132" s="3" t="str">
        <f aca="false">IF(W132="Likely Spam","Flagged by spam rules",TRIM(IF(X132&gt;=20,"Strong source. ","")&amp;IF(Y132&gt;0,"Company email. ","")&amp;IF(Z132&gt;=15,"High-value product. ","")&amp;IF(AA132&gt;='Scoring Model'!$B$15,"High engagement. ","")&amp;IF(AB132&gt;0,"Buying intent in message. ","")&amp;IF(AC132&lt;0,"Negative intent in message. ","")))</f>
        <v>Flagged by spam rules</v>
      </c>
      <c r="AG132" s="11" t="str">
        <f aca="false">IF(W132="Likely Spam","",1/(1+EXP(-('Conversion Model'!$B$5+IFERROR(INDEX('Conversion Model'!$B$8:$B$14,MATCH(C132,'Conversion Model'!$A$8:$A$14,0)),0)+IFERROR(INDEX('Conversion Model'!$E$8:$E$9,MATCH(F132,'Conversion Model'!$D$8:$D$9,0)),0)+IFERROR(INDEX('Conversion Model'!$H$8:$H$12,MATCH(IF(LEFT(J132,8)="Payments","Payments",IF(LEFT(J132,7)="Lending","Lending",J132)),'Conversion Model'!$G$8:$G$12,0)),0)+MIN(L132,15)*'Conversion Model'!$B$17+IF(SUMPRODUCT(--ISNUMBER(SEARCH('Scoring Model'!$D$16:$D$25,K132)))&gt;0,'Conversion Model'!$B$18,0)+IF(SUMPRODUCT(--ISNUMBER(SEARCH('Scoring Model'!$G$16:$G$23,K132)))&gt;0,'Conversion Model'!$B$19,0)))))</f>
        <v/>
      </c>
      <c r="AH132" s="3" t="str">
        <f aca="false">IF(OR(O132="Qualified",O132="Won",O132="Lost"),1,IF(O132="Unqualified",0,""))</f>
        <v/>
      </c>
    </row>
    <row r="133" customFormat="false" ht="15" hidden="false" customHeight="true" outlineLevel="0" collapsed="false">
      <c r="A133" s="3" t="s">
        <v>658</v>
      </c>
      <c r="B133" s="9" t="n">
        <v>45988.3763888889</v>
      </c>
      <c r="C133" s="3" t="s">
        <v>91</v>
      </c>
      <c r="D133" s="3" t="s">
        <v>659</v>
      </c>
      <c r="E133" s="3" t="s">
        <v>660</v>
      </c>
      <c r="F133" s="3" t="s">
        <v>54</v>
      </c>
      <c r="G133" s="3" t="s">
        <v>138</v>
      </c>
      <c r="H133" s="3"/>
      <c r="I133" s="3" t="s">
        <v>88</v>
      </c>
      <c r="J133" s="3" t="s">
        <v>145</v>
      </c>
      <c r="K133" s="3" t="s">
        <v>101</v>
      </c>
      <c r="L133" s="3" t="n">
        <v>2</v>
      </c>
      <c r="M133" s="3" t="n">
        <v>14.7</v>
      </c>
      <c r="N133" s="3" t="s">
        <v>171</v>
      </c>
      <c r="O133" s="3" t="s">
        <v>194</v>
      </c>
      <c r="P133" s="10"/>
      <c r="Q133" s="3" t="n">
        <f aca="false">IF(F133="Disposable",1,0)</f>
        <v>0</v>
      </c>
      <c r="R133" s="3" t="n">
        <f aca="false">IF(SUMPRODUCT(--ISNUMBER(SEARCH('Spam Rules'!$A$22:$A$35,K133)))&gt;0,1,0)</f>
        <v>0</v>
      </c>
      <c r="S133" s="3" t="n">
        <f aca="false">IF(AND(F133="Free",G133=""),1,0)</f>
        <v>0</v>
      </c>
      <c r="T133" s="3" t="n">
        <f aca="false">IF(LEN(TRIM(K133))&lt;15,1,0)</f>
        <v>0</v>
      </c>
      <c r="U133" s="3" t="n">
        <f aca="false">IF(COUNTIF($E$2:$E$801,E133)&gt;1,1,0)</f>
        <v>0</v>
      </c>
      <c r="V133" s="3" t="n">
        <f aca="false">Q133*'Spam Rules'!$H$6+R133*'Spam Rules'!$H$7+S133*'Spam Rules'!$H$8+T133*'Spam Rules'!$H$9+U133*'Spam Rules'!$H$10</f>
        <v>0</v>
      </c>
      <c r="W133" s="3" t="str">
        <f aca="false">IF(V133&gt;='Spam Rules'!$B$3,"Likely Spam","Genuine")</f>
        <v>Genuine</v>
      </c>
      <c r="X133" s="3" t="n">
        <f aca="false">IFERROR(INDEX('Scoring Model'!$B$5:$B$11,MATCH(C133,'Scoring Model'!$A$5:$A$11,0)),0)</f>
        <v>5</v>
      </c>
      <c r="Y133" s="3" t="n">
        <f aca="false">IFERROR(INDEX('Scoring Model'!$E$5:$E$7,MATCH(F133,'Scoring Model'!$D$5:$D$7,0)),0)</f>
        <v>0</v>
      </c>
      <c r="Z133" s="3" t="n">
        <f aca="false">IFERROR(INDEX('Scoring Model'!$H$5:$H$13,MATCH(J133,'Scoring Model'!$G$5:$G$13,0)),0)</f>
        <v>5</v>
      </c>
      <c r="AA133" s="3" t="n">
        <f aca="false">IF(L133&gt;='Scoring Model'!$B$14,'Scoring Model'!$B$15,IF(L133&gt;='Scoring Model'!$B$16,'Scoring Model'!$B$17,0))</f>
        <v>0</v>
      </c>
      <c r="AB133" s="3" t="n">
        <f aca="false">IF(SUMPRODUCT(--ISNUMBER(SEARCH('Scoring Model'!$D$16:$D$25,K133)))&gt;0,'Scoring Model'!$B$18,0)</f>
        <v>0</v>
      </c>
      <c r="AC133" s="3" t="n">
        <f aca="false">IF(SUMPRODUCT(--ISNUMBER(SEARCH('Scoring Model'!$G$16:$G$23,K133)))&gt;0,'Scoring Model'!$B$19,0)</f>
        <v>-30</v>
      </c>
      <c r="AD133" s="3" t="n">
        <f aca="false">IF(W133="Likely Spam","",SUM(X133:AC133))</f>
        <v>-20</v>
      </c>
      <c r="AE133" s="3" t="str">
        <f aca="false">IF(W133="Likely Spam","Spam",IF(AD133&gt;='Scoring Model'!$B$21,"Hot",IF(AD133&gt;='Scoring Model'!$B$22,"Warm","Nurture")))</f>
        <v>Nurture</v>
      </c>
      <c r="AF133" s="3" t="str">
        <f aca="false">IF(W133="Likely Spam","Flagged by spam rules",TRIM(IF(X133&gt;=20,"Strong source. ","")&amp;IF(Y133&gt;0,"Company email. ","")&amp;IF(Z133&gt;=15,"High-value product. ","")&amp;IF(AA133&gt;='Scoring Model'!$B$15,"High engagement. ","")&amp;IF(AB133&gt;0,"Buying intent in message. ","")&amp;IF(AC133&lt;0,"Negative intent in message. ","")))</f>
        <v>Negative intent in message.</v>
      </c>
      <c r="AG133" s="11" t="n">
        <f aca="false">IF(W133="Likely Spam","",1/(1+EXP(-('Conversion Model'!$B$5+IFERROR(INDEX('Conversion Model'!$B$8:$B$14,MATCH(C133,'Conversion Model'!$A$8:$A$14,0)),0)+IFERROR(INDEX('Conversion Model'!$E$8:$E$9,MATCH(F133,'Conversion Model'!$D$8:$D$9,0)),0)+IFERROR(INDEX('Conversion Model'!$H$8:$H$12,MATCH(IF(LEFT(J133,8)="Payments","Payments",IF(LEFT(J133,7)="Lending","Lending",J133)),'Conversion Model'!$G$8:$G$12,0)),0)+MIN(L133,15)*'Conversion Model'!$B$17+IF(SUMPRODUCT(--ISNUMBER(SEARCH('Scoring Model'!$D$16:$D$25,K133)))&gt;0,'Conversion Model'!$B$18,0)+IF(SUMPRODUCT(--ISNUMBER(SEARCH('Scoring Model'!$G$16:$G$23,K133)))&gt;0,'Conversion Model'!$B$19,0)))))</f>
        <v>0.00210780106204325</v>
      </c>
      <c r="AH133" s="3" t="n">
        <f aca="false">IF(OR(O133="Qualified",O133="Won",O133="Lost"),1,IF(O133="Unqualified",0,""))</f>
        <v>0</v>
      </c>
    </row>
    <row r="134" customFormat="false" ht="15" hidden="false" customHeight="true" outlineLevel="0" collapsed="false">
      <c r="A134" s="3" t="s">
        <v>661</v>
      </c>
      <c r="B134" s="9" t="n">
        <v>45989.7152777778</v>
      </c>
      <c r="C134" s="3" t="s">
        <v>91</v>
      </c>
      <c r="D134" s="3" t="s">
        <v>662</v>
      </c>
      <c r="E134" s="3" t="s">
        <v>663</v>
      </c>
      <c r="F134" s="3" t="s">
        <v>22</v>
      </c>
      <c r="G134" s="3" t="s">
        <v>367</v>
      </c>
      <c r="H134" s="3" t="s">
        <v>419</v>
      </c>
      <c r="I134" s="3" t="s">
        <v>260</v>
      </c>
      <c r="J134" s="3" t="s">
        <v>81</v>
      </c>
      <c r="K134" s="3" t="s">
        <v>378</v>
      </c>
      <c r="L134" s="3" t="n">
        <v>3</v>
      </c>
      <c r="M134" s="3" t="n">
        <v>17.3</v>
      </c>
      <c r="N134" s="3" t="s">
        <v>96</v>
      </c>
      <c r="O134" s="3" t="s">
        <v>194</v>
      </c>
      <c r="P134" s="10"/>
      <c r="Q134" s="3" t="n">
        <f aca="false">IF(F134="Disposable",1,0)</f>
        <v>0</v>
      </c>
      <c r="R134" s="3" t="n">
        <f aca="false">IF(SUMPRODUCT(--ISNUMBER(SEARCH('Spam Rules'!$A$22:$A$35,K134)))&gt;0,1,0)</f>
        <v>0</v>
      </c>
      <c r="S134" s="3" t="n">
        <f aca="false">IF(AND(F134="Free",G134=""),1,0)</f>
        <v>0</v>
      </c>
      <c r="T134" s="3" t="n">
        <f aca="false">IF(LEN(TRIM(K134))&lt;15,1,0)</f>
        <v>0</v>
      </c>
      <c r="U134" s="3" t="n">
        <f aca="false">IF(COUNTIF($E$2:$E$801,E134)&gt;1,1,0)</f>
        <v>0</v>
      </c>
      <c r="V134" s="3" t="n">
        <f aca="false">Q134*'Spam Rules'!$H$6+R134*'Spam Rules'!$H$7+S134*'Spam Rules'!$H$8+T134*'Spam Rules'!$H$9+U134*'Spam Rules'!$H$10</f>
        <v>0</v>
      </c>
      <c r="W134" s="3" t="str">
        <f aca="false">IF(V134&gt;='Spam Rules'!$B$3,"Likely Spam","Genuine")</f>
        <v>Genuine</v>
      </c>
      <c r="X134" s="3" t="n">
        <f aca="false">IFERROR(INDEX('Scoring Model'!$B$5:$B$11,MATCH(C134,'Scoring Model'!$A$5:$A$11,0)),0)</f>
        <v>5</v>
      </c>
      <c r="Y134" s="3" t="n">
        <f aca="false">IFERROR(INDEX('Scoring Model'!$E$5:$E$7,MATCH(F134,'Scoring Model'!$D$5:$D$7,0)),0)</f>
        <v>20</v>
      </c>
      <c r="Z134" s="3" t="n">
        <f aca="false">IFERROR(INDEX('Scoring Model'!$H$5:$H$13,MATCH(J134,'Scoring Model'!$G$5:$G$13,0)),0)</f>
        <v>5</v>
      </c>
      <c r="AA134" s="3" t="n">
        <f aca="false">IF(L134&gt;='Scoring Model'!$B$14,'Scoring Model'!$B$15,IF(L134&gt;='Scoring Model'!$B$16,'Scoring Model'!$B$17,0))</f>
        <v>0</v>
      </c>
      <c r="AB134" s="3" t="n">
        <f aca="false">IF(SUMPRODUCT(--ISNUMBER(SEARCH('Scoring Model'!$D$16:$D$25,K134)))&gt;0,'Scoring Model'!$B$18,0)</f>
        <v>0</v>
      </c>
      <c r="AC134" s="3" t="n">
        <f aca="false">IF(SUMPRODUCT(--ISNUMBER(SEARCH('Scoring Model'!$G$16:$G$23,K134)))&gt;0,'Scoring Model'!$B$19,0)</f>
        <v>-30</v>
      </c>
      <c r="AD134" s="3" t="n">
        <f aca="false">IF(W134="Likely Spam","",SUM(X134:AC134))</f>
        <v>0</v>
      </c>
      <c r="AE134" s="3" t="str">
        <f aca="false">IF(W134="Likely Spam","Spam",IF(AD134&gt;='Scoring Model'!$B$21,"Hot",IF(AD134&gt;='Scoring Model'!$B$22,"Warm","Nurture")))</f>
        <v>Nurture</v>
      </c>
      <c r="AF134" s="3" t="str">
        <f aca="false">IF(W134="Likely Spam","Flagged by spam rules",TRIM(IF(X134&gt;=20,"Strong source. ","")&amp;IF(Y134&gt;0,"Company email. ","")&amp;IF(Z134&gt;=15,"High-value product. ","")&amp;IF(AA134&gt;='Scoring Model'!$B$15,"High engagement. ","")&amp;IF(AB134&gt;0,"Buying intent in message. ","")&amp;IF(AC134&lt;0,"Negative intent in message. ","")))</f>
        <v>Company email. Negative intent in message.</v>
      </c>
      <c r="AG134" s="11" t="n">
        <f aca="false">IF(W134="Likely Spam","",1/(1+EXP(-('Conversion Model'!$B$5+IFERROR(INDEX('Conversion Model'!$B$8:$B$14,MATCH(C134,'Conversion Model'!$A$8:$A$14,0)),0)+IFERROR(INDEX('Conversion Model'!$E$8:$E$9,MATCH(F134,'Conversion Model'!$D$8:$D$9,0)),0)+IFERROR(INDEX('Conversion Model'!$H$8:$H$12,MATCH(IF(LEFT(J134,8)="Payments","Payments",IF(LEFT(J134,7)="Lending","Lending",J134)),'Conversion Model'!$G$8:$G$12,0)),0)+MIN(L134,15)*'Conversion Model'!$B$17+IF(SUMPRODUCT(--ISNUMBER(SEARCH('Scoring Model'!$D$16:$D$25,K134)))&gt;0,'Conversion Model'!$B$18,0)+IF(SUMPRODUCT(--ISNUMBER(SEARCH('Scoring Model'!$G$16:$G$23,K134)))&gt;0,'Conversion Model'!$B$19,0)))))</f>
        <v>0.00652219983257285</v>
      </c>
      <c r="AH134" s="3" t="n">
        <f aca="false">IF(OR(O134="Qualified",O134="Won",O134="Lost"),1,IF(O134="Unqualified",0,""))</f>
        <v>0</v>
      </c>
    </row>
    <row r="135" customFormat="false" ht="15" hidden="false" customHeight="true" outlineLevel="0" collapsed="false">
      <c r="A135" s="3" t="s">
        <v>664</v>
      </c>
      <c r="B135" s="9" t="n">
        <v>45990.7965277778</v>
      </c>
      <c r="C135" s="3" t="s">
        <v>160</v>
      </c>
      <c r="D135" s="3" t="s">
        <v>665</v>
      </c>
      <c r="E135" s="3" t="s">
        <v>666</v>
      </c>
      <c r="F135" s="3" t="s">
        <v>22</v>
      </c>
      <c r="G135" s="3" t="s">
        <v>667</v>
      </c>
      <c r="H135" s="3" t="s">
        <v>668</v>
      </c>
      <c r="I135" s="3" t="s">
        <v>227</v>
      </c>
      <c r="J135" s="3" t="s">
        <v>165</v>
      </c>
      <c r="K135" s="3" t="s">
        <v>345</v>
      </c>
      <c r="L135" s="3" t="n">
        <v>2</v>
      </c>
      <c r="M135" s="3" t="n">
        <v>35.1</v>
      </c>
      <c r="N135" s="3" t="s">
        <v>171</v>
      </c>
      <c r="O135" s="3" t="s">
        <v>194</v>
      </c>
      <c r="P135" s="10"/>
      <c r="Q135" s="3" t="n">
        <f aca="false">IF(F135="Disposable",1,0)</f>
        <v>0</v>
      </c>
      <c r="R135" s="3" t="n">
        <f aca="false">IF(SUMPRODUCT(--ISNUMBER(SEARCH('Spam Rules'!$A$22:$A$35,K135)))&gt;0,1,0)</f>
        <v>0</v>
      </c>
      <c r="S135" s="3" t="n">
        <f aca="false">IF(AND(F135="Free",G135=""),1,0)</f>
        <v>0</v>
      </c>
      <c r="T135" s="3" t="n">
        <f aca="false">IF(LEN(TRIM(K135))&lt;15,1,0)</f>
        <v>0</v>
      </c>
      <c r="U135" s="3" t="n">
        <f aca="false">IF(COUNTIF($E$2:$E$801,E135)&gt;1,1,0)</f>
        <v>0</v>
      </c>
      <c r="V135" s="3" t="n">
        <f aca="false">Q135*'Spam Rules'!$H$6+R135*'Spam Rules'!$H$7+S135*'Spam Rules'!$H$8+T135*'Spam Rules'!$H$9+U135*'Spam Rules'!$H$10</f>
        <v>0</v>
      </c>
      <c r="W135" s="3" t="str">
        <f aca="false">IF(V135&gt;='Spam Rules'!$B$3,"Likely Spam","Genuine")</f>
        <v>Genuine</v>
      </c>
      <c r="X135" s="3" t="n">
        <f aca="false">IFERROR(INDEX('Scoring Model'!$B$5:$B$11,MATCH(C135,'Scoring Model'!$A$5:$A$11,0)),0)</f>
        <v>25</v>
      </c>
      <c r="Y135" s="3" t="n">
        <f aca="false">IFERROR(INDEX('Scoring Model'!$E$5:$E$7,MATCH(F135,'Scoring Model'!$D$5:$D$7,0)),0)</f>
        <v>20</v>
      </c>
      <c r="Z135" s="3" t="n">
        <f aca="false">IFERROR(INDEX('Scoring Model'!$H$5:$H$13,MATCH(J135,'Scoring Model'!$G$5:$G$13,0)),0)</f>
        <v>15</v>
      </c>
      <c r="AA135" s="3" t="n">
        <f aca="false">IF(L135&gt;='Scoring Model'!$B$14,'Scoring Model'!$B$15,IF(L135&gt;='Scoring Model'!$B$16,'Scoring Model'!$B$17,0))</f>
        <v>0</v>
      </c>
      <c r="AB135" s="3" t="n">
        <f aca="false">IF(SUMPRODUCT(--ISNUMBER(SEARCH('Scoring Model'!$D$16:$D$25,K135)))&gt;0,'Scoring Model'!$B$18,0)</f>
        <v>15</v>
      </c>
      <c r="AC135" s="3" t="n">
        <f aca="false">IF(SUMPRODUCT(--ISNUMBER(SEARCH('Scoring Model'!$G$16:$G$23,K135)))&gt;0,'Scoring Model'!$B$19,0)</f>
        <v>0</v>
      </c>
      <c r="AD135" s="3" t="n">
        <f aca="false">IF(W135="Likely Spam","",SUM(X135:AC135))</f>
        <v>75</v>
      </c>
      <c r="AE135" s="3" t="str">
        <f aca="false">IF(W135="Likely Spam","Spam",IF(AD135&gt;='Scoring Model'!$B$21,"Hot",IF(AD135&gt;='Scoring Model'!$B$22,"Warm","Nurture")))</f>
        <v>Hot</v>
      </c>
      <c r="AF135" s="3" t="str">
        <f aca="false">IF(W135="Likely Spam","Flagged by spam rules",TRIM(IF(X135&gt;=20,"Strong source. ","")&amp;IF(Y135&gt;0,"Company email. ","")&amp;IF(Z135&gt;=15,"High-value product. ","")&amp;IF(AA135&gt;='Scoring Model'!$B$15,"High engagement. ","")&amp;IF(AB135&gt;0,"Buying intent in message. ","")&amp;IF(AC135&lt;0,"Negative intent in message. ","")))</f>
        <v>Strong source. Company email. High-value product. Buying intent in message.</v>
      </c>
      <c r="AG135" s="11" t="n">
        <f aca="false">IF(W135="Likely Spam","",1/(1+EXP(-('Conversion Model'!$B$5+IFERROR(INDEX('Conversion Model'!$B$8:$B$14,MATCH(C135,'Conversion Model'!$A$8:$A$14,0)),0)+IFERROR(INDEX('Conversion Model'!$E$8:$E$9,MATCH(F135,'Conversion Model'!$D$8:$D$9,0)),0)+IFERROR(INDEX('Conversion Model'!$H$8:$H$12,MATCH(IF(LEFT(J135,8)="Payments","Payments",IF(LEFT(J135,7)="Lending","Lending",J135)),'Conversion Model'!$G$8:$G$12,0)),0)+MIN(L135,15)*'Conversion Model'!$B$17+IF(SUMPRODUCT(--ISNUMBER(SEARCH('Scoring Model'!$D$16:$D$25,K135)))&gt;0,'Conversion Model'!$B$18,0)+IF(SUMPRODUCT(--ISNUMBER(SEARCH('Scoring Model'!$G$16:$G$23,K135)))&gt;0,'Conversion Model'!$B$19,0)))))</f>
        <v>0.248991165393004</v>
      </c>
      <c r="AH135" s="3" t="n">
        <f aca="false">IF(OR(O135="Qualified",O135="Won",O135="Lost"),1,IF(O135="Unqualified",0,""))</f>
        <v>0</v>
      </c>
    </row>
    <row r="136" customFormat="false" ht="15" hidden="false" customHeight="true" outlineLevel="0" collapsed="false">
      <c r="A136" s="3" t="s">
        <v>669</v>
      </c>
      <c r="B136" s="9" t="n">
        <v>45992.1166666667</v>
      </c>
      <c r="C136" s="3" t="s">
        <v>112</v>
      </c>
      <c r="D136" s="3" t="s">
        <v>670</v>
      </c>
      <c r="E136" s="3" t="s">
        <v>671</v>
      </c>
      <c r="F136" s="3" t="s">
        <v>54</v>
      </c>
      <c r="G136" s="3" t="s">
        <v>672</v>
      </c>
      <c r="H136" s="3"/>
      <c r="I136" s="3" t="s">
        <v>188</v>
      </c>
      <c r="J136" s="3" t="s">
        <v>65</v>
      </c>
      <c r="K136" s="3" t="s">
        <v>193</v>
      </c>
      <c r="L136" s="3" t="n">
        <v>1</v>
      </c>
      <c r="M136" s="3" t="n">
        <v>14.9</v>
      </c>
      <c r="N136" s="3" t="s">
        <v>171</v>
      </c>
      <c r="O136" s="3" t="s">
        <v>194</v>
      </c>
      <c r="P136" s="10"/>
      <c r="Q136" s="3" t="n">
        <f aca="false">IF(F136="Disposable",1,0)</f>
        <v>0</v>
      </c>
      <c r="R136" s="3" t="n">
        <f aca="false">IF(SUMPRODUCT(--ISNUMBER(SEARCH('Spam Rules'!$A$22:$A$35,K136)))&gt;0,1,0)</f>
        <v>0</v>
      </c>
      <c r="S136" s="3" t="n">
        <f aca="false">IF(AND(F136="Free",G136=""),1,0)</f>
        <v>0</v>
      </c>
      <c r="T136" s="3" t="n">
        <f aca="false">IF(LEN(TRIM(K136))&lt;15,1,0)</f>
        <v>0</v>
      </c>
      <c r="U136" s="3" t="n">
        <f aca="false">IF(COUNTIF($E$2:$E$801,E136)&gt;1,1,0)</f>
        <v>0</v>
      </c>
      <c r="V136" s="3" t="n">
        <f aca="false">Q136*'Spam Rules'!$H$6+R136*'Spam Rules'!$H$7+S136*'Spam Rules'!$H$8+T136*'Spam Rules'!$H$9+U136*'Spam Rules'!$H$10</f>
        <v>0</v>
      </c>
      <c r="W136" s="3" t="str">
        <f aca="false">IF(V136&gt;='Spam Rules'!$B$3,"Likely Spam","Genuine")</f>
        <v>Genuine</v>
      </c>
      <c r="X136" s="3" t="n">
        <f aca="false">IFERROR(INDEX('Scoring Model'!$B$5:$B$11,MATCH(C136,'Scoring Model'!$A$5:$A$11,0)),0)</f>
        <v>15</v>
      </c>
      <c r="Y136" s="3" t="n">
        <f aca="false">IFERROR(INDEX('Scoring Model'!$E$5:$E$7,MATCH(F136,'Scoring Model'!$D$5:$D$7,0)),0)</f>
        <v>0</v>
      </c>
      <c r="Z136" s="3" t="n">
        <f aca="false">IFERROR(INDEX('Scoring Model'!$H$5:$H$13,MATCH(J136,'Scoring Model'!$G$5:$G$13,0)),0)</f>
        <v>0</v>
      </c>
      <c r="AA136" s="3" t="n">
        <f aca="false">IF(L136&gt;='Scoring Model'!$B$14,'Scoring Model'!$B$15,IF(L136&gt;='Scoring Model'!$B$16,'Scoring Model'!$B$17,0))</f>
        <v>0</v>
      </c>
      <c r="AB136" s="3" t="n">
        <f aca="false">IF(SUMPRODUCT(--ISNUMBER(SEARCH('Scoring Model'!$D$16:$D$25,K136)))&gt;0,'Scoring Model'!$B$18,0)</f>
        <v>0</v>
      </c>
      <c r="AC136" s="3" t="n">
        <f aca="false">IF(SUMPRODUCT(--ISNUMBER(SEARCH('Scoring Model'!$G$16:$G$23,K136)))&gt;0,'Scoring Model'!$B$19,0)</f>
        <v>-30</v>
      </c>
      <c r="AD136" s="3" t="n">
        <f aca="false">IF(W136="Likely Spam","",SUM(X136:AC136))</f>
        <v>-15</v>
      </c>
      <c r="AE136" s="3" t="str">
        <f aca="false">IF(W136="Likely Spam","Spam",IF(AD136&gt;='Scoring Model'!$B$21,"Hot",IF(AD136&gt;='Scoring Model'!$B$22,"Warm","Nurture")))</f>
        <v>Nurture</v>
      </c>
      <c r="AF136" s="3" t="str">
        <f aca="false">IF(W136="Likely Spam","Flagged by spam rules",TRIM(IF(X136&gt;=20,"Strong source. ","")&amp;IF(Y136&gt;0,"Company email. ","")&amp;IF(Z136&gt;=15,"High-value product. ","")&amp;IF(AA136&gt;='Scoring Model'!$B$15,"High engagement. ","")&amp;IF(AB136&gt;0,"Buying intent in message. ","")&amp;IF(AC136&lt;0,"Negative intent in message. ","")))</f>
        <v>Negative intent in message.</v>
      </c>
      <c r="AG136" s="11" t="n">
        <f aca="false">IF(W136="Likely Spam","",1/(1+EXP(-('Conversion Model'!$B$5+IFERROR(INDEX('Conversion Model'!$B$8:$B$14,MATCH(C136,'Conversion Model'!$A$8:$A$14,0)),0)+IFERROR(INDEX('Conversion Model'!$E$8:$E$9,MATCH(F136,'Conversion Model'!$D$8:$D$9,0)),0)+IFERROR(INDEX('Conversion Model'!$H$8:$H$12,MATCH(IF(LEFT(J136,8)="Payments","Payments",IF(LEFT(J136,7)="Lending","Lending",J136)),'Conversion Model'!$G$8:$G$12,0)),0)+MIN(L136,15)*'Conversion Model'!$B$17+IF(SUMPRODUCT(--ISNUMBER(SEARCH('Scoring Model'!$D$16:$D$25,K136)))&gt;0,'Conversion Model'!$B$18,0)+IF(SUMPRODUCT(--ISNUMBER(SEARCH('Scoring Model'!$G$16:$G$23,K136)))&gt;0,'Conversion Model'!$B$19,0)))))</f>
        <v>0.000956760729954791</v>
      </c>
      <c r="AH136" s="3" t="n">
        <f aca="false">IF(OR(O136="Qualified",O136="Won",O136="Lost"),1,IF(O136="Unqualified",0,""))</f>
        <v>0</v>
      </c>
    </row>
    <row r="137" customFormat="false" ht="15" hidden="false" customHeight="true" outlineLevel="0" collapsed="false">
      <c r="A137" s="3" t="s">
        <v>673</v>
      </c>
      <c r="B137" s="9" t="n">
        <v>45992.3048611111</v>
      </c>
      <c r="C137" s="3" t="s">
        <v>160</v>
      </c>
      <c r="D137" s="3" t="s">
        <v>149</v>
      </c>
      <c r="E137" s="3" t="s">
        <v>674</v>
      </c>
      <c r="F137" s="3" t="s">
        <v>22</v>
      </c>
      <c r="G137" s="3" t="s">
        <v>675</v>
      </c>
      <c r="H137" s="3" t="s">
        <v>676</v>
      </c>
      <c r="I137" s="3" t="s">
        <v>334</v>
      </c>
      <c r="J137" s="3" t="s">
        <v>65</v>
      </c>
      <c r="K137" s="3" t="s">
        <v>349</v>
      </c>
      <c r="L137" s="3" t="n">
        <v>1</v>
      </c>
      <c r="M137" s="3" t="n">
        <v>14.4</v>
      </c>
      <c r="N137" s="3" t="s">
        <v>67</v>
      </c>
      <c r="O137" s="3"/>
      <c r="P137" s="10"/>
      <c r="Q137" s="3" t="n">
        <f aca="false">IF(F137="Disposable",1,0)</f>
        <v>0</v>
      </c>
      <c r="R137" s="3" t="n">
        <f aca="false">IF(SUMPRODUCT(--ISNUMBER(SEARCH('Spam Rules'!$A$22:$A$35,K137)))&gt;0,1,0)</f>
        <v>0</v>
      </c>
      <c r="S137" s="3" t="n">
        <f aca="false">IF(AND(F137="Free",G137=""),1,0)</f>
        <v>0</v>
      </c>
      <c r="T137" s="3" t="n">
        <f aca="false">IF(LEN(TRIM(K137))&lt;15,1,0)</f>
        <v>0</v>
      </c>
      <c r="U137" s="3" t="n">
        <f aca="false">IF(COUNTIF($E$2:$E$801,E137)&gt;1,1,0)</f>
        <v>0</v>
      </c>
      <c r="V137" s="3" t="n">
        <f aca="false">Q137*'Spam Rules'!$H$6+R137*'Spam Rules'!$H$7+S137*'Spam Rules'!$H$8+T137*'Spam Rules'!$H$9+U137*'Spam Rules'!$H$10</f>
        <v>0</v>
      </c>
      <c r="W137" s="3" t="str">
        <f aca="false">IF(V137&gt;='Spam Rules'!$B$3,"Likely Spam","Genuine")</f>
        <v>Genuine</v>
      </c>
      <c r="X137" s="3" t="n">
        <f aca="false">IFERROR(INDEX('Scoring Model'!$B$5:$B$11,MATCH(C137,'Scoring Model'!$A$5:$A$11,0)),0)</f>
        <v>25</v>
      </c>
      <c r="Y137" s="3" t="n">
        <f aca="false">IFERROR(INDEX('Scoring Model'!$E$5:$E$7,MATCH(F137,'Scoring Model'!$D$5:$D$7,0)),0)</f>
        <v>20</v>
      </c>
      <c r="Z137" s="3" t="n">
        <f aca="false">IFERROR(INDEX('Scoring Model'!$H$5:$H$13,MATCH(J137,'Scoring Model'!$G$5:$G$13,0)),0)</f>
        <v>0</v>
      </c>
      <c r="AA137" s="3" t="n">
        <f aca="false">IF(L137&gt;='Scoring Model'!$B$14,'Scoring Model'!$B$15,IF(L137&gt;='Scoring Model'!$B$16,'Scoring Model'!$B$17,0))</f>
        <v>0</v>
      </c>
      <c r="AB137" s="3" t="n">
        <f aca="false">IF(SUMPRODUCT(--ISNUMBER(SEARCH('Scoring Model'!$D$16:$D$25,K137)))&gt;0,'Scoring Model'!$B$18,0)</f>
        <v>0</v>
      </c>
      <c r="AC137" s="3" t="n">
        <f aca="false">IF(SUMPRODUCT(--ISNUMBER(SEARCH('Scoring Model'!$G$16:$G$23,K137)))&gt;0,'Scoring Model'!$B$19,0)</f>
        <v>-30</v>
      </c>
      <c r="AD137" s="3" t="n">
        <f aca="false">IF(W137="Likely Spam","",SUM(X137:AC137))</f>
        <v>15</v>
      </c>
      <c r="AE137" s="3" t="str">
        <f aca="false">IF(W137="Likely Spam","Spam",IF(AD137&gt;='Scoring Model'!$B$21,"Hot",IF(AD137&gt;='Scoring Model'!$B$22,"Warm","Nurture")))</f>
        <v>Nurture</v>
      </c>
      <c r="AF137" s="3" t="str">
        <f aca="false">IF(W137="Likely Spam","Flagged by spam rules",TRIM(IF(X137&gt;=20,"Strong source. ","")&amp;IF(Y137&gt;0,"Company email. ","")&amp;IF(Z137&gt;=15,"High-value product. ","")&amp;IF(AA137&gt;='Scoring Model'!$B$15,"High engagement. ","")&amp;IF(AB137&gt;0,"Buying intent in message. ","")&amp;IF(AC137&lt;0,"Negative intent in message. ","")))</f>
        <v>Strong source. Company email. Negative intent in message.</v>
      </c>
      <c r="AG137" s="11" t="n">
        <f aca="false">IF(W137="Likely Spam","",1/(1+EXP(-('Conversion Model'!$B$5+IFERROR(INDEX('Conversion Model'!$B$8:$B$14,MATCH(C137,'Conversion Model'!$A$8:$A$14,0)),0)+IFERROR(INDEX('Conversion Model'!$E$8:$E$9,MATCH(F137,'Conversion Model'!$D$8:$D$9,0)),0)+IFERROR(INDEX('Conversion Model'!$H$8:$H$12,MATCH(IF(LEFT(J137,8)="Payments","Payments",IF(LEFT(J137,7)="Lending","Lending",J137)),'Conversion Model'!$G$8:$G$12,0)),0)+MIN(L137,15)*'Conversion Model'!$B$17+IF(SUMPRODUCT(--ISNUMBER(SEARCH('Scoring Model'!$D$16:$D$25,K137)))&gt;0,'Conversion Model'!$B$18,0)+IF(SUMPRODUCT(--ISNUMBER(SEARCH('Scoring Model'!$G$16:$G$23,K137)))&gt;0,'Conversion Model'!$B$19,0)))))</f>
        <v>0.00374343940327938</v>
      </c>
      <c r="AH137" s="3" t="str">
        <f aca="false">IF(OR(O137="Qualified",O137="Won",O137="Lost"),1,IF(O137="Unqualified",0,""))</f>
        <v/>
      </c>
    </row>
    <row r="138" customFormat="false" ht="15" hidden="false" customHeight="true" outlineLevel="0" collapsed="false">
      <c r="A138" s="3" t="s">
        <v>677</v>
      </c>
      <c r="B138" s="9" t="n">
        <v>45993.1319444445</v>
      </c>
      <c r="C138" s="3" t="s">
        <v>91</v>
      </c>
      <c r="D138" s="3" t="s">
        <v>678</v>
      </c>
      <c r="E138" s="3" t="s">
        <v>679</v>
      </c>
      <c r="F138" s="3" t="s">
        <v>54</v>
      </c>
      <c r="G138" s="3" t="s">
        <v>237</v>
      </c>
      <c r="H138" s="3"/>
      <c r="I138" s="3" t="s">
        <v>334</v>
      </c>
      <c r="J138" s="3" t="s">
        <v>122</v>
      </c>
      <c r="K138" s="3" t="s">
        <v>89</v>
      </c>
      <c r="L138" s="3" t="n">
        <v>1</v>
      </c>
      <c r="M138" s="3"/>
      <c r="N138" s="3" t="s">
        <v>67</v>
      </c>
      <c r="O138" s="3" t="s">
        <v>68</v>
      </c>
      <c r="P138" s="10"/>
      <c r="Q138" s="3" t="n">
        <f aca="false">IF(F138="Disposable",1,0)</f>
        <v>0</v>
      </c>
      <c r="R138" s="3" t="n">
        <f aca="false">IF(SUMPRODUCT(--ISNUMBER(SEARCH('Spam Rules'!$A$22:$A$35,K138)))&gt;0,1,0)</f>
        <v>1</v>
      </c>
      <c r="S138" s="3" t="n">
        <f aca="false">IF(AND(F138="Free",G138=""),1,0)</f>
        <v>0</v>
      </c>
      <c r="T138" s="3" t="n">
        <f aca="false">IF(LEN(TRIM(K138))&lt;15,1,0)</f>
        <v>0</v>
      </c>
      <c r="U138" s="3" t="n">
        <f aca="false">IF(COUNTIF($E$2:$E$801,E138)&gt;1,1,0)</f>
        <v>0</v>
      </c>
      <c r="V138" s="3" t="n">
        <f aca="false">Q138*'Spam Rules'!$H$6+R138*'Spam Rules'!$H$7+S138*'Spam Rules'!$H$8+T138*'Spam Rules'!$H$9+U138*'Spam Rules'!$H$10</f>
        <v>1</v>
      </c>
      <c r="W138" s="3" t="str">
        <f aca="false">IF(V138&gt;='Spam Rules'!$B$3,"Likely Spam","Genuine")</f>
        <v>Likely Spam</v>
      </c>
      <c r="X138" s="3" t="n">
        <f aca="false">IFERROR(INDEX('Scoring Model'!$B$5:$B$11,MATCH(C138,'Scoring Model'!$A$5:$A$11,0)),0)</f>
        <v>5</v>
      </c>
      <c r="Y138" s="3" t="n">
        <f aca="false">IFERROR(INDEX('Scoring Model'!$E$5:$E$7,MATCH(F138,'Scoring Model'!$D$5:$D$7,0)),0)</f>
        <v>0</v>
      </c>
      <c r="Z138" s="3" t="n">
        <f aca="false">IFERROR(INDEX('Scoring Model'!$H$5:$H$13,MATCH(J138,'Scoring Model'!$G$5:$G$13,0)),0)</f>
        <v>15</v>
      </c>
      <c r="AA138" s="3" t="n">
        <f aca="false">IF(L138&gt;='Scoring Model'!$B$14,'Scoring Model'!$B$15,IF(L138&gt;='Scoring Model'!$B$16,'Scoring Model'!$B$17,0))</f>
        <v>0</v>
      </c>
      <c r="AB138" s="3" t="n">
        <f aca="false">IF(SUMPRODUCT(--ISNUMBER(SEARCH('Scoring Model'!$D$16:$D$25,K138)))&gt;0,'Scoring Model'!$B$18,0)</f>
        <v>0</v>
      </c>
      <c r="AC138" s="3" t="n">
        <f aca="false">IF(SUMPRODUCT(--ISNUMBER(SEARCH('Scoring Model'!$G$16:$G$23,K138)))&gt;0,'Scoring Model'!$B$19,0)</f>
        <v>0</v>
      </c>
      <c r="AD138" s="3" t="str">
        <f aca="false">IF(W138="Likely Spam","",SUM(X138:AC138))</f>
        <v/>
      </c>
      <c r="AE138" s="3" t="str">
        <f aca="false">IF(W138="Likely Spam","Spam",IF(AD138&gt;='Scoring Model'!$B$21,"Hot",IF(AD138&gt;='Scoring Model'!$B$22,"Warm","Nurture")))</f>
        <v>Spam</v>
      </c>
      <c r="AF138" s="3" t="str">
        <f aca="false">IF(W138="Likely Spam","Flagged by spam rules",TRIM(IF(X138&gt;=20,"Strong source. ","")&amp;IF(Y138&gt;0,"Company email. ","")&amp;IF(Z138&gt;=15,"High-value product. ","")&amp;IF(AA138&gt;='Scoring Model'!$B$15,"High engagement. ","")&amp;IF(AB138&gt;0,"Buying intent in message. ","")&amp;IF(AC138&lt;0,"Negative intent in message. ","")))</f>
        <v>Flagged by spam rules</v>
      </c>
      <c r="AG138" s="11" t="str">
        <f aca="false">IF(W138="Likely Spam","",1/(1+EXP(-('Conversion Model'!$B$5+IFERROR(INDEX('Conversion Model'!$B$8:$B$14,MATCH(C138,'Conversion Model'!$A$8:$A$14,0)),0)+IFERROR(INDEX('Conversion Model'!$E$8:$E$9,MATCH(F138,'Conversion Model'!$D$8:$D$9,0)),0)+IFERROR(INDEX('Conversion Model'!$H$8:$H$12,MATCH(IF(LEFT(J138,8)="Payments","Payments",IF(LEFT(J138,7)="Lending","Lending",J138)),'Conversion Model'!$G$8:$G$12,0)),0)+MIN(L138,15)*'Conversion Model'!$B$17+IF(SUMPRODUCT(--ISNUMBER(SEARCH('Scoring Model'!$D$16:$D$25,K138)))&gt;0,'Conversion Model'!$B$18,0)+IF(SUMPRODUCT(--ISNUMBER(SEARCH('Scoring Model'!$G$16:$G$23,K138)))&gt;0,'Conversion Model'!$B$19,0)))))</f>
        <v/>
      </c>
      <c r="AH138" s="3" t="str">
        <f aca="false">IF(OR(O138="Qualified",O138="Won",O138="Lost"),1,IF(O138="Unqualified",0,""))</f>
        <v/>
      </c>
    </row>
    <row r="139" customFormat="false" ht="15" hidden="false" customHeight="true" outlineLevel="0" collapsed="false">
      <c r="A139" s="3" t="s">
        <v>680</v>
      </c>
      <c r="B139" s="9" t="n">
        <v>45993.4645833333</v>
      </c>
      <c r="C139" s="3" t="s">
        <v>160</v>
      </c>
      <c r="D139" s="3" t="s">
        <v>681</v>
      </c>
      <c r="E139" s="3" t="s">
        <v>682</v>
      </c>
      <c r="F139" s="3" t="s">
        <v>22</v>
      </c>
      <c r="G139" s="3" t="s">
        <v>683</v>
      </c>
      <c r="H139" s="3" t="s">
        <v>684</v>
      </c>
      <c r="I139" s="3" t="s">
        <v>73</v>
      </c>
      <c r="J139" s="3" t="s">
        <v>81</v>
      </c>
      <c r="K139" s="3" t="s">
        <v>685</v>
      </c>
      <c r="L139" s="3" t="n">
        <v>5</v>
      </c>
      <c r="M139" s="3" t="n">
        <v>2.6</v>
      </c>
      <c r="N139" s="3" t="s">
        <v>59</v>
      </c>
      <c r="O139" s="3"/>
      <c r="P139" s="10"/>
      <c r="Q139" s="3" t="n">
        <f aca="false">IF(F139="Disposable",1,0)</f>
        <v>0</v>
      </c>
      <c r="R139" s="3" t="n">
        <f aca="false">IF(SUMPRODUCT(--ISNUMBER(SEARCH('Spam Rules'!$A$22:$A$35,K139)))&gt;0,1,0)</f>
        <v>0</v>
      </c>
      <c r="S139" s="3" t="n">
        <f aca="false">IF(AND(F139="Free",G139=""),1,0)</f>
        <v>0</v>
      </c>
      <c r="T139" s="3" t="n">
        <f aca="false">IF(LEN(TRIM(K139))&lt;15,1,0)</f>
        <v>0</v>
      </c>
      <c r="U139" s="3" t="n">
        <f aca="false">IF(COUNTIF($E$2:$E$801,E139)&gt;1,1,0)</f>
        <v>0</v>
      </c>
      <c r="V139" s="3" t="n">
        <f aca="false">Q139*'Spam Rules'!$H$6+R139*'Spam Rules'!$H$7+S139*'Spam Rules'!$H$8+T139*'Spam Rules'!$H$9+U139*'Spam Rules'!$H$10</f>
        <v>0</v>
      </c>
      <c r="W139" s="3" t="str">
        <f aca="false">IF(V139&gt;='Spam Rules'!$B$3,"Likely Spam","Genuine")</f>
        <v>Genuine</v>
      </c>
      <c r="X139" s="3" t="n">
        <f aca="false">IFERROR(INDEX('Scoring Model'!$B$5:$B$11,MATCH(C139,'Scoring Model'!$A$5:$A$11,0)),0)</f>
        <v>25</v>
      </c>
      <c r="Y139" s="3" t="n">
        <f aca="false">IFERROR(INDEX('Scoring Model'!$E$5:$E$7,MATCH(F139,'Scoring Model'!$D$5:$D$7,0)),0)</f>
        <v>20</v>
      </c>
      <c r="Z139" s="3" t="n">
        <f aca="false">IFERROR(INDEX('Scoring Model'!$H$5:$H$13,MATCH(J139,'Scoring Model'!$G$5:$G$13,0)),0)</f>
        <v>5</v>
      </c>
      <c r="AA139" s="3" t="n">
        <f aca="false">IF(L139&gt;='Scoring Model'!$B$14,'Scoring Model'!$B$15,IF(L139&gt;='Scoring Model'!$B$16,'Scoring Model'!$B$17,0))</f>
        <v>8</v>
      </c>
      <c r="AB139" s="3" t="n">
        <f aca="false">IF(SUMPRODUCT(--ISNUMBER(SEARCH('Scoring Model'!$D$16:$D$25,K139)))&gt;0,'Scoring Model'!$B$18,0)</f>
        <v>15</v>
      </c>
      <c r="AC139" s="3" t="n">
        <f aca="false">IF(SUMPRODUCT(--ISNUMBER(SEARCH('Scoring Model'!$G$16:$G$23,K139)))&gt;0,'Scoring Model'!$B$19,0)</f>
        <v>0</v>
      </c>
      <c r="AD139" s="3" t="n">
        <f aca="false">IF(W139="Likely Spam","",SUM(X139:AC139))</f>
        <v>73</v>
      </c>
      <c r="AE139" s="3" t="str">
        <f aca="false">IF(W139="Likely Spam","Spam",IF(AD139&gt;='Scoring Model'!$B$21,"Hot",IF(AD139&gt;='Scoring Model'!$B$22,"Warm","Nurture")))</f>
        <v>Hot</v>
      </c>
      <c r="AF139" s="3" t="str">
        <f aca="false">IF(W139="Likely Spam","Flagged by spam rules",TRIM(IF(X139&gt;=20,"Strong source. ","")&amp;IF(Y139&gt;0,"Company email. ","")&amp;IF(Z139&gt;=15,"High-value product. ","")&amp;IF(AA139&gt;='Scoring Model'!$B$15,"High engagement. ","")&amp;IF(AB139&gt;0,"Buying intent in message. ","")&amp;IF(AC139&lt;0,"Negative intent in message. ","")))</f>
        <v>Strong source. Company email. Buying intent in message.</v>
      </c>
      <c r="AG139" s="11" t="n">
        <f aca="false">IF(W139="Likely Spam","",1/(1+EXP(-('Conversion Model'!$B$5+IFERROR(INDEX('Conversion Model'!$B$8:$B$14,MATCH(C139,'Conversion Model'!$A$8:$A$14,0)),0)+IFERROR(INDEX('Conversion Model'!$E$8:$E$9,MATCH(F139,'Conversion Model'!$D$8:$D$9,0)),0)+IFERROR(INDEX('Conversion Model'!$H$8:$H$12,MATCH(IF(LEFT(J139,8)="Payments","Payments",IF(LEFT(J139,7)="Lending","Lending",J139)),'Conversion Model'!$G$8:$G$12,0)),0)+MIN(L139,15)*'Conversion Model'!$B$17+IF(SUMPRODUCT(--ISNUMBER(SEARCH('Scoring Model'!$D$16:$D$25,K139)))&gt;0,'Conversion Model'!$B$18,0)+IF(SUMPRODUCT(--ISNUMBER(SEARCH('Scoring Model'!$G$16:$G$23,K139)))&gt;0,'Conversion Model'!$B$19,0)))))</f>
        <v>0.714226377553931</v>
      </c>
      <c r="AH139" s="3" t="str">
        <f aca="false">IF(OR(O139="Qualified",O139="Won",O139="Lost"),1,IF(O139="Unqualified",0,""))</f>
        <v/>
      </c>
    </row>
    <row r="140" customFormat="false" ht="15" hidden="false" customHeight="true" outlineLevel="0" collapsed="false">
      <c r="A140" s="3" t="s">
        <v>686</v>
      </c>
      <c r="B140" s="9" t="n">
        <v>45994.2097222222</v>
      </c>
      <c r="C140" s="3" t="s">
        <v>91</v>
      </c>
      <c r="D140" s="3" t="s">
        <v>687</v>
      </c>
      <c r="E140" s="3" t="s">
        <v>688</v>
      </c>
      <c r="F140" s="3" t="s">
        <v>22</v>
      </c>
      <c r="G140" s="3" t="s">
        <v>279</v>
      </c>
      <c r="H140" s="3" t="s">
        <v>588</v>
      </c>
      <c r="I140" s="3" t="s">
        <v>88</v>
      </c>
      <c r="J140" s="3" t="s">
        <v>165</v>
      </c>
      <c r="K140" s="3" t="s">
        <v>58</v>
      </c>
      <c r="L140" s="3" t="n">
        <v>2</v>
      </c>
      <c r="M140" s="3" t="n">
        <v>25.3</v>
      </c>
      <c r="N140" s="3" t="s">
        <v>67</v>
      </c>
      <c r="O140" s="3" t="s">
        <v>194</v>
      </c>
      <c r="P140" s="10"/>
      <c r="Q140" s="3" t="n">
        <f aca="false">IF(F140="Disposable",1,0)</f>
        <v>0</v>
      </c>
      <c r="R140" s="3" t="n">
        <f aca="false">IF(SUMPRODUCT(--ISNUMBER(SEARCH('Spam Rules'!$A$22:$A$35,K140)))&gt;0,1,0)</f>
        <v>0</v>
      </c>
      <c r="S140" s="3" t="n">
        <f aca="false">IF(AND(F140="Free",G140=""),1,0)</f>
        <v>0</v>
      </c>
      <c r="T140" s="3" t="n">
        <f aca="false">IF(LEN(TRIM(K140))&lt;15,1,0)</f>
        <v>0</v>
      </c>
      <c r="U140" s="3" t="n">
        <f aca="false">IF(COUNTIF($E$2:$E$801,E140)&gt;1,1,0)</f>
        <v>0</v>
      </c>
      <c r="V140" s="3" t="n">
        <f aca="false">Q140*'Spam Rules'!$H$6+R140*'Spam Rules'!$H$7+S140*'Spam Rules'!$H$8+T140*'Spam Rules'!$H$9+U140*'Spam Rules'!$H$10</f>
        <v>0</v>
      </c>
      <c r="W140" s="3" t="str">
        <f aca="false">IF(V140&gt;='Spam Rules'!$B$3,"Likely Spam","Genuine")</f>
        <v>Genuine</v>
      </c>
      <c r="X140" s="3" t="n">
        <f aca="false">IFERROR(INDEX('Scoring Model'!$B$5:$B$11,MATCH(C140,'Scoring Model'!$A$5:$A$11,0)),0)</f>
        <v>5</v>
      </c>
      <c r="Y140" s="3" t="n">
        <f aca="false">IFERROR(INDEX('Scoring Model'!$E$5:$E$7,MATCH(F140,'Scoring Model'!$D$5:$D$7,0)),0)</f>
        <v>20</v>
      </c>
      <c r="Z140" s="3" t="n">
        <f aca="false">IFERROR(INDEX('Scoring Model'!$H$5:$H$13,MATCH(J140,'Scoring Model'!$G$5:$G$13,0)),0)</f>
        <v>15</v>
      </c>
      <c r="AA140" s="3" t="n">
        <f aca="false">IF(L140&gt;='Scoring Model'!$B$14,'Scoring Model'!$B$15,IF(L140&gt;='Scoring Model'!$B$16,'Scoring Model'!$B$17,0))</f>
        <v>0</v>
      </c>
      <c r="AB140" s="3" t="n">
        <f aca="false">IF(SUMPRODUCT(--ISNUMBER(SEARCH('Scoring Model'!$D$16:$D$25,K140)))&gt;0,'Scoring Model'!$B$18,0)</f>
        <v>15</v>
      </c>
      <c r="AC140" s="3" t="n">
        <f aca="false">IF(SUMPRODUCT(--ISNUMBER(SEARCH('Scoring Model'!$G$16:$G$23,K140)))&gt;0,'Scoring Model'!$B$19,0)</f>
        <v>0</v>
      </c>
      <c r="AD140" s="3" t="n">
        <f aca="false">IF(W140="Likely Spam","",SUM(X140:AC140))</f>
        <v>55</v>
      </c>
      <c r="AE140" s="3" t="str">
        <f aca="false">IF(W140="Likely Spam","Spam",IF(AD140&gt;='Scoring Model'!$B$21,"Hot",IF(AD140&gt;='Scoring Model'!$B$22,"Warm","Nurture")))</f>
        <v>Warm</v>
      </c>
      <c r="AF140" s="3" t="str">
        <f aca="false">IF(W140="Likely Spam","Flagged by spam rules",TRIM(IF(X140&gt;=20,"Strong source. ","")&amp;IF(Y140&gt;0,"Company email. ","")&amp;IF(Z140&gt;=15,"High-value product. ","")&amp;IF(AA140&gt;='Scoring Model'!$B$15,"High engagement. ","")&amp;IF(AB140&gt;0,"Buying intent in message. ","")&amp;IF(AC140&lt;0,"Negative intent in message. ","")))</f>
        <v>Company email. High-value product. Buying intent in message.</v>
      </c>
      <c r="AG140" s="11" t="n">
        <f aca="false">IF(W140="Likely Spam","",1/(1+EXP(-('Conversion Model'!$B$5+IFERROR(INDEX('Conversion Model'!$B$8:$B$14,MATCH(C140,'Conversion Model'!$A$8:$A$14,0)),0)+IFERROR(INDEX('Conversion Model'!$E$8:$E$9,MATCH(F140,'Conversion Model'!$D$8:$D$9,0)),0)+IFERROR(INDEX('Conversion Model'!$H$8:$H$12,MATCH(IF(LEFT(J140,8)="Payments","Payments",IF(LEFT(J140,7)="Lending","Lending",J140)),'Conversion Model'!$G$8:$G$12,0)),0)+MIN(L140,15)*'Conversion Model'!$B$17+IF(SUMPRODUCT(--ISNUMBER(SEARCH('Scoring Model'!$D$16:$D$25,K140)))&gt;0,'Conversion Model'!$B$18,0)+IF(SUMPRODUCT(--ISNUMBER(SEARCH('Scoring Model'!$G$16:$G$23,K140)))&gt;0,'Conversion Model'!$B$19,0)))))</f>
        <v>0.126418897160639</v>
      </c>
      <c r="AH140" s="3" t="n">
        <f aca="false">IF(OR(O140="Qualified",O140="Won",O140="Lost"),1,IF(O140="Unqualified",0,""))</f>
        <v>0</v>
      </c>
    </row>
    <row r="141" customFormat="false" ht="15" hidden="false" customHeight="true" outlineLevel="0" collapsed="false">
      <c r="A141" s="3" t="s">
        <v>689</v>
      </c>
      <c r="B141" s="9" t="n">
        <v>45995.01875</v>
      </c>
      <c r="C141" s="3" t="s">
        <v>51</v>
      </c>
      <c r="D141" s="3" t="s">
        <v>690</v>
      </c>
      <c r="E141" s="3" t="s">
        <v>691</v>
      </c>
      <c r="F141" s="3" t="s">
        <v>63</v>
      </c>
      <c r="G141" s="3"/>
      <c r="H141" s="3"/>
      <c r="I141" s="3" t="s">
        <v>188</v>
      </c>
      <c r="J141" s="3" t="s">
        <v>122</v>
      </c>
      <c r="K141" s="3" t="s">
        <v>170</v>
      </c>
      <c r="L141" s="3" t="n">
        <v>1</v>
      </c>
      <c r="M141" s="3" t="n">
        <v>36</v>
      </c>
      <c r="N141" s="3" t="s">
        <v>96</v>
      </c>
      <c r="O141" s="3"/>
      <c r="P141" s="10"/>
      <c r="Q141" s="3" t="n">
        <f aca="false">IF(F141="Disposable",1,0)</f>
        <v>1</v>
      </c>
      <c r="R141" s="3" t="n">
        <f aca="false">IF(SUMPRODUCT(--ISNUMBER(SEARCH('Spam Rules'!$A$22:$A$35,K141)))&gt;0,1,0)</f>
        <v>0</v>
      </c>
      <c r="S141" s="3" t="n">
        <f aca="false">IF(AND(F141="Free",G141=""),1,0)</f>
        <v>0</v>
      </c>
      <c r="T141" s="3" t="n">
        <f aca="false">IF(LEN(TRIM(K141))&lt;15,1,0)</f>
        <v>1</v>
      </c>
      <c r="U141" s="3" t="n">
        <f aca="false">IF(COUNTIF($E$2:$E$801,E141)&gt;1,1,0)</f>
        <v>0</v>
      </c>
      <c r="V141" s="3" t="n">
        <f aca="false">Q141*'Spam Rules'!$H$6+R141*'Spam Rules'!$H$7+S141*'Spam Rules'!$H$8+T141*'Spam Rules'!$H$9+U141*'Spam Rules'!$H$10</f>
        <v>2</v>
      </c>
      <c r="W141" s="3" t="str">
        <f aca="false">IF(V141&gt;='Spam Rules'!$B$3,"Likely Spam","Genuine")</f>
        <v>Likely Spam</v>
      </c>
      <c r="X141" s="3" t="n">
        <f aca="false">IFERROR(INDEX('Scoring Model'!$B$5:$B$11,MATCH(C141,'Scoring Model'!$A$5:$A$11,0)),0)</f>
        <v>10</v>
      </c>
      <c r="Y141" s="3" t="n">
        <f aca="false">IFERROR(INDEX('Scoring Model'!$E$5:$E$7,MATCH(F141,'Scoring Model'!$D$5:$D$7,0)),0)</f>
        <v>0</v>
      </c>
      <c r="Z141" s="3" t="n">
        <f aca="false">IFERROR(INDEX('Scoring Model'!$H$5:$H$13,MATCH(J141,'Scoring Model'!$G$5:$G$13,0)),0)</f>
        <v>15</v>
      </c>
      <c r="AA141" s="3" t="n">
        <f aca="false">IF(L141&gt;='Scoring Model'!$B$14,'Scoring Model'!$B$15,IF(L141&gt;='Scoring Model'!$B$16,'Scoring Model'!$B$17,0))</f>
        <v>0</v>
      </c>
      <c r="AB141" s="3" t="n">
        <f aca="false">IF(SUMPRODUCT(--ISNUMBER(SEARCH('Scoring Model'!$D$16:$D$25,K141)))&gt;0,'Scoring Model'!$B$18,0)</f>
        <v>0</v>
      </c>
      <c r="AC141" s="3" t="n">
        <f aca="false">IF(SUMPRODUCT(--ISNUMBER(SEARCH('Scoring Model'!$G$16:$G$23,K141)))&gt;0,'Scoring Model'!$B$19,0)</f>
        <v>0</v>
      </c>
      <c r="AD141" s="3" t="str">
        <f aca="false">IF(W141="Likely Spam","",SUM(X141:AC141))</f>
        <v/>
      </c>
      <c r="AE141" s="3" t="str">
        <f aca="false">IF(W141="Likely Spam","Spam",IF(AD141&gt;='Scoring Model'!$B$21,"Hot",IF(AD141&gt;='Scoring Model'!$B$22,"Warm","Nurture")))</f>
        <v>Spam</v>
      </c>
      <c r="AF141" s="3" t="str">
        <f aca="false">IF(W141="Likely Spam","Flagged by spam rules",TRIM(IF(X141&gt;=20,"Strong source. ","")&amp;IF(Y141&gt;0,"Company email. ","")&amp;IF(Z141&gt;=15,"High-value product. ","")&amp;IF(AA141&gt;='Scoring Model'!$B$15,"High engagement. ","")&amp;IF(AB141&gt;0,"Buying intent in message. ","")&amp;IF(AC141&lt;0,"Negative intent in message. ","")))</f>
        <v>Flagged by spam rules</v>
      </c>
      <c r="AG141" s="11" t="str">
        <f aca="false">IF(W141="Likely Spam","",1/(1+EXP(-('Conversion Model'!$B$5+IFERROR(INDEX('Conversion Model'!$B$8:$B$14,MATCH(C141,'Conversion Model'!$A$8:$A$14,0)),0)+IFERROR(INDEX('Conversion Model'!$E$8:$E$9,MATCH(F141,'Conversion Model'!$D$8:$D$9,0)),0)+IFERROR(INDEX('Conversion Model'!$H$8:$H$12,MATCH(IF(LEFT(J141,8)="Payments","Payments",IF(LEFT(J141,7)="Lending","Lending",J141)),'Conversion Model'!$G$8:$G$12,0)),0)+MIN(L141,15)*'Conversion Model'!$B$17+IF(SUMPRODUCT(--ISNUMBER(SEARCH('Scoring Model'!$D$16:$D$25,K141)))&gt;0,'Conversion Model'!$B$18,0)+IF(SUMPRODUCT(--ISNUMBER(SEARCH('Scoring Model'!$G$16:$G$23,K141)))&gt;0,'Conversion Model'!$B$19,0)))))</f>
        <v/>
      </c>
      <c r="AH141" s="3" t="str">
        <f aca="false">IF(OR(O141="Qualified",O141="Won",O141="Lost"),1,IF(O141="Unqualified",0,""))</f>
        <v/>
      </c>
    </row>
    <row r="142" customFormat="false" ht="15" hidden="false" customHeight="true" outlineLevel="0" collapsed="false">
      <c r="A142" s="3" t="s">
        <v>692</v>
      </c>
      <c r="B142" s="9" t="n">
        <v>45995.03125</v>
      </c>
      <c r="C142" s="3" t="s">
        <v>112</v>
      </c>
      <c r="D142" s="3" t="s">
        <v>693</v>
      </c>
      <c r="E142" s="3" t="s">
        <v>694</v>
      </c>
      <c r="F142" s="3" t="s">
        <v>54</v>
      </c>
      <c r="G142" s="3" t="s">
        <v>321</v>
      </c>
      <c r="H142" s="3"/>
      <c r="I142" s="3" t="s">
        <v>56</v>
      </c>
      <c r="J142" s="3" t="s">
        <v>65</v>
      </c>
      <c r="K142" s="3" t="s">
        <v>239</v>
      </c>
      <c r="L142" s="3" t="n">
        <v>1</v>
      </c>
      <c r="M142" s="3" t="n">
        <v>9</v>
      </c>
      <c r="N142" s="3" t="s">
        <v>96</v>
      </c>
      <c r="O142" s="3"/>
      <c r="P142" s="10"/>
      <c r="Q142" s="3" t="n">
        <f aca="false">IF(F142="Disposable",1,0)</f>
        <v>0</v>
      </c>
      <c r="R142" s="3" t="n">
        <f aca="false">IF(SUMPRODUCT(--ISNUMBER(SEARCH('Spam Rules'!$A$22:$A$35,K142)))&gt;0,1,0)</f>
        <v>1</v>
      </c>
      <c r="S142" s="3" t="n">
        <f aca="false">IF(AND(F142="Free",G142=""),1,0)</f>
        <v>0</v>
      </c>
      <c r="T142" s="3" t="n">
        <f aca="false">IF(LEN(TRIM(K142))&lt;15,1,0)</f>
        <v>0</v>
      </c>
      <c r="U142" s="3" t="n">
        <f aca="false">IF(COUNTIF($E$2:$E$801,E142)&gt;1,1,0)</f>
        <v>1</v>
      </c>
      <c r="V142" s="3" t="n">
        <f aca="false">Q142*'Spam Rules'!$H$6+R142*'Spam Rules'!$H$7+S142*'Spam Rules'!$H$8+T142*'Spam Rules'!$H$9+U142*'Spam Rules'!$H$10</f>
        <v>1</v>
      </c>
      <c r="W142" s="3" t="str">
        <f aca="false">IF(V142&gt;='Spam Rules'!$B$3,"Likely Spam","Genuine")</f>
        <v>Likely Spam</v>
      </c>
      <c r="X142" s="3" t="n">
        <f aca="false">IFERROR(INDEX('Scoring Model'!$B$5:$B$11,MATCH(C142,'Scoring Model'!$A$5:$A$11,0)),0)</f>
        <v>15</v>
      </c>
      <c r="Y142" s="3" t="n">
        <f aca="false">IFERROR(INDEX('Scoring Model'!$E$5:$E$7,MATCH(F142,'Scoring Model'!$D$5:$D$7,0)),0)</f>
        <v>0</v>
      </c>
      <c r="Z142" s="3" t="n">
        <f aca="false">IFERROR(INDEX('Scoring Model'!$H$5:$H$13,MATCH(J142,'Scoring Model'!$G$5:$G$13,0)),0)</f>
        <v>0</v>
      </c>
      <c r="AA142" s="3" t="n">
        <f aca="false">IF(L142&gt;='Scoring Model'!$B$14,'Scoring Model'!$B$15,IF(L142&gt;='Scoring Model'!$B$16,'Scoring Model'!$B$17,0))</f>
        <v>0</v>
      </c>
      <c r="AB142" s="3" t="n">
        <f aca="false">IF(SUMPRODUCT(--ISNUMBER(SEARCH('Scoring Model'!$D$16:$D$25,K142)))&gt;0,'Scoring Model'!$B$18,0)</f>
        <v>0</v>
      </c>
      <c r="AC142" s="3" t="n">
        <f aca="false">IF(SUMPRODUCT(--ISNUMBER(SEARCH('Scoring Model'!$G$16:$G$23,K142)))&gt;0,'Scoring Model'!$B$19,0)</f>
        <v>0</v>
      </c>
      <c r="AD142" s="3" t="str">
        <f aca="false">IF(W142="Likely Spam","",SUM(X142:AC142))</f>
        <v/>
      </c>
      <c r="AE142" s="3" t="str">
        <f aca="false">IF(W142="Likely Spam","Spam",IF(AD142&gt;='Scoring Model'!$B$21,"Hot",IF(AD142&gt;='Scoring Model'!$B$22,"Warm","Nurture")))</f>
        <v>Spam</v>
      </c>
      <c r="AF142" s="3" t="str">
        <f aca="false">IF(W142="Likely Spam","Flagged by spam rules",TRIM(IF(X142&gt;=20,"Strong source. ","")&amp;IF(Y142&gt;0,"Company email. ","")&amp;IF(Z142&gt;=15,"High-value product. ","")&amp;IF(AA142&gt;='Scoring Model'!$B$15,"High engagement. ","")&amp;IF(AB142&gt;0,"Buying intent in message. ","")&amp;IF(AC142&lt;0,"Negative intent in message. ","")))</f>
        <v>Flagged by spam rules</v>
      </c>
      <c r="AG142" s="11" t="str">
        <f aca="false">IF(W142="Likely Spam","",1/(1+EXP(-('Conversion Model'!$B$5+IFERROR(INDEX('Conversion Model'!$B$8:$B$14,MATCH(C142,'Conversion Model'!$A$8:$A$14,0)),0)+IFERROR(INDEX('Conversion Model'!$E$8:$E$9,MATCH(F142,'Conversion Model'!$D$8:$D$9,0)),0)+IFERROR(INDEX('Conversion Model'!$H$8:$H$12,MATCH(IF(LEFT(J142,8)="Payments","Payments",IF(LEFT(J142,7)="Lending","Lending",J142)),'Conversion Model'!$G$8:$G$12,0)),0)+MIN(L142,15)*'Conversion Model'!$B$17+IF(SUMPRODUCT(--ISNUMBER(SEARCH('Scoring Model'!$D$16:$D$25,K142)))&gt;0,'Conversion Model'!$B$18,0)+IF(SUMPRODUCT(--ISNUMBER(SEARCH('Scoring Model'!$G$16:$G$23,K142)))&gt;0,'Conversion Model'!$B$19,0)))))</f>
        <v/>
      </c>
      <c r="AH142" s="3" t="str">
        <f aca="false">IF(OR(O142="Qualified",O142="Won",O142="Lost"),1,IF(O142="Unqualified",0,""))</f>
        <v/>
      </c>
    </row>
    <row r="143" customFormat="false" ht="15" hidden="false" customHeight="true" outlineLevel="0" collapsed="false">
      <c r="A143" s="3" t="s">
        <v>695</v>
      </c>
      <c r="B143" s="9" t="n">
        <v>45995.4020833333</v>
      </c>
      <c r="C143" s="3" t="s">
        <v>160</v>
      </c>
      <c r="D143" s="3" t="s">
        <v>696</v>
      </c>
      <c r="E143" s="3" t="s">
        <v>697</v>
      </c>
      <c r="F143" s="3" t="s">
        <v>22</v>
      </c>
      <c r="G143" s="3" t="s">
        <v>138</v>
      </c>
      <c r="H143" s="3" t="s">
        <v>698</v>
      </c>
      <c r="I143" s="3" t="s">
        <v>334</v>
      </c>
      <c r="J143" s="3" t="s">
        <v>81</v>
      </c>
      <c r="K143" s="3" t="s">
        <v>213</v>
      </c>
      <c r="L143" s="3" t="n">
        <v>4</v>
      </c>
      <c r="M143" s="3" t="n">
        <v>56.9</v>
      </c>
      <c r="N143" s="3" t="s">
        <v>59</v>
      </c>
      <c r="O143" s="3"/>
      <c r="P143" s="10"/>
      <c r="Q143" s="3" t="n">
        <f aca="false">IF(F143="Disposable",1,0)</f>
        <v>0</v>
      </c>
      <c r="R143" s="3" t="n">
        <f aca="false">IF(SUMPRODUCT(--ISNUMBER(SEARCH('Spam Rules'!$A$22:$A$35,K143)))&gt;0,1,0)</f>
        <v>0</v>
      </c>
      <c r="S143" s="3" t="n">
        <f aca="false">IF(AND(F143="Free",G143=""),1,0)</f>
        <v>0</v>
      </c>
      <c r="T143" s="3" t="n">
        <f aca="false">IF(LEN(TRIM(K143))&lt;15,1,0)</f>
        <v>0</v>
      </c>
      <c r="U143" s="3" t="n">
        <f aca="false">IF(COUNTIF($E$2:$E$801,E143)&gt;1,1,0)</f>
        <v>0</v>
      </c>
      <c r="V143" s="3" t="n">
        <f aca="false">Q143*'Spam Rules'!$H$6+R143*'Spam Rules'!$H$7+S143*'Spam Rules'!$H$8+T143*'Spam Rules'!$H$9+U143*'Spam Rules'!$H$10</f>
        <v>0</v>
      </c>
      <c r="W143" s="3" t="str">
        <f aca="false">IF(V143&gt;='Spam Rules'!$B$3,"Likely Spam","Genuine")</f>
        <v>Genuine</v>
      </c>
      <c r="X143" s="3" t="n">
        <f aca="false">IFERROR(INDEX('Scoring Model'!$B$5:$B$11,MATCH(C143,'Scoring Model'!$A$5:$A$11,0)),0)</f>
        <v>25</v>
      </c>
      <c r="Y143" s="3" t="n">
        <f aca="false">IFERROR(INDEX('Scoring Model'!$E$5:$E$7,MATCH(F143,'Scoring Model'!$D$5:$D$7,0)),0)</f>
        <v>20</v>
      </c>
      <c r="Z143" s="3" t="n">
        <f aca="false">IFERROR(INDEX('Scoring Model'!$H$5:$H$13,MATCH(J143,'Scoring Model'!$G$5:$G$13,0)),0)</f>
        <v>5</v>
      </c>
      <c r="AA143" s="3" t="n">
        <f aca="false">IF(L143&gt;='Scoring Model'!$B$14,'Scoring Model'!$B$15,IF(L143&gt;='Scoring Model'!$B$16,'Scoring Model'!$B$17,0))</f>
        <v>8</v>
      </c>
      <c r="AB143" s="3" t="n">
        <f aca="false">IF(SUMPRODUCT(--ISNUMBER(SEARCH('Scoring Model'!$D$16:$D$25,K143)))&gt;0,'Scoring Model'!$B$18,0)</f>
        <v>0</v>
      </c>
      <c r="AC143" s="3" t="n">
        <f aca="false">IF(SUMPRODUCT(--ISNUMBER(SEARCH('Scoring Model'!$G$16:$G$23,K143)))&gt;0,'Scoring Model'!$B$19,0)</f>
        <v>-30</v>
      </c>
      <c r="AD143" s="3" t="n">
        <f aca="false">IF(W143="Likely Spam","",SUM(X143:AC143))</f>
        <v>28</v>
      </c>
      <c r="AE143" s="3" t="str">
        <f aca="false">IF(W143="Likely Spam","Spam",IF(AD143&gt;='Scoring Model'!$B$21,"Hot",IF(AD143&gt;='Scoring Model'!$B$22,"Warm","Nurture")))</f>
        <v>Nurture</v>
      </c>
      <c r="AF143" s="3" t="str">
        <f aca="false">IF(W143="Likely Spam","Flagged by spam rules",TRIM(IF(X143&gt;=20,"Strong source. ","")&amp;IF(Y143&gt;0,"Company email. ","")&amp;IF(Z143&gt;=15,"High-value product. ","")&amp;IF(AA143&gt;='Scoring Model'!$B$15,"High engagement. ","")&amp;IF(AB143&gt;0,"Buying intent in message. ","")&amp;IF(AC143&lt;0,"Negative intent in message. ","")))</f>
        <v>Strong source. Company email. Negative intent in message.</v>
      </c>
      <c r="AG143" s="11" t="n">
        <f aca="false">IF(W143="Likely Spam","",1/(1+EXP(-('Conversion Model'!$B$5+IFERROR(INDEX('Conversion Model'!$B$8:$B$14,MATCH(C143,'Conversion Model'!$A$8:$A$14,0)),0)+IFERROR(INDEX('Conversion Model'!$E$8:$E$9,MATCH(F143,'Conversion Model'!$D$8:$D$9,0)),0)+IFERROR(INDEX('Conversion Model'!$H$8:$H$12,MATCH(IF(LEFT(J143,8)="Payments","Payments",IF(LEFT(J143,7)="Lending","Lending",J143)),'Conversion Model'!$G$8:$G$12,0)),0)+MIN(L143,15)*'Conversion Model'!$B$17+IF(SUMPRODUCT(--ISNUMBER(SEARCH('Scoring Model'!$D$16:$D$25,K143)))&gt;0,'Conversion Model'!$B$18,0)+IF(SUMPRODUCT(--ISNUMBER(SEARCH('Scoring Model'!$G$16:$G$23,K143)))&gt;0,'Conversion Model'!$B$19,0)))))</f>
        <v>0.0324520929892433</v>
      </c>
      <c r="AH143" s="3" t="str">
        <f aca="false">IF(OR(O143="Qualified",O143="Won",O143="Lost"),1,IF(O143="Unqualified",0,""))</f>
        <v/>
      </c>
    </row>
    <row r="144" customFormat="false" ht="15" hidden="false" customHeight="true" outlineLevel="0" collapsed="false">
      <c r="A144" s="3" t="s">
        <v>699</v>
      </c>
      <c r="B144" s="9" t="n">
        <v>45995.5590277778</v>
      </c>
      <c r="C144" s="3" t="s">
        <v>51</v>
      </c>
      <c r="D144" s="3" t="s">
        <v>700</v>
      </c>
      <c r="E144" s="3" t="s">
        <v>701</v>
      </c>
      <c r="F144" s="3" t="s">
        <v>54</v>
      </c>
      <c r="G144" s="3" t="s">
        <v>79</v>
      </c>
      <c r="H144" s="3"/>
      <c r="I144" s="3" t="s">
        <v>107</v>
      </c>
      <c r="J144" s="3" t="s">
        <v>122</v>
      </c>
      <c r="K144" s="3" t="s">
        <v>322</v>
      </c>
      <c r="L144" s="3" t="n">
        <v>2</v>
      </c>
      <c r="M144" s="3" t="n">
        <v>18.8</v>
      </c>
      <c r="N144" s="3" t="s">
        <v>67</v>
      </c>
      <c r="O144" s="3" t="s">
        <v>68</v>
      </c>
      <c r="P144" s="10"/>
      <c r="Q144" s="3" t="n">
        <f aca="false">IF(F144="Disposable",1,0)</f>
        <v>0</v>
      </c>
      <c r="R144" s="3" t="n">
        <f aca="false">IF(SUMPRODUCT(--ISNUMBER(SEARCH('Spam Rules'!$A$22:$A$35,K144)))&gt;0,1,0)</f>
        <v>0</v>
      </c>
      <c r="S144" s="3" t="n">
        <f aca="false">IF(AND(F144="Free",G144=""),1,0)</f>
        <v>0</v>
      </c>
      <c r="T144" s="3" t="n">
        <f aca="false">IF(LEN(TRIM(K144))&lt;15,1,0)</f>
        <v>1</v>
      </c>
      <c r="U144" s="3" t="n">
        <f aca="false">IF(COUNTIF($E$2:$E$801,E144)&gt;1,1,0)</f>
        <v>0</v>
      </c>
      <c r="V144" s="3" t="n">
        <f aca="false">Q144*'Spam Rules'!$H$6+R144*'Spam Rules'!$H$7+S144*'Spam Rules'!$H$8+T144*'Spam Rules'!$H$9+U144*'Spam Rules'!$H$10</f>
        <v>1</v>
      </c>
      <c r="W144" s="3" t="str">
        <f aca="false">IF(V144&gt;='Spam Rules'!$B$3,"Likely Spam","Genuine")</f>
        <v>Likely Spam</v>
      </c>
      <c r="X144" s="3" t="n">
        <f aca="false">IFERROR(INDEX('Scoring Model'!$B$5:$B$11,MATCH(C144,'Scoring Model'!$A$5:$A$11,0)),0)</f>
        <v>10</v>
      </c>
      <c r="Y144" s="3" t="n">
        <f aca="false">IFERROR(INDEX('Scoring Model'!$E$5:$E$7,MATCH(F144,'Scoring Model'!$D$5:$D$7,0)),0)</f>
        <v>0</v>
      </c>
      <c r="Z144" s="3" t="n">
        <f aca="false">IFERROR(INDEX('Scoring Model'!$H$5:$H$13,MATCH(J144,'Scoring Model'!$G$5:$G$13,0)),0)</f>
        <v>15</v>
      </c>
      <c r="AA144" s="3" t="n">
        <f aca="false">IF(L144&gt;='Scoring Model'!$B$14,'Scoring Model'!$B$15,IF(L144&gt;='Scoring Model'!$B$16,'Scoring Model'!$B$17,0))</f>
        <v>0</v>
      </c>
      <c r="AB144" s="3" t="n">
        <f aca="false">IF(SUMPRODUCT(--ISNUMBER(SEARCH('Scoring Model'!$D$16:$D$25,K144)))&gt;0,'Scoring Model'!$B$18,0)</f>
        <v>0</v>
      </c>
      <c r="AC144" s="3" t="n">
        <f aca="false">IF(SUMPRODUCT(--ISNUMBER(SEARCH('Scoring Model'!$G$16:$G$23,K144)))&gt;0,'Scoring Model'!$B$19,0)</f>
        <v>0</v>
      </c>
      <c r="AD144" s="3" t="str">
        <f aca="false">IF(W144="Likely Spam","",SUM(X144:AC144))</f>
        <v/>
      </c>
      <c r="AE144" s="3" t="str">
        <f aca="false">IF(W144="Likely Spam","Spam",IF(AD144&gt;='Scoring Model'!$B$21,"Hot",IF(AD144&gt;='Scoring Model'!$B$22,"Warm","Nurture")))</f>
        <v>Spam</v>
      </c>
      <c r="AF144" s="3" t="str">
        <f aca="false">IF(W144="Likely Spam","Flagged by spam rules",TRIM(IF(X144&gt;=20,"Strong source. ","")&amp;IF(Y144&gt;0,"Company email. ","")&amp;IF(Z144&gt;=15,"High-value product. ","")&amp;IF(AA144&gt;='Scoring Model'!$B$15,"High engagement. ","")&amp;IF(AB144&gt;0,"Buying intent in message. ","")&amp;IF(AC144&lt;0,"Negative intent in message. ","")))</f>
        <v>Flagged by spam rules</v>
      </c>
      <c r="AG144" s="11" t="str">
        <f aca="false">IF(W144="Likely Spam","",1/(1+EXP(-('Conversion Model'!$B$5+IFERROR(INDEX('Conversion Model'!$B$8:$B$14,MATCH(C144,'Conversion Model'!$A$8:$A$14,0)),0)+IFERROR(INDEX('Conversion Model'!$E$8:$E$9,MATCH(F144,'Conversion Model'!$D$8:$D$9,0)),0)+IFERROR(INDEX('Conversion Model'!$H$8:$H$12,MATCH(IF(LEFT(J144,8)="Payments","Payments",IF(LEFT(J144,7)="Lending","Lending",J144)),'Conversion Model'!$G$8:$G$12,0)),0)+MIN(L144,15)*'Conversion Model'!$B$17+IF(SUMPRODUCT(--ISNUMBER(SEARCH('Scoring Model'!$D$16:$D$25,K144)))&gt;0,'Conversion Model'!$B$18,0)+IF(SUMPRODUCT(--ISNUMBER(SEARCH('Scoring Model'!$G$16:$G$23,K144)))&gt;0,'Conversion Model'!$B$19,0)))))</f>
        <v/>
      </c>
      <c r="AH144" s="3" t="str">
        <f aca="false">IF(OR(O144="Qualified",O144="Won",O144="Lost"),1,IF(O144="Unqualified",0,""))</f>
        <v/>
      </c>
    </row>
    <row r="145" customFormat="false" ht="15" hidden="false" customHeight="true" outlineLevel="0" collapsed="false">
      <c r="A145" s="3" t="s">
        <v>702</v>
      </c>
      <c r="B145" s="9" t="n">
        <v>45995.6736111111</v>
      </c>
      <c r="C145" s="3" t="s">
        <v>112</v>
      </c>
      <c r="D145" s="3" t="s">
        <v>703</v>
      </c>
      <c r="E145" s="3" t="s">
        <v>704</v>
      </c>
      <c r="F145" s="3" t="s">
        <v>54</v>
      </c>
      <c r="G145" s="3"/>
      <c r="H145" s="3"/>
      <c r="I145" s="3" t="s">
        <v>260</v>
      </c>
      <c r="J145" s="3" t="s">
        <v>81</v>
      </c>
      <c r="K145" s="3" t="s">
        <v>74</v>
      </c>
      <c r="L145" s="3" t="n">
        <v>4</v>
      </c>
      <c r="M145" s="3" t="n">
        <v>18.6</v>
      </c>
      <c r="N145" s="3" t="s">
        <v>96</v>
      </c>
      <c r="O145" s="3" t="s">
        <v>194</v>
      </c>
      <c r="P145" s="10"/>
      <c r="Q145" s="3" t="n">
        <f aca="false">IF(F145="Disposable",1,0)</f>
        <v>0</v>
      </c>
      <c r="R145" s="3" t="n">
        <f aca="false">IF(SUMPRODUCT(--ISNUMBER(SEARCH('Spam Rules'!$A$22:$A$35,K145)))&gt;0,1,0)</f>
        <v>0</v>
      </c>
      <c r="S145" s="3" t="n">
        <f aca="false">IF(AND(F145="Free",G145=""),1,0)</f>
        <v>1</v>
      </c>
      <c r="T145" s="3" t="n">
        <f aca="false">IF(LEN(TRIM(K145))&lt;15,1,0)</f>
        <v>0</v>
      </c>
      <c r="U145" s="3" t="n">
        <f aca="false">IF(COUNTIF($E$2:$E$801,E145)&gt;1,1,0)</f>
        <v>0</v>
      </c>
      <c r="V145" s="3" t="n">
        <f aca="false">Q145*'Spam Rules'!$H$6+R145*'Spam Rules'!$H$7+S145*'Spam Rules'!$H$8+T145*'Spam Rules'!$H$9+U145*'Spam Rules'!$H$10</f>
        <v>0</v>
      </c>
      <c r="W145" s="3" t="str">
        <f aca="false">IF(V145&gt;='Spam Rules'!$B$3,"Likely Spam","Genuine")</f>
        <v>Genuine</v>
      </c>
      <c r="X145" s="3" t="n">
        <f aca="false">IFERROR(INDEX('Scoring Model'!$B$5:$B$11,MATCH(C145,'Scoring Model'!$A$5:$A$11,0)),0)</f>
        <v>15</v>
      </c>
      <c r="Y145" s="3" t="n">
        <f aca="false">IFERROR(INDEX('Scoring Model'!$E$5:$E$7,MATCH(F145,'Scoring Model'!$D$5:$D$7,0)),0)</f>
        <v>0</v>
      </c>
      <c r="Z145" s="3" t="n">
        <f aca="false">IFERROR(INDEX('Scoring Model'!$H$5:$H$13,MATCH(J145,'Scoring Model'!$G$5:$G$13,0)),0)</f>
        <v>5</v>
      </c>
      <c r="AA145" s="3" t="n">
        <f aca="false">IF(L145&gt;='Scoring Model'!$B$14,'Scoring Model'!$B$15,IF(L145&gt;='Scoring Model'!$B$16,'Scoring Model'!$B$17,0))</f>
        <v>8</v>
      </c>
      <c r="AB145" s="3" t="n">
        <f aca="false">IF(SUMPRODUCT(--ISNUMBER(SEARCH('Scoring Model'!$D$16:$D$25,K145)))&gt;0,'Scoring Model'!$B$18,0)</f>
        <v>0</v>
      </c>
      <c r="AC145" s="3" t="n">
        <f aca="false">IF(SUMPRODUCT(--ISNUMBER(SEARCH('Scoring Model'!$G$16:$G$23,K145)))&gt;0,'Scoring Model'!$B$19,0)</f>
        <v>-30</v>
      </c>
      <c r="AD145" s="3" t="n">
        <f aca="false">IF(W145="Likely Spam","",SUM(X145:AC145))</f>
        <v>-2</v>
      </c>
      <c r="AE145" s="3" t="str">
        <f aca="false">IF(W145="Likely Spam","Spam",IF(AD145&gt;='Scoring Model'!$B$21,"Hot",IF(AD145&gt;='Scoring Model'!$B$22,"Warm","Nurture")))</f>
        <v>Nurture</v>
      </c>
      <c r="AF145" s="3" t="str">
        <f aca="false">IF(W145="Likely Spam","Flagged by spam rules",TRIM(IF(X145&gt;=20,"Strong source. ","")&amp;IF(Y145&gt;0,"Company email. ","")&amp;IF(Z145&gt;=15,"High-value product. ","")&amp;IF(AA145&gt;='Scoring Model'!$B$15,"High engagement. ","")&amp;IF(AB145&gt;0,"Buying intent in message. ","")&amp;IF(AC145&lt;0,"Negative intent in message. ","")))</f>
        <v>Negative intent in message.</v>
      </c>
      <c r="AG145" s="11" t="n">
        <f aca="false">IF(W145="Likely Spam","",1/(1+EXP(-('Conversion Model'!$B$5+IFERROR(INDEX('Conversion Model'!$B$8:$B$14,MATCH(C145,'Conversion Model'!$A$8:$A$14,0)),0)+IFERROR(INDEX('Conversion Model'!$E$8:$E$9,MATCH(F145,'Conversion Model'!$D$8:$D$9,0)),0)+IFERROR(INDEX('Conversion Model'!$H$8:$H$12,MATCH(IF(LEFT(J145,8)="Payments","Payments",IF(LEFT(J145,7)="Lending","Lending",J145)),'Conversion Model'!$G$8:$G$12,0)),0)+MIN(L145,15)*'Conversion Model'!$B$17+IF(SUMPRODUCT(--ISNUMBER(SEARCH('Scoring Model'!$D$16:$D$25,K145)))&gt;0,'Conversion Model'!$B$18,0)+IF(SUMPRODUCT(--ISNUMBER(SEARCH('Scoring Model'!$G$16:$G$23,K145)))&gt;0,'Conversion Model'!$B$19,0)))))</f>
        <v>0.00847603792812818</v>
      </c>
      <c r="AH145" s="3" t="n">
        <f aca="false">IF(OR(O145="Qualified",O145="Won",O145="Lost"),1,IF(O145="Unqualified",0,""))</f>
        <v>0</v>
      </c>
    </row>
    <row r="146" customFormat="false" ht="15" hidden="false" customHeight="true" outlineLevel="0" collapsed="false">
      <c r="A146" s="3" t="s">
        <v>705</v>
      </c>
      <c r="B146" s="9" t="n">
        <v>45996.6868055556</v>
      </c>
      <c r="C146" s="3" t="s">
        <v>51</v>
      </c>
      <c r="D146" s="3" t="s">
        <v>706</v>
      </c>
      <c r="E146" s="3" t="s">
        <v>486</v>
      </c>
      <c r="F146" s="3" t="s">
        <v>54</v>
      </c>
      <c r="G146" s="3"/>
      <c r="H146" s="3"/>
      <c r="I146" s="3" t="s">
        <v>260</v>
      </c>
      <c r="J146" s="3" t="s">
        <v>65</v>
      </c>
      <c r="K146" s="3" t="s">
        <v>363</v>
      </c>
      <c r="L146" s="3" t="n">
        <v>1</v>
      </c>
      <c r="M146" s="3"/>
      <c r="N146" s="3" t="s">
        <v>67</v>
      </c>
      <c r="O146" s="3" t="s">
        <v>68</v>
      </c>
      <c r="P146" s="10"/>
      <c r="Q146" s="3" t="n">
        <f aca="false">IF(F146="Disposable",1,0)</f>
        <v>0</v>
      </c>
      <c r="R146" s="3" t="n">
        <f aca="false">IF(SUMPRODUCT(--ISNUMBER(SEARCH('Spam Rules'!$A$22:$A$35,K146)))&gt;0,1,0)</f>
        <v>1</v>
      </c>
      <c r="S146" s="3" t="n">
        <f aca="false">IF(AND(F146="Free",G146=""),1,0)</f>
        <v>1</v>
      </c>
      <c r="T146" s="3" t="n">
        <f aca="false">IF(LEN(TRIM(K146))&lt;15,1,0)</f>
        <v>0</v>
      </c>
      <c r="U146" s="3" t="n">
        <f aca="false">IF(COUNTIF($E$2:$E$801,E146)&gt;1,1,0)</f>
        <v>1</v>
      </c>
      <c r="V146" s="3" t="n">
        <f aca="false">Q146*'Spam Rules'!$H$6+R146*'Spam Rules'!$H$7+S146*'Spam Rules'!$H$8+T146*'Spam Rules'!$H$9+U146*'Spam Rules'!$H$10</f>
        <v>1</v>
      </c>
      <c r="W146" s="3" t="str">
        <f aca="false">IF(V146&gt;='Spam Rules'!$B$3,"Likely Spam","Genuine")</f>
        <v>Likely Spam</v>
      </c>
      <c r="X146" s="3" t="n">
        <f aca="false">IFERROR(INDEX('Scoring Model'!$B$5:$B$11,MATCH(C146,'Scoring Model'!$A$5:$A$11,0)),0)</f>
        <v>10</v>
      </c>
      <c r="Y146" s="3" t="n">
        <f aca="false">IFERROR(INDEX('Scoring Model'!$E$5:$E$7,MATCH(F146,'Scoring Model'!$D$5:$D$7,0)),0)</f>
        <v>0</v>
      </c>
      <c r="Z146" s="3" t="n">
        <f aca="false">IFERROR(INDEX('Scoring Model'!$H$5:$H$13,MATCH(J146,'Scoring Model'!$G$5:$G$13,0)),0)</f>
        <v>0</v>
      </c>
      <c r="AA146" s="3" t="n">
        <f aca="false">IF(L146&gt;='Scoring Model'!$B$14,'Scoring Model'!$B$15,IF(L146&gt;='Scoring Model'!$B$16,'Scoring Model'!$B$17,0))</f>
        <v>0</v>
      </c>
      <c r="AB146" s="3" t="n">
        <f aca="false">IF(SUMPRODUCT(--ISNUMBER(SEARCH('Scoring Model'!$D$16:$D$25,K146)))&gt;0,'Scoring Model'!$B$18,0)</f>
        <v>0</v>
      </c>
      <c r="AC146" s="3" t="n">
        <f aca="false">IF(SUMPRODUCT(--ISNUMBER(SEARCH('Scoring Model'!$G$16:$G$23,K146)))&gt;0,'Scoring Model'!$B$19,0)</f>
        <v>0</v>
      </c>
      <c r="AD146" s="3" t="str">
        <f aca="false">IF(W146="Likely Spam","",SUM(X146:AC146))</f>
        <v/>
      </c>
      <c r="AE146" s="3" t="str">
        <f aca="false">IF(W146="Likely Spam","Spam",IF(AD146&gt;='Scoring Model'!$B$21,"Hot",IF(AD146&gt;='Scoring Model'!$B$22,"Warm","Nurture")))</f>
        <v>Spam</v>
      </c>
      <c r="AF146" s="3" t="str">
        <f aca="false">IF(W146="Likely Spam","Flagged by spam rules",TRIM(IF(X146&gt;=20,"Strong source. ","")&amp;IF(Y146&gt;0,"Company email. ","")&amp;IF(Z146&gt;=15,"High-value product. ","")&amp;IF(AA146&gt;='Scoring Model'!$B$15,"High engagement. ","")&amp;IF(AB146&gt;0,"Buying intent in message. ","")&amp;IF(AC146&lt;0,"Negative intent in message. ","")))</f>
        <v>Flagged by spam rules</v>
      </c>
      <c r="AG146" s="11" t="str">
        <f aca="false">IF(W146="Likely Spam","",1/(1+EXP(-('Conversion Model'!$B$5+IFERROR(INDEX('Conversion Model'!$B$8:$B$14,MATCH(C146,'Conversion Model'!$A$8:$A$14,0)),0)+IFERROR(INDEX('Conversion Model'!$E$8:$E$9,MATCH(F146,'Conversion Model'!$D$8:$D$9,0)),0)+IFERROR(INDEX('Conversion Model'!$H$8:$H$12,MATCH(IF(LEFT(J146,8)="Payments","Payments",IF(LEFT(J146,7)="Lending","Lending",J146)),'Conversion Model'!$G$8:$G$12,0)),0)+MIN(L146,15)*'Conversion Model'!$B$17+IF(SUMPRODUCT(--ISNUMBER(SEARCH('Scoring Model'!$D$16:$D$25,K146)))&gt;0,'Conversion Model'!$B$18,0)+IF(SUMPRODUCT(--ISNUMBER(SEARCH('Scoring Model'!$G$16:$G$23,K146)))&gt;0,'Conversion Model'!$B$19,0)))))</f>
        <v/>
      </c>
      <c r="AH146" s="3" t="str">
        <f aca="false">IF(OR(O146="Qualified",O146="Won",O146="Lost"),1,IF(O146="Unqualified",0,""))</f>
        <v/>
      </c>
    </row>
    <row r="147" customFormat="false" ht="15" hidden="false" customHeight="true" outlineLevel="0" collapsed="false">
      <c r="A147" s="3" t="s">
        <v>707</v>
      </c>
      <c r="B147" s="9" t="n">
        <v>45996.7923611111</v>
      </c>
      <c r="C147" s="3" t="s">
        <v>76</v>
      </c>
      <c r="D147" s="3" t="s">
        <v>262</v>
      </c>
      <c r="E147" s="3" t="s">
        <v>708</v>
      </c>
      <c r="F147" s="3" t="s">
        <v>22</v>
      </c>
      <c r="G147" s="3" t="s">
        <v>321</v>
      </c>
      <c r="H147" s="3" t="s">
        <v>388</v>
      </c>
      <c r="I147" s="3" t="s">
        <v>204</v>
      </c>
      <c r="J147" s="3" t="s">
        <v>65</v>
      </c>
      <c r="K147" s="3" t="s">
        <v>657</v>
      </c>
      <c r="L147" s="3" t="n">
        <v>2</v>
      </c>
      <c r="M147" s="3" t="n">
        <v>13.7</v>
      </c>
      <c r="N147" s="3" t="s">
        <v>96</v>
      </c>
      <c r="O147" s="3"/>
      <c r="P147" s="10"/>
      <c r="Q147" s="3" t="n">
        <f aca="false">IF(F147="Disposable",1,0)</f>
        <v>0</v>
      </c>
      <c r="R147" s="3" t="n">
        <f aca="false">IF(SUMPRODUCT(--ISNUMBER(SEARCH('Spam Rules'!$A$22:$A$35,K147)))&gt;0,1,0)</f>
        <v>1</v>
      </c>
      <c r="S147" s="3" t="n">
        <f aca="false">IF(AND(F147="Free",G147=""),1,0)</f>
        <v>0</v>
      </c>
      <c r="T147" s="3" t="n">
        <f aca="false">IF(LEN(TRIM(K147))&lt;15,1,0)</f>
        <v>0</v>
      </c>
      <c r="U147" s="3" t="n">
        <f aca="false">IF(COUNTIF($E$2:$E$801,E147)&gt;1,1,0)</f>
        <v>1</v>
      </c>
      <c r="V147" s="3" t="n">
        <f aca="false">Q147*'Spam Rules'!$H$6+R147*'Spam Rules'!$H$7+S147*'Spam Rules'!$H$8+T147*'Spam Rules'!$H$9+U147*'Spam Rules'!$H$10</f>
        <v>1</v>
      </c>
      <c r="W147" s="3" t="str">
        <f aca="false">IF(V147&gt;='Spam Rules'!$B$3,"Likely Spam","Genuine")</f>
        <v>Likely Spam</v>
      </c>
      <c r="X147" s="3" t="n">
        <f aca="false">IFERROR(INDEX('Scoring Model'!$B$5:$B$11,MATCH(C147,'Scoring Model'!$A$5:$A$11,0)),0)</f>
        <v>0</v>
      </c>
      <c r="Y147" s="3" t="n">
        <f aca="false">IFERROR(INDEX('Scoring Model'!$E$5:$E$7,MATCH(F147,'Scoring Model'!$D$5:$D$7,0)),0)</f>
        <v>20</v>
      </c>
      <c r="Z147" s="3" t="n">
        <f aca="false">IFERROR(INDEX('Scoring Model'!$H$5:$H$13,MATCH(J147,'Scoring Model'!$G$5:$G$13,0)),0)</f>
        <v>0</v>
      </c>
      <c r="AA147" s="3" t="n">
        <f aca="false">IF(L147&gt;='Scoring Model'!$B$14,'Scoring Model'!$B$15,IF(L147&gt;='Scoring Model'!$B$16,'Scoring Model'!$B$17,0))</f>
        <v>0</v>
      </c>
      <c r="AB147" s="3" t="n">
        <f aca="false">IF(SUMPRODUCT(--ISNUMBER(SEARCH('Scoring Model'!$D$16:$D$25,K147)))&gt;0,'Scoring Model'!$B$18,0)</f>
        <v>0</v>
      </c>
      <c r="AC147" s="3" t="n">
        <f aca="false">IF(SUMPRODUCT(--ISNUMBER(SEARCH('Scoring Model'!$G$16:$G$23,K147)))&gt;0,'Scoring Model'!$B$19,0)</f>
        <v>0</v>
      </c>
      <c r="AD147" s="3" t="str">
        <f aca="false">IF(W147="Likely Spam","",SUM(X147:AC147))</f>
        <v/>
      </c>
      <c r="AE147" s="3" t="str">
        <f aca="false">IF(W147="Likely Spam","Spam",IF(AD147&gt;='Scoring Model'!$B$21,"Hot",IF(AD147&gt;='Scoring Model'!$B$22,"Warm","Nurture")))</f>
        <v>Spam</v>
      </c>
      <c r="AF147" s="3" t="str">
        <f aca="false">IF(W147="Likely Spam","Flagged by spam rules",TRIM(IF(X147&gt;=20,"Strong source. ","")&amp;IF(Y147&gt;0,"Company email. ","")&amp;IF(Z147&gt;=15,"High-value product. ","")&amp;IF(AA147&gt;='Scoring Model'!$B$15,"High engagement. ","")&amp;IF(AB147&gt;0,"Buying intent in message. ","")&amp;IF(AC147&lt;0,"Negative intent in message. ","")))</f>
        <v>Flagged by spam rules</v>
      </c>
      <c r="AG147" s="11" t="str">
        <f aca="false">IF(W147="Likely Spam","",1/(1+EXP(-('Conversion Model'!$B$5+IFERROR(INDEX('Conversion Model'!$B$8:$B$14,MATCH(C147,'Conversion Model'!$A$8:$A$14,0)),0)+IFERROR(INDEX('Conversion Model'!$E$8:$E$9,MATCH(F147,'Conversion Model'!$D$8:$D$9,0)),0)+IFERROR(INDEX('Conversion Model'!$H$8:$H$12,MATCH(IF(LEFT(J147,8)="Payments","Payments",IF(LEFT(J147,7)="Lending","Lending",J147)),'Conversion Model'!$G$8:$G$12,0)),0)+MIN(L147,15)*'Conversion Model'!$B$17+IF(SUMPRODUCT(--ISNUMBER(SEARCH('Scoring Model'!$D$16:$D$25,K147)))&gt;0,'Conversion Model'!$B$18,0)+IF(SUMPRODUCT(--ISNUMBER(SEARCH('Scoring Model'!$G$16:$G$23,K147)))&gt;0,'Conversion Model'!$B$19,0)))))</f>
        <v/>
      </c>
      <c r="AH147" s="3" t="str">
        <f aca="false">IF(OR(O147="Qualified",O147="Won",O147="Lost"),1,IF(O147="Unqualified",0,""))</f>
        <v/>
      </c>
    </row>
    <row r="148" customFormat="false" ht="15" hidden="false" customHeight="true" outlineLevel="0" collapsed="false">
      <c r="A148" s="3" t="s">
        <v>709</v>
      </c>
      <c r="B148" s="9" t="n">
        <v>45996.8152777778</v>
      </c>
      <c r="C148" s="3" t="s">
        <v>51</v>
      </c>
      <c r="D148" s="3" t="s">
        <v>710</v>
      </c>
      <c r="E148" s="3" t="s">
        <v>711</v>
      </c>
      <c r="F148" s="3" t="s">
        <v>63</v>
      </c>
      <c r="G148" s="3"/>
      <c r="H148" s="3"/>
      <c r="I148" s="3" t="s">
        <v>334</v>
      </c>
      <c r="J148" s="3" t="s">
        <v>65</v>
      </c>
      <c r="K148" s="3" t="s">
        <v>66</v>
      </c>
      <c r="L148" s="3" t="n">
        <v>2</v>
      </c>
      <c r="M148" s="3" t="n">
        <v>25.7</v>
      </c>
      <c r="N148" s="3" t="s">
        <v>96</v>
      </c>
      <c r="O148" s="3"/>
      <c r="P148" s="10"/>
      <c r="Q148" s="3" t="n">
        <f aca="false">IF(F148="Disposable",1,0)</f>
        <v>1</v>
      </c>
      <c r="R148" s="3" t="n">
        <f aca="false">IF(SUMPRODUCT(--ISNUMBER(SEARCH('Spam Rules'!$A$22:$A$35,K148)))&gt;0,1,0)</f>
        <v>1</v>
      </c>
      <c r="S148" s="3" t="n">
        <f aca="false">IF(AND(F148="Free",G148=""),1,0)</f>
        <v>0</v>
      </c>
      <c r="T148" s="3" t="n">
        <f aca="false">IF(LEN(TRIM(K148))&lt;15,1,0)</f>
        <v>0</v>
      </c>
      <c r="U148" s="3" t="n">
        <f aca="false">IF(COUNTIF($E$2:$E$801,E148)&gt;1,1,0)</f>
        <v>0</v>
      </c>
      <c r="V148" s="3" t="n">
        <f aca="false">Q148*'Spam Rules'!$H$6+R148*'Spam Rules'!$H$7+S148*'Spam Rules'!$H$8+T148*'Spam Rules'!$H$9+U148*'Spam Rules'!$H$10</f>
        <v>2</v>
      </c>
      <c r="W148" s="3" t="str">
        <f aca="false">IF(V148&gt;='Spam Rules'!$B$3,"Likely Spam","Genuine")</f>
        <v>Likely Spam</v>
      </c>
      <c r="X148" s="3" t="n">
        <f aca="false">IFERROR(INDEX('Scoring Model'!$B$5:$B$11,MATCH(C148,'Scoring Model'!$A$5:$A$11,0)),0)</f>
        <v>10</v>
      </c>
      <c r="Y148" s="3" t="n">
        <f aca="false">IFERROR(INDEX('Scoring Model'!$E$5:$E$7,MATCH(F148,'Scoring Model'!$D$5:$D$7,0)),0)</f>
        <v>0</v>
      </c>
      <c r="Z148" s="3" t="n">
        <f aca="false">IFERROR(INDEX('Scoring Model'!$H$5:$H$13,MATCH(J148,'Scoring Model'!$G$5:$G$13,0)),0)</f>
        <v>0</v>
      </c>
      <c r="AA148" s="3" t="n">
        <f aca="false">IF(L148&gt;='Scoring Model'!$B$14,'Scoring Model'!$B$15,IF(L148&gt;='Scoring Model'!$B$16,'Scoring Model'!$B$17,0))</f>
        <v>0</v>
      </c>
      <c r="AB148" s="3" t="n">
        <f aca="false">IF(SUMPRODUCT(--ISNUMBER(SEARCH('Scoring Model'!$D$16:$D$25,K148)))&gt;0,'Scoring Model'!$B$18,0)</f>
        <v>0</v>
      </c>
      <c r="AC148" s="3" t="n">
        <f aca="false">IF(SUMPRODUCT(--ISNUMBER(SEARCH('Scoring Model'!$G$16:$G$23,K148)))&gt;0,'Scoring Model'!$B$19,0)</f>
        <v>0</v>
      </c>
      <c r="AD148" s="3" t="str">
        <f aca="false">IF(W148="Likely Spam","",SUM(X148:AC148))</f>
        <v/>
      </c>
      <c r="AE148" s="3" t="str">
        <f aca="false">IF(W148="Likely Spam","Spam",IF(AD148&gt;='Scoring Model'!$B$21,"Hot",IF(AD148&gt;='Scoring Model'!$B$22,"Warm","Nurture")))</f>
        <v>Spam</v>
      </c>
      <c r="AF148" s="3" t="str">
        <f aca="false">IF(W148="Likely Spam","Flagged by spam rules",TRIM(IF(X148&gt;=20,"Strong source. ","")&amp;IF(Y148&gt;0,"Company email. ","")&amp;IF(Z148&gt;=15,"High-value product. ","")&amp;IF(AA148&gt;='Scoring Model'!$B$15,"High engagement. ","")&amp;IF(AB148&gt;0,"Buying intent in message. ","")&amp;IF(AC148&lt;0,"Negative intent in message. ","")))</f>
        <v>Flagged by spam rules</v>
      </c>
      <c r="AG148" s="11" t="str">
        <f aca="false">IF(W148="Likely Spam","",1/(1+EXP(-('Conversion Model'!$B$5+IFERROR(INDEX('Conversion Model'!$B$8:$B$14,MATCH(C148,'Conversion Model'!$A$8:$A$14,0)),0)+IFERROR(INDEX('Conversion Model'!$E$8:$E$9,MATCH(F148,'Conversion Model'!$D$8:$D$9,0)),0)+IFERROR(INDEX('Conversion Model'!$H$8:$H$12,MATCH(IF(LEFT(J148,8)="Payments","Payments",IF(LEFT(J148,7)="Lending","Lending",J148)),'Conversion Model'!$G$8:$G$12,0)),0)+MIN(L148,15)*'Conversion Model'!$B$17+IF(SUMPRODUCT(--ISNUMBER(SEARCH('Scoring Model'!$D$16:$D$25,K148)))&gt;0,'Conversion Model'!$B$18,0)+IF(SUMPRODUCT(--ISNUMBER(SEARCH('Scoring Model'!$G$16:$G$23,K148)))&gt;0,'Conversion Model'!$B$19,0)))))</f>
        <v/>
      </c>
      <c r="AH148" s="3" t="str">
        <f aca="false">IF(OR(O148="Qualified",O148="Won",O148="Lost"),1,IF(O148="Unqualified",0,""))</f>
        <v/>
      </c>
    </row>
    <row r="149" customFormat="false" ht="15" hidden="false" customHeight="true" outlineLevel="0" collapsed="false">
      <c r="A149" s="3" t="s">
        <v>712</v>
      </c>
      <c r="B149" s="9" t="n">
        <v>45997.1305555556</v>
      </c>
      <c r="C149" s="3" t="s">
        <v>91</v>
      </c>
      <c r="D149" s="3" t="s">
        <v>713</v>
      </c>
      <c r="E149" s="3" t="s">
        <v>714</v>
      </c>
      <c r="F149" s="3" t="s">
        <v>22</v>
      </c>
      <c r="G149" s="3" t="s">
        <v>715</v>
      </c>
      <c r="H149" s="3" t="s">
        <v>716</v>
      </c>
      <c r="I149" s="3" t="s">
        <v>116</v>
      </c>
      <c r="J149" s="3" t="s">
        <v>145</v>
      </c>
      <c r="K149" s="3" t="s">
        <v>349</v>
      </c>
      <c r="L149" s="3" t="n">
        <v>3</v>
      </c>
      <c r="M149" s="3" t="n">
        <v>6</v>
      </c>
      <c r="N149" s="3" t="s">
        <v>96</v>
      </c>
      <c r="O149" s="3" t="s">
        <v>194</v>
      </c>
      <c r="P149" s="10"/>
      <c r="Q149" s="3" t="n">
        <f aca="false">IF(F149="Disposable",1,0)</f>
        <v>0</v>
      </c>
      <c r="R149" s="3" t="n">
        <f aca="false">IF(SUMPRODUCT(--ISNUMBER(SEARCH('Spam Rules'!$A$22:$A$35,K149)))&gt;0,1,0)</f>
        <v>0</v>
      </c>
      <c r="S149" s="3" t="n">
        <f aca="false">IF(AND(F149="Free",G149=""),1,0)</f>
        <v>0</v>
      </c>
      <c r="T149" s="3" t="n">
        <f aca="false">IF(LEN(TRIM(K149))&lt;15,1,0)</f>
        <v>0</v>
      </c>
      <c r="U149" s="3" t="n">
        <f aca="false">IF(COUNTIF($E$2:$E$801,E149)&gt;1,1,0)</f>
        <v>0</v>
      </c>
      <c r="V149" s="3" t="n">
        <f aca="false">Q149*'Spam Rules'!$H$6+R149*'Spam Rules'!$H$7+S149*'Spam Rules'!$H$8+T149*'Spam Rules'!$H$9+U149*'Spam Rules'!$H$10</f>
        <v>0</v>
      </c>
      <c r="W149" s="3" t="str">
        <f aca="false">IF(V149&gt;='Spam Rules'!$B$3,"Likely Spam","Genuine")</f>
        <v>Genuine</v>
      </c>
      <c r="X149" s="3" t="n">
        <f aca="false">IFERROR(INDEX('Scoring Model'!$B$5:$B$11,MATCH(C149,'Scoring Model'!$A$5:$A$11,0)),0)</f>
        <v>5</v>
      </c>
      <c r="Y149" s="3" t="n">
        <f aca="false">IFERROR(INDEX('Scoring Model'!$E$5:$E$7,MATCH(F149,'Scoring Model'!$D$5:$D$7,0)),0)</f>
        <v>20</v>
      </c>
      <c r="Z149" s="3" t="n">
        <f aca="false">IFERROR(INDEX('Scoring Model'!$H$5:$H$13,MATCH(J149,'Scoring Model'!$G$5:$G$13,0)),0)</f>
        <v>5</v>
      </c>
      <c r="AA149" s="3" t="n">
        <f aca="false">IF(L149&gt;='Scoring Model'!$B$14,'Scoring Model'!$B$15,IF(L149&gt;='Scoring Model'!$B$16,'Scoring Model'!$B$17,0))</f>
        <v>0</v>
      </c>
      <c r="AB149" s="3" t="n">
        <f aca="false">IF(SUMPRODUCT(--ISNUMBER(SEARCH('Scoring Model'!$D$16:$D$25,K149)))&gt;0,'Scoring Model'!$B$18,0)</f>
        <v>0</v>
      </c>
      <c r="AC149" s="3" t="n">
        <f aca="false">IF(SUMPRODUCT(--ISNUMBER(SEARCH('Scoring Model'!$G$16:$G$23,K149)))&gt;0,'Scoring Model'!$B$19,0)</f>
        <v>-30</v>
      </c>
      <c r="AD149" s="3" t="n">
        <f aca="false">IF(W149="Likely Spam","",SUM(X149:AC149))</f>
        <v>0</v>
      </c>
      <c r="AE149" s="3" t="str">
        <f aca="false">IF(W149="Likely Spam","Spam",IF(AD149&gt;='Scoring Model'!$B$21,"Hot",IF(AD149&gt;='Scoring Model'!$B$22,"Warm","Nurture")))</f>
        <v>Nurture</v>
      </c>
      <c r="AF149" s="3" t="str">
        <f aca="false">IF(W149="Likely Spam","Flagged by spam rules",TRIM(IF(X149&gt;=20,"Strong source. ","")&amp;IF(Y149&gt;0,"Company email. ","")&amp;IF(Z149&gt;=15,"High-value product. ","")&amp;IF(AA149&gt;='Scoring Model'!$B$15,"High engagement. ","")&amp;IF(AB149&gt;0,"Buying intent in message. ","")&amp;IF(AC149&lt;0,"Negative intent in message. ","")))</f>
        <v>Company email. Negative intent in message.</v>
      </c>
      <c r="AG149" s="11" t="n">
        <f aca="false">IF(W149="Likely Spam","",1/(1+EXP(-('Conversion Model'!$B$5+IFERROR(INDEX('Conversion Model'!$B$8:$B$14,MATCH(C149,'Conversion Model'!$A$8:$A$14,0)),0)+IFERROR(INDEX('Conversion Model'!$E$8:$E$9,MATCH(F149,'Conversion Model'!$D$8:$D$9,0)),0)+IFERROR(INDEX('Conversion Model'!$H$8:$H$12,MATCH(IF(LEFT(J149,8)="Payments","Payments",IF(LEFT(J149,7)="Lending","Lending",J149)),'Conversion Model'!$G$8:$G$12,0)),0)+MIN(L149,15)*'Conversion Model'!$B$17+IF(SUMPRODUCT(--ISNUMBER(SEARCH('Scoring Model'!$D$16:$D$25,K149)))&gt;0,'Conversion Model'!$B$18,0)+IF(SUMPRODUCT(--ISNUMBER(SEARCH('Scoring Model'!$G$16:$G$23,K149)))&gt;0,'Conversion Model'!$B$19,0)))))</f>
        <v>0.0112396975828774</v>
      </c>
      <c r="AH149" s="3" t="n">
        <f aca="false">IF(OR(O149="Qualified",O149="Won",O149="Lost"),1,IF(O149="Unqualified",0,""))</f>
        <v>0</v>
      </c>
    </row>
    <row r="150" customFormat="false" ht="15" hidden="false" customHeight="true" outlineLevel="0" collapsed="false">
      <c r="A150" s="3" t="s">
        <v>717</v>
      </c>
      <c r="B150" s="9" t="n">
        <v>45997.7138888889</v>
      </c>
      <c r="C150" s="3" t="s">
        <v>51</v>
      </c>
      <c r="D150" s="3" t="s">
        <v>718</v>
      </c>
      <c r="E150" s="3" t="s">
        <v>719</v>
      </c>
      <c r="F150" s="3" t="s">
        <v>22</v>
      </c>
      <c r="G150" s="3" t="s">
        <v>86</v>
      </c>
      <c r="H150" s="3" t="s">
        <v>87</v>
      </c>
      <c r="I150" s="3" t="s">
        <v>56</v>
      </c>
      <c r="J150" s="3" t="s">
        <v>65</v>
      </c>
      <c r="K150" s="3" t="s">
        <v>170</v>
      </c>
      <c r="L150" s="3" t="n">
        <v>1</v>
      </c>
      <c r="M150" s="3"/>
      <c r="N150" s="3" t="s">
        <v>67</v>
      </c>
      <c r="O150" s="3"/>
      <c r="P150" s="10"/>
      <c r="Q150" s="3" t="n">
        <f aca="false">IF(F150="Disposable",1,0)</f>
        <v>0</v>
      </c>
      <c r="R150" s="3" t="n">
        <f aca="false">IF(SUMPRODUCT(--ISNUMBER(SEARCH('Spam Rules'!$A$22:$A$35,K150)))&gt;0,1,0)</f>
        <v>0</v>
      </c>
      <c r="S150" s="3" t="n">
        <f aca="false">IF(AND(F150="Free",G150=""),1,0)</f>
        <v>0</v>
      </c>
      <c r="T150" s="3" t="n">
        <f aca="false">IF(LEN(TRIM(K150))&lt;15,1,0)</f>
        <v>1</v>
      </c>
      <c r="U150" s="3" t="n">
        <f aca="false">IF(COUNTIF($E$2:$E$801,E150)&gt;1,1,0)</f>
        <v>1</v>
      </c>
      <c r="V150" s="3" t="n">
        <f aca="false">Q150*'Spam Rules'!$H$6+R150*'Spam Rules'!$H$7+S150*'Spam Rules'!$H$8+T150*'Spam Rules'!$H$9+U150*'Spam Rules'!$H$10</f>
        <v>1</v>
      </c>
      <c r="W150" s="3" t="str">
        <f aca="false">IF(V150&gt;='Spam Rules'!$B$3,"Likely Spam","Genuine")</f>
        <v>Likely Spam</v>
      </c>
      <c r="X150" s="3" t="n">
        <f aca="false">IFERROR(INDEX('Scoring Model'!$B$5:$B$11,MATCH(C150,'Scoring Model'!$A$5:$A$11,0)),0)</f>
        <v>10</v>
      </c>
      <c r="Y150" s="3" t="n">
        <f aca="false">IFERROR(INDEX('Scoring Model'!$E$5:$E$7,MATCH(F150,'Scoring Model'!$D$5:$D$7,0)),0)</f>
        <v>20</v>
      </c>
      <c r="Z150" s="3" t="n">
        <f aca="false">IFERROR(INDEX('Scoring Model'!$H$5:$H$13,MATCH(J150,'Scoring Model'!$G$5:$G$13,0)),0)</f>
        <v>0</v>
      </c>
      <c r="AA150" s="3" t="n">
        <f aca="false">IF(L150&gt;='Scoring Model'!$B$14,'Scoring Model'!$B$15,IF(L150&gt;='Scoring Model'!$B$16,'Scoring Model'!$B$17,0))</f>
        <v>0</v>
      </c>
      <c r="AB150" s="3" t="n">
        <f aca="false">IF(SUMPRODUCT(--ISNUMBER(SEARCH('Scoring Model'!$D$16:$D$25,K150)))&gt;0,'Scoring Model'!$B$18,0)</f>
        <v>0</v>
      </c>
      <c r="AC150" s="3" t="n">
        <f aca="false">IF(SUMPRODUCT(--ISNUMBER(SEARCH('Scoring Model'!$G$16:$G$23,K150)))&gt;0,'Scoring Model'!$B$19,0)</f>
        <v>0</v>
      </c>
      <c r="AD150" s="3" t="str">
        <f aca="false">IF(W150="Likely Spam","",SUM(X150:AC150))</f>
        <v/>
      </c>
      <c r="AE150" s="3" t="str">
        <f aca="false">IF(W150="Likely Spam","Spam",IF(AD150&gt;='Scoring Model'!$B$21,"Hot",IF(AD150&gt;='Scoring Model'!$B$22,"Warm","Nurture")))</f>
        <v>Spam</v>
      </c>
      <c r="AF150" s="3" t="str">
        <f aca="false">IF(W150="Likely Spam","Flagged by spam rules",TRIM(IF(X150&gt;=20,"Strong source. ","")&amp;IF(Y150&gt;0,"Company email. ","")&amp;IF(Z150&gt;=15,"High-value product. ","")&amp;IF(AA150&gt;='Scoring Model'!$B$15,"High engagement. ","")&amp;IF(AB150&gt;0,"Buying intent in message. ","")&amp;IF(AC150&lt;0,"Negative intent in message. ","")))</f>
        <v>Flagged by spam rules</v>
      </c>
      <c r="AG150" s="11" t="str">
        <f aca="false">IF(W150="Likely Spam","",1/(1+EXP(-('Conversion Model'!$B$5+IFERROR(INDEX('Conversion Model'!$B$8:$B$14,MATCH(C150,'Conversion Model'!$A$8:$A$14,0)),0)+IFERROR(INDEX('Conversion Model'!$E$8:$E$9,MATCH(F150,'Conversion Model'!$D$8:$D$9,0)),0)+IFERROR(INDEX('Conversion Model'!$H$8:$H$12,MATCH(IF(LEFT(J150,8)="Payments","Payments",IF(LEFT(J150,7)="Lending","Lending",J150)),'Conversion Model'!$G$8:$G$12,0)),0)+MIN(L150,15)*'Conversion Model'!$B$17+IF(SUMPRODUCT(--ISNUMBER(SEARCH('Scoring Model'!$D$16:$D$25,K150)))&gt;0,'Conversion Model'!$B$18,0)+IF(SUMPRODUCT(--ISNUMBER(SEARCH('Scoring Model'!$G$16:$G$23,K150)))&gt;0,'Conversion Model'!$B$19,0)))))</f>
        <v/>
      </c>
      <c r="AH150" s="3" t="str">
        <f aca="false">IF(OR(O150="Qualified",O150="Won",O150="Lost"),1,IF(O150="Unqualified",0,""))</f>
        <v/>
      </c>
    </row>
    <row r="151" customFormat="false" ht="15" hidden="false" customHeight="true" outlineLevel="0" collapsed="false">
      <c r="A151" s="3" t="s">
        <v>720</v>
      </c>
      <c r="B151" s="9" t="n">
        <v>46000.3680555556</v>
      </c>
      <c r="C151" s="3" t="s">
        <v>51</v>
      </c>
      <c r="D151" s="3" t="s">
        <v>248</v>
      </c>
      <c r="E151" s="3" t="s">
        <v>721</v>
      </c>
      <c r="F151" s="3" t="s">
        <v>54</v>
      </c>
      <c r="G151" s="3"/>
      <c r="H151" s="3"/>
      <c r="I151" s="3" t="s">
        <v>56</v>
      </c>
      <c r="J151" s="3" t="s">
        <v>122</v>
      </c>
      <c r="K151" s="3" t="s">
        <v>363</v>
      </c>
      <c r="L151" s="3" t="n">
        <v>2</v>
      </c>
      <c r="M151" s="3" t="n">
        <v>26.9</v>
      </c>
      <c r="N151" s="3" t="s">
        <v>67</v>
      </c>
      <c r="O151" s="3" t="s">
        <v>68</v>
      </c>
      <c r="P151" s="10"/>
      <c r="Q151" s="3" t="n">
        <f aca="false">IF(F151="Disposable",1,0)</f>
        <v>0</v>
      </c>
      <c r="R151" s="3" t="n">
        <f aca="false">IF(SUMPRODUCT(--ISNUMBER(SEARCH('Spam Rules'!$A$22:$A$35,K151)))&gt;0,1,0)</f>
        <v>1</v>
      </c>
      <c r="S151" s="3" t="n">
        <f aca="false">IF(AND(F151="Free",G151=""),1,0)</f>
        <v>1</v>
      </c>
      <c r="T151" s="3" t="n">
        <f aca="false">IF(LEN(TRIM(K151))&lt;15,1,0)</f>
        <v>0</v>
      </c>
      <c r="U151" s="3" t="n">
        <f aca="false">IF(COUNTIF($E$2:$E$801,E151)&gt;1,1,0)</f>
        <v>1</v>
      </c>
      <c r="V151" s="3" t="n">
        <f aca="false">Q151*'Spam Rules'!$H$6+R151*'Spam Rules'!$H$7+S151*'Spam Rules'!$H$8+T151*'Spam Rules'!$H$9+U151*'Spam Rules'!$H$10</f>
        <v>1</v>
      </c>
      <c r="W151" s="3" t="str">
        <f aca="false">IF(V151&gt;='Spam Rules'!$B$3,"Likely Spam","Genuine")</f>
        <v>Likely Spam</v>
      </c>
      <c r="X151" s="3" t="n">
        <f aca="false">IFERROR(INDEX('Scoring Model'!$B$5:$B$11,MATCH(C151,'Scoring Model'!$A$5:$A$11,0)),0)</f>
        <v>10</v>
      </c>
      <c r="Y151" s="3" t="n">
        <f aca="false">IFERROR(INDEX('Scoring Model'!$E$5:$E$7,MATCH(F151,'Scoring Model'!$D$5:$D$7,0)),0)</f>
        <v>0</v>
      </c>
      <c r="Z151" s="3" t="n">
        <f aca="false">IFERROR(INDEX('Scoring Model'!$H$5:$H$13,MATCH(J151,'Scoring Model'!$G$5:$G$13,0)),0)</f>
        <v>15</v>
      </c>
      <c r="AA151" s="3" t="n">
        <f aca="false">IF(L151&gt;='Scoring Model'!$B$14,'Scoring Model'!$B$15,IF(L151&gt;='Scoring Model'!$B$16,'Scoring Model'!$B$17,0))</f>
        <v>0</v>
      </c>
      <c r="AB151" s="3" t="n">
        <f aca="false">IF(SUMPRODUCT(--ISNUMBER(SEARCH('Scoring Model'!$D$16:$D$25,K151)))&gt;0,'Scoring Model'!$B$18,0)</f>
        <v>0</v>
      </c>
      <c r="AC151" s="3" t="n">
        <f aca="false">IF(SUMPRODUCT(--ISNUMBER(SEARCH('Scoring Model'!$G$16:$G$23,K151)))&gt;0,'Scoring Model'!$B$19,0)</f>
        <v>0</v>
      </c>
      <c r="AD151" s="3" t="str">
        <f aca="false">IF(W151="Likely Spam","",SUM(X151:AC151))</f>
        <v/>
      </c>
      <c r="AE151" s="3" t="str">
        <f aca="false">IF(W151="Likely Spam","Spam",IF(AD151&gt;='Scoring Model'!$B$21,"Hot",IF(AD151&gt;='Scoring Model'!$B$22,"Warm","Nurture")))</f>
        <v>Spam</v>
      </c>
      <c r="AF151" s="3" t="str">
        <f aca="false">IF(W151="Likely Spam","Flagged by spam rules",TRIM(IF(X151&gt;=20,"Strong source. ","")&amp;IF(Y151&gt;0,"Company email. ","")&amp;IF(Z151&gt;=15,"High-value product. ","")&amp;IF(AA151&gt;='Scoring Model'!$B$15,"High engagement. ","")&amp;IF(AB151&gt;0,"Buying intent in message. ","")&amp;IF(AC151&lt;0,"Negative intent in message. ","")))</f>
        <v>Flagged by spam rules</v>
      </c>
      <c r="AG151" s="11" t="str">
        <f aca="false">IF(W151="Likely Spam","",1/(1+EXP(-('Conversion Model'!$B$5+IFERROR(INDEX('Conversion Model'!$B$8:$B$14,MATCH(C151,'Conversion Model'!$A$8:$A$14,0)),0)+IFERROR(INDEX('Conversion Model'!$E$8:$E$9,MATCH(F151,'Conversion Model'!$D$8:$D$9,0)),0)+IFERROR(INDEX('Conversion Model'!$H$8:$H$12,MATCH(IF(LEFT(J151,8)="Payments","Payments",IF(LEFT(J151,7)="Lending","Lending",J151)),'Conversion Model'!$G$8:$G$12,0)),0)+MIN(L151,15)*'Conversion Model'!$B$17+IF(SUMPRODUCT(--ISNUMBER(SEARCH('Scoring Model'!$D$16:$D$25,K151)))&gt;0,'Conversion Model'!$B$18,0)+IF(SUMPRODUCT(--ISNUMBER(SEARCH('Scoring Model'!$G$16:$G$23,K151)))&gt;0,'Conversion Model'!$B$19,0)))))</f>
        <v/>
      </c>
      <c r="AH151" s="3" t="str">
        <f aca="false">IF(OR(O151="Qualified",O151="Won",O151="Lost"),1,IF(O151="Unqualified",0,""))</f>
        <v/>
      </c>
    </row>
    <row r="152" customFormat="false" ht="15" hidden="false" customHeight="true" outlineLevel="0" collapsed="false">
      <c r="A152" s="3" t="s">
        <v>722</v>
      </c>
      <c r="B152" s="9" t="n">
        <v>46000.4534722222</v>
      </c>
      <c r="C152" s="3" t="s">
        <v>135</v>
      </c>
      <c r="D152" s="3" t="s">
        <v>723</v>
      </c>
      <c r="E152" s="3" t="s">
        <v>724</v>
      </c>
      <c r="F152" s="3" t="s">
        <v>22</v>
      </c>
      <c r="G152" s="3" t="s">
        <v>725</v>
      </c>
      <c r="H152" s="3" t="s">
        <v>726</v>
      </c>
      <c r="I152" s="3" t="s">
        <v>94</v>
      </c>
      <c r="J152" s="3" t="s">
        <v>245</v>
      </c>
      <c r="K152" s="3" t="s">
        <v>727</v>
      </c>
      <c r="L152" s="3" t="n">
        <v>12</v>
      </c>
      <c r="M152" s="3" t="n">
        <v>43.1</v>
      </c>
      <c r="N152" s="3" t="s">
        <v>171</v>
      </c>
      <c r="O152" s="3" t="s">
        <v>147</v>
      </c>
      <c r="P152" s="10" t="n">
        <v>18000</v>
      </c>
      <c r="Q152" s="3" t="n">
        <f aca="false">IF(F152="Disposable",1,0)</f>
        <v>0</v>
      </c>
      <c r="R152" s="3" t="n">
        <f aca="false">IF(SUMPRODUCT(--ISNUMBER(SEARCH('Spam Rules'!$A$22:$A$35,K152)))&gt;0,1,0)</f>
        <v>0</v>
      </c>
      <c r="S152" s="3" t="n">
        <f aca="false">IF(AND(F152="Free",G152=""),1,0)</f>
        <v>0</v>
      </c>
      <c r="T152" s="3" t="n">
        <f aca="false">IF(LEN(TRIM(K152))&lt;15,1,0)</f>
        <v>0</v>
      </c>
      <c r="U152" s="3" t="n">
        <f aca="false">IF(COUNTIF($E$2:$E$801,E152)&gt;1,1,0)</f>
        <v>0</v>
      </c>
      <c r="V152" s="3" t="n">
        <f aca="false">Q152*'Spam Rules'!$H$6+R152*'Spam Rules'!$H$7+S152*'Spam Rules'!$H$8+T152*'Spam Rules'!$H$9+U152*'Spam Rules'!$H$10</f>
        <v>0</v>
      </c>
      <c r="W152" s="3" t="str">
        <f aca="false">IF(V152&gt;='Spam Rules'!$B$3,"Likely Spam","Genuine")</f>
        <v>Genuine</v>
      </c>
      <c r="X152" s="3" t="n">
        <f aca="false">IFERROR(INDEX('Scoring Model'!$B$5:$B$11,MATCH(C152,'Scoring Model'!$A$5:$A$11,0)),0)</f>
        <v>20</v>
      </c>
      <c r="Y152" s="3" t="n">
        <f aca="false">IFERROR(INDEX('Scoring Model'!$E$5:$E$7,MATCH(F152,'Scoring Model'!$D$5:$D$7,0)),0)</f>
        <v>20</v>
      </c>
      <c r="Z152" s="3" t="n">
        <f aca="false">IFERROR(INDEX('Scoring Model'!$H$5:$H$13,MATCH(J152,'Scoring Model'!$G$5:$G$13,0)),0)</f>
        <v>15</v>
      </c>
      <c r="AA152" s="3" t="n">
        <f aca="false">IF(L152&gt;='Scoring Model'!$B$14,'Scoring Model'!$B$15,IF(L152&gt;='Scoring Model'!$B$16,'Scoring Model'!$B$17,0))</f>
        <v>15</v>
      </c>
      <c r="AB152" s="3" t="n">
        <f aca="false">IF(SUMPRODUCT(--ISNUMBER(SEARCH('Scoring Model'!$D$16:$D$25,K152)))&gt;0,'Scoring Model'!$B$18,0)</f>
        <v>15</v>
      </c>
      <c r="AC152" s="3" t="n">
        <f aca="false">IF(SUMPRODUCT(--ISNUMBER(SEARCH('Scoring Model'!$G$16:$G$23,K152)))&gt;0,'Scoring Model'!$B$19,0)</f>
        <v>0</v>
      </c>
      <c r="AD152" s="3" t="n">
        <f aca="false">IF(W152="Likely Spam","",SUM(X152:AC152))</f>
        <v>85</v>
      </c>
      <c r="AE152" s="3" t="str">
        <f aca="false">IF(W152="Likely Spam","Spam",IF(AD152&gt;='Scoring Model'!$B$21,"Hot",IF(AD152&gt;='Scoring Model'!$B$22,"Warm","Nurture")))</f>
        <v>Hot</v>
      </c>
      <c r="AF152" s="3" t="str">
        <f aca="false">IF(W152="Likely Spam","Flagged by spam rules",TRIM(IF(X152&gt;=20,"Strong source. ","")&amp;IF(Y152&gt;0,"Company email. ","")&amp;IF(Z152&gt;=15,"High-value product. ","")&amp;IF(AA152&gt;='Scoring Model'!$B$15,"High engagement. ","")&amp;IF(AB152&gt;0,"Buying intent in message. ","")&amp;IF(AC152&lt;0,"Negative intent in message. ","")))</f>
        <v>Strong source. Company email. High-value product. High engagement. Buying intent in message.</v>
      </c>
      <c r="AG152" s="11" t="n">
        <f aca="false">IF(W152="Likely Spam","",1/(1+EXP(-('Conversion Model'!$B$5+IFERROR(INDEX('Conversion Model'!$B$8:$B$14,MATCH(C152,'Conversion Model'!$A$8:$A$14,0)),0)+IFERROR(INDEX('Conversion Model'!$E$8:$E$9,MATCH(F152,'Conversion Model'!$D$8:$D$9,0)),0)+IFERROR(INDEX('Conversion Model'!$H$8:$H$12,MATCH(IF(LEFT(J152,8)="Payments","Payments",IF(LEFT(J152,7)="Lending","Lending",J152)),'Conversion Model'!$G$8:$G$12,0)),0)+MIN(L152,15)*'Conversion Model'!$B$17+IF(SUMPRODUCT(--ISNUMBER(SEARCH('Scoring Model'!$D$16:$D$25,K152)))&gt;0,'Conversion Model'!$B$18,0)+IF(SUMPRODUCT(--ISNUMBER(SEARCH('Scoring Model'!$G$16:$G$23,K152)))&gt;0,'Conversion Model'!$B$19,0)))))</f>
        <v>0.999728153199489</v>
      </c>
      <c r="AH152" s="3" t="n">
        <f aca="false">IF(OR(O152="Qualified",O152="Won",O152="Lost"),1,IF(O152="Unqualified",0,""))</f>
        <v>1</v>
      </c>
    </row>
    <row r="153" customFormat="false" ht="15" hidden="false" customHeight="true" outlineLevel="0" collapsed="false">
      <c r="A153" s="3" t="s">
        <v>728</v>
      </c>
      <c r="B153" s="9" t="n">
        <v>46000.8395833333</v>
      </c>
      <c r="C153" s="3" t="s">
        <v>51</v>
      </c>
      <c r="D153" s="3" t="s">
        <v>729</v>
      </c>
      <c r="E153" s="3" t="s">
        <v>730</v>
      </c>
      <c r="F153" s="3" t="s">
        <v>22</v>
      </c>
      <c r="G153" s="3" t="s">
        <v>367</v>
      </c>
      <c r="H153" s="3" t="s">
        <v>419</v>
      </c>
      <c r="I153" s="3" t="s">
        <v>80</v>
      </c>
      <c r="J153" s="3" t="s">
        <v>145</v>
      </c>
      <c r="K153" s="3" t="s">
        <v>349</v>
      </c>
      <c r="L153" s="3" t="n">
        <v>4</v>
      </c>
      <c r="M153" s="3" t="n">
        <v>3.4</v>
      </c>
      <c r="N153" s="3" t="s">
        <v>96</v>
      </c>
      <c r="O153" s="3" t="s">
        <v>194</v>
      </c>
      <c r="P153" s="10"/>
      <c r="Q153" s="3" t="n">
        <f aca="false">IF(F153="Disposable",1,0)</f>
        <v>0</v>
      </c>
      <c r="R153" s="3" t="n">
        <f aca="false">IF(SUMPRODUCT(--ISNUMBER(SEARCH('Spam Rules'!$A$22:$A$35,K153)))&gt;0,1,0)</f>
        <v>0</v>
      </c>
      <c r="S153" s="3" t="n">
        <f aca="false">IF(AND(F153="Free",G153=""),1,0)</f>
        <v>0</v>
      </c>
      <c r="T153" s="3" t="n">
        <f aca="false">IF(LEN(TRIM(K153))&lt;15,1,0)</f>
        <v>0</v>
      </c>
      <c r="U153" s="3" t="n">
        <f aca="false">IF(COUNTIF($E$2:$E$801,E153)&gt;1,1,0)</f>
        <v>0</v>
      </c>
      <c r="V153" s="3" t="n">
        <f aca="false">Q153*'Spam Rules'!$H$6+R153*'Spam Rules'!$H$7+S153*'Spam Rules'!$H$8+T153*'Spam Rules'!$H$9+U153*'Spam Rules'!$H$10</f>
        <v>0</v>
      </c>
      <c r="W153" s="3" t="str">
        <f aca="false">IF(V153&gt;='Spam Rules'!$B$3,"Likely Spam","Genuine")</f>
        <v>Genuine</v>
      </c>
      <c r="X153" s="3" t="n">
        <f aca="false">IFERROR(INDEX('Scoring Model'!$B$5:$B$11,MATCH(C153,'Scoring Model'!$A$5:$A$11,0)),0)</f>
        <v>10</v>
      </c>
      <c r="Y153" s="3" t="n">
        <f aca="false">IFERROR(INDEX('Scoring Model'!$E$5:$E$7,MATCH(F153,'Scoring Model'!$D$5:$D$7,0)),0)</f>
        <v>20</v>
      </c>
      <c r="Z153" s="3" t="n">
        <f aca="false">IFERROR(INDEX('Scoring Model'!$H$5:$H$13,MATCH(J153,'Scoring Model'!$G$5:$G$13,0)),0)</f>
        <v>5</v>
      </c>
      <c r="AA153" s="3" t="n">
        <f aca="false">IF(L153&gt;='Scoring Model'!$B$14,'Scoring Model'!$B$15,IF(L153&gt;='Scoring Model'!$B$16,'Scoring Model'!$B$17,0))</f>
        <v>8</v>
      </c>
      <c r="AB153" s="3" t="n">
        <f aca="false">IF(SUMPRODUCT(--ISNUMBER(SEARCH('Scoring Model'!$D$16:$D$25,K153)))&gt;0,'Scoring Model'!$B$18,0)</f>
        <v>0</v>
      </c>
      <c r="AC153" s="3" t="n">
        <f aca="false">IF(SUMPRODUCT(--ISNUMBER(SEARCH('Scoring Model'!$G$16:$G$23,K153)))&gt;0,'Scoring Model'!$B$19,0)</f>
        <v>-30</v>
      </c>
      <c r="AD153" s="3" t="n">
        <f aca="false">IF(W153="Likely Spam","",SUM(X153:AC153))</f>
        <v>13</v>
      </c>
      <c r="AE153" s="3" t="str">
        <f aca="false">IF(W153="Likely Spam","Spam",IF(AD153&gt;='Scoring Model'!$B$21,"Hot",IF(AD153&gt;='Scoring Model'!$B$22,"Warm","Nurture")))</f>
        <v>Nurture</v>
      </c>
      <c r="AF153" s="3" t="str">
        <f aca="false">IF(W153="Likely Spam","Flagged by spam rules",TRIM(IF(X153&gt;=20,"Strong source. ","")&amp;IF(Y153&gt;0,"Company email. ","")&amp;IF(Z153&gt;=15,"High-value product. ","")&amp;IF(AA153&gt;='Scoring Model'!$B$15,"High engagement. ","")&amp;IF(AB153&gt;0,"Buying intent in message. ","")&amp;IF(AC153&lt;0,"Negative intent in message. ","")))</f>
        <v>Company email. Negative intent in message.</v>
      </c>
      <c r="AG153" s="11" t="n">
        <f aca="false">IF(W153="Likely Spam","",1/(1+EXP(-('Conversion Model'!$B$5+IFERROR(INDEX('Conversion Model'!$B$8:$B$14,MATCH(C153,'Conversion Model'!$A$8:$A$14,0)),0)+IFERROR(INDEX('Conversion Model'!$E$8:$E$9,MATCH(F153,'Conversion Model'!$D$8:$D$9,0)),0)+IFERROR(INDEX('Conversion Model'!$H$8:$H$12,MATCH(IF(LEFT(J153,8)="Payments","Payments",IF(LEFT(J153,7)="Lending","Lending",J153)),'Conversion Model'!$G$8:$G$12,0)),0)+MIN(L153,15)*'Conversion Model'!$B$17+IF(SUMPRODUCT(--ISNUMBER(SEARCH('Scoring Model'!$D$16:$D$25,K153)))&gt;0,'Conversion Model'!$B$18,0)+IF(SUMPRODUCT(--ISNUMBER(SEARCH('Scoring Model'!$G$16:$G$23,K153)))&gt;0,'Conversion Model'!$B$19,0)))))</f>
        <v>0.0334720323612956</v>
      </c>
      <c r="AH153" s="3" t="n">
        <f aca="false">IF(OR(O153="Qualified",O153="Won",O153="Lost"),1,IF(O153="Unqualified",0,""))</f>
        <v>0</v>
      </c>
    </row>
    <row r="154" customFormat="false" ht="15" hidden="false" customHeight="true" outlineLevel="0" collapsed="false">
      <c r="A154" s="3" t="s">
        <v>731</v>
      </c>
      <c r="B154" s="9" t="n">
        <v>46001.0819444444</v>
      </c>
      <c r="C154" s="3" t="s">
        <v>91</v>
      </c>
      <c r="D154" s="3" t="s">
        <v>732</v>
      </c>
      <c r="E154" s="3" t="s">
        <v>733</v>
      </c>
      <c r="F154" s="3" t="s">
        <v>54</v>
      </c>
      <c r="G154" s="3" t="s">
        <v>79</v>
      </c>
      <c r="H154" s="3"/>
      <c r="I154" s="3" t="s">
        <v>94</v>
      </c>
      <c r="J154" s="3" t="s">
        <v>81</v>
      </c>
      <c r="K154" s="3" t="s">
        <v>126</v>
      </c>
      <c r="L154" s="3" t="n">
        <v>2</v>
      </c>
      <c r="M154" s="3" t="n">
        <v>4.8</v>
      </c>
      <c r="N154" s="3" t="s">
        <v>67</v>
      </c>
      <c r="O154" s="3" t="s">
        <v>68</v>
      </c>
      <c r="P154" s="10"/>
      <c r="Q154" s="3" t="n">
        <f aca="false">IF(F154="Disposable",1,0)</f>
        <v>0</v>
      </c>
      <c r="R154" s="3" t="n">
        <f aca="false">IF(SUMPRODUCT(--ISNUMBER(SEARCH('Spam Rules'!$A$22:$A$35,K154)))&gt;0,1,0)</f>
        <v>0</v>
      </c>
      <c r="S154" s="3" t="n">
        <f aca="false">IF(AND(F154="Free",G154=""),1,0)</f>
        <v>0</v>
      </c>
      <c r="T154" s="3" t="n">
        <f aca="false">IF(LEN(TRIM(K154))&lt;15,1,0)</f>
        <v>1</v>
      </c>
      <c r="U154" s="3" t="n">
        <f aca="false">IF(COUNTIF($E$2:$E$801,E154)&gt;1,1,0)</f>
        <v>1</v>
      </c>
      <c r="V154" s="3" t="n">
        <f aca="false">Q154*'Spam Rules'!$H$6+R154*'Spam Rules'!$H$7+S154*'Spam Rules'!$H$8+T154*'Spam Rules'!$H$9+U154*'Spam Rules'!$H$10</f>
        <v>1</v>
      </c>
      <c r="W154" s="3" t="str">
        <f aca="false">IF(V154&gt;='Spam Rules'!$B$3,"Likely Spam","Genuine")</f>
        <v>Likely Spam</v>
      </c>
      <c r="X154" s="3" t="n">
        <f aca="false">IFERROR(INDEX('Scoring Model'!$B$5:$B$11,MATCH(C154,'Scoring Model'!$A$5:$A$11,0)),0)</f>
        <v>5</v>
      </c>
      <c r="Y154" s="3" t="n">
        <f aca="false">IFERROR(INDEX('Scoring Model'!$E$5:$E$7,MATCH(F154,'Scoring Model'!$D$5:$D$7,0)),0)</f>
        <v>0</v>
      </c>
      <c r="Z154" s="3" t="n">
        <f aca="false">IFERROR(INDEX('Scoring Model'!$H$5:$H$13,MATCH(J154,'Scoring Model'!$G$5:$G$13,0)),0)</f>
        <v>5</v>
      </c>
      <c r="AA154" s="3" t="n">
        <f aca="false">IF(L154&gt;='Scoring Model'!$B$14,'Scoring Model'!$B$15,IF(L154&gt;='Scoring Model'!$B$16,'Scoring Model'!$B$17,0))</f>
        <v>0</v>
      </c>
      <c r="AB154" s="3" t="n">
        <f aca="false">IF(SUMPRODUCT(--ISNUMBER(SEARCH('Scoring Model'!$D$16:$D$25,K154)))&gt;0,'Scoring Model'!$B$18,0)</f>
        <v>0</v>
      </c>
      <c r="AC154" s="3" t="n">
        <f aca="false">IF(SUMPRODUCT(--ISNUMBER(SEARCH('Scoring Model'!$G$16:$G$23,K154)))&gt;0,'Scoring Model'!$B$19,0)</f>
        <v>0</v>
      </c>
      <c r="AD154" s="3" t="str">
        <f aca="false">IF(W154="Likely Spam","",SUM(X154:AC154))</f>
        <v/>
      </c>
      <c r="AE154" s="3" t="str">
        <f aca="false">IF(W154="Likely Spam","Spam",IF(AD154&gt;='Scoring Model'!$B$21,"Hot",IF(AD154&gt;='Scoring Model'!$B$22,"Warm","Nurture")))</f>
        <v>Spam</v>
      </c>
      <c r="AF154" s="3" t="str">
        <f aca="false">IF(W154="Likely Spam","Flagged by spam rules",TRIM(IF(X154&gt;=20,"Strong source. ","")&amp;IF(Y154&gt;0,"Company email. ","")&amp;IF(Z154&gt;=15,"High-value product. ","")&amp;IF(AA154&gt;='Scoring Model'!$B$15,"High engagement. ","")&amp;IF(AB154&gt;0,"Buying intent in message. ","")&amp;IF(AC154&lt;0,"Negative intent in message. ","")))</f>
        <v>Flagged by spam rules</v>
      </c>
      <c r="AG154" s="11" t="str">
        <f aca="false">IF(W154="Likely Spam","",1/(1+EXP(-('Conversion Model'!$B$5+IFERROR(INDEX('Conversion Model'!$B$8:$B$14,MATCH(C154,'Conversion Model'!$A$8:$A$14,0)),0)+IFERROR(INDEX('Conversion Model'!$E$8:$E$9,MATCH(F154,'Conversion Model'!$D$8:$D$9,0)),0)+IFERROR(INDEX('Conversion Model'!$H$8:$H$12,MATCH(IF(LEFT(J154,8)="Payments","Payments",IF(LEFT(J154,7)="Lending","Lending",J154)),'Conversion Model'!$G$8:$G$12,0)),0)+MIN(L154,15)*'Conversion Model'!$B$17+IF(SUMPRODUCT(--ISNUMBER(SEARCH('Scoring Model'!$D$16:$D$25,K154)))&gt;0,'Conversion Model'!$B$18,0)+IF(SUMPRODUCT(--ISNUMBER(SEARCH('Scoring Model'!$G$16:$G$23,K154)))&gt;0,'Conversion Model'!$B$19,0)))))</f>
        <v/>
      </c>
      <c r="AH154" s="3" t="str">
        <f aca="false">IF(OR(O154="Qualified",O154="Won",O154="Lost"),1,IF(O154="Unqualified",0,""))</f>
        <v/>
      </c>
    </row>
    <row r="155" customFormat="false" ht="15" hidden="false" customHeight="true" outlineLevel="0" collapsed="false">
      <c r="A155" s="3" t="s">
        <v>734</v>
      </c>
      <c r="B155" s="9" t="n">
        <v>46002.6847222222</v>
      </c>
      <c r="C155" s="3" t="s">
        <v>51</v>
      </c>
      <c r="D155" s="3" t="s">
        <v>735</v>
      </c>
      <c r="E155" s="3" t="s">
        <v>736</v>
      </c>
      <c r="F155" s="3" t="s">
        <v>22</v>
      </c>
      <c r="G155" s="3" t="s">
        <v>737</v>
      </c>
      <c r="H155" s="3" t="s">
        <v>738</v>
      </c>
      <c r="I155" s="3" t="s">
        <v>64</v>
      </c>
      <c r="J155" s="3" t="s">
        <v>245</v>
      </c>
      <c r="K155" s="3" t="s">
        <v>58</v>
      </c>
      <c r="L155" s="3" t="n">
        <v>10</v>
      </c>
      <c r="M155" s="3" t="n">
        <v>13.6</v>
      </c>
      <c r="N155" s="3" t="s">
        <v>171</v>
      </c>
      <c r="O155" s="3"/>
      <c r="P155" s="10"/>
      <c r="Q155" s="3" t="n">
        <f aca="false">IF(F155="Disposable",1,0)</f>
        <v>0</v>
      </c>
      <c r="R155" s="3" t="n">
        <f aca="false">IF(SUMPRODUCT(--ISNUMBER(SEARCH('Spam Rules'!$A$22:$A$35,K155)))&gt;0,1,0)</f>
        <v>0</v>
      </c>
      <c r="S155" s="3" t="n">
        <f aca="false">IF(AND(F155="Free",G155=""),1,0)</f>
        <v>0</v>
      </c>
      <c r="T155" s="3" t="n">
        <f aca="false">IF(LEN(TRIM(K155))&lt;15,1,0)</f>
        <v>0</v>
      </c>
      <c r="U155" s="3" t="n">
        <f aca="false">IF(COUNTIF($E$2:$E$801,E155)&gt;1,1,0)</f>
        <v>0</v>
      </c>
      <c r="V155" s="3" t="n">
        <f aca="false">Q155*'Spam Rules'!$H$6+R155*'Spam Rules'!$H$7+S155*'Spam Rules'!$H$8+T155*'Spam Rules'!$H$9+U155*'Spam Rules'!$H$10</f>
        <v>0</v>
      </c>
      <c r="W155" s="3" t="str">
        <f aca="false">IF(V155&gt;='Spam Rules'!$B$3,"Likely Spam","Genuine")</f>
        <v>Genuine</v>
      </c>
      <c r="X155" s="3" t="n">
        <f aca="false">IFERROR(INDEX('Scoring Model'!$B$5:$B$11,MATCH(C155,'Scoring Model'!$A$5:$A$11,0)),0)</f>
        <v>10</v>
      </c>
      <c r="Y155" s="3" t="n">
        <f aca="false">IFERROR(INDEX('Scoring Model'!$E$5:$E$7,MATCH(F155,'Scoring Model'!$D$5:$D$7,0)),0)</f>
        <v>20</v>
      </c>
      <c r="Z155" s="3" t="n">
        <f aca="false">IFERROR(INDEX('Scoring Model'!$H$5:$H$13,MATCH(J155,'Scoring Model'!$G$5:$G$13,0)),0)</f>
        <v>15</v>
      </c>
      <c r="AA155" s="3" t="n">
        <f aca="false">IF(L155&gt;='Scoring Model'!$B$14,'Scoring Model'!$B$15,IF(L155&gt;='Scoring Model'!$B$16,'Scoring Model'!$B$17,0))</f>
        <v>15</v>
      </c>
      <c r="AB155" s="3" t="n">
        <f aca="false">IF(SUMPRODUCT(--ISNUMBER(SEARCH('Scoring Model'!$D$16:$D$25,K155)))&gt;0,'Scoring Model'!$B$18,0)</f>
        <v>15</v>
      </c>
      <c r="AC155" s="3" t="n">
        <f aca="false">IF(SUMPRODUCT(--ISNUMBER(SEARCH('Scoring Model'!$G$16:$G$23,K155)))&gt;0,'Scoring Model'!$B$19,0)</f>
        <v>0</v>
      </c>
      <c r="AD155" s="3" t="n">
        <f aca="false">IF(W155="Likely Spam","",SUM(X155:AC155))</f>
        <v>75</v>
      </c>
      <c r="AE155" s="3" t="str">
        <f aca="false">IF(W155="Likely Spam","Spam",IF(AD155&gt;='Scoring Model'!$B$21,"Hot",IF(AD155&gt;='Scoring Model'!$B$22,"Warm","Nurture")))</f>
        <v>Hot</v>
      </c>
      <c r="AF155" s="3" t="str">
        <f aca="false">IF(W155="Likely Spam","Flagged by spam rules",TRIM(IF(X155&gt;=20,"Strong source. ","")&amp;IF(Y155&gt;0,"Company email. ","")&amp;IF(Z155&gt;=15,"High-value product. ","")&amp;IF(AA155&gt;='Scoring Model'!$B$15,"High engagement. ","")&amp;IF(AB155&gt;0,"Buying intent in message. ","")&amp;IF(AC155&lt;0,"Negative intent in message. ","")))</f>
        <v>Company email. High-value product. High engagement. Buying intent in message.</v>
      </c>
      <c r="AG155" s="11" t="n">
        <f aca="false">IF(W155="Likely Spam","",1/(1+EXP(-('Conversion Model'!$B$5+IFERROR(INDEX('Conversion Model'!$B$8:$B$14,MATCH(C155,'Conversion Model'!$A$8:$A$14,0)),0)+IFERROR(INDEX('Conversion Model'!$E$8:$E$9,MATCH(F155,'Conversion Model'!$D$8:$D$9,0)),0)+IFERROR(INDEX('Conversion Model'!$H$8:$H$12,MATCH(IF(LEFT(J155,8)="Payments","Payments",IF(LEFT(J155,7)="Lending","Lending",J155)),'Conversion Model'!$G$8:$G$12,0)),0)+MIN(L155,15)*'Conversion Model'!$B$17+IF(SUMPRODUCT(--ISNUMBER(SEARCH('Scoring Model'!$D$16:$D$25,K155)))&gt;0,'Conversion Model'!$B$18,0)+IF(SUMPRODUCT(--ISNUMBER(SEARCH('Scoring Model'!$G$16:$G$23,K155)))&gt;0,'Conversion Model'!$B$19,0)))))</f>
        <v>0.996763432152163</v>
      </c>
      <c r="AH155" s="3" t="str">
        <f aca="false">IF(OR(O155="Qualified",O155="Won",O155="Lost"),1,IF(O155="Unqualified",0,""))</f>
        <v/>
      </c>
    </row>
    <row r="156" customFormat="false" ht="15" hidden="false" customHeight="true" outlineLevel="0" collapsed="false">
      <c r="A156" s="3" t="s">
        <v>739</v>
      </c>
      <c r="B156" s="9" t="n">
        <v>46002.8506944445</v>
      </c>
      <c r="C156" s="3" t="s">
        <v>128</v>
      </c>
      <c r="D156" s="3" t="s">
        <v>740</v>
      </c>
      <c r="E156" s="3" t="s">
        <v>741</v>
      </c>
      <c r="F156" s="3" t="s">
        <v>22</v>
      </c>
      <c r="G156" s="3" t="s">
        <v>742</v>
      </c>
      <c r="H156" s="3" t="s">
        <v>743</v>
      </c>
      <c r="I156" s="3" t="s">
        <v>116</v>
      </c>
      <c r="J156" s="3" t="s">
        <v>145</v>
      </c>
      <c r="K156" s="3" t="s">
        <v>58</v>
      </c>
      <c r="L156" s="3" t="n">
        <v>4</v>
      </c>
      <c r="M156" s="3" t="n">
        <v>33.1</v>
      </c>
      <c r="N156" s="3" t="s">
        <v>96</v>
      </c>
      <c r="O156" s="3" t="s">
        <v>110</v>
      </c>
      <c r="P156" s="10"/>
      <c r="Q156" s="3" t="n">
        <f aca="false">IF(F156="Disposable",1,0)</f>
        <v>0</v>
      </c>
      <c r="R156" s="3" t="n">
        <f aca="false">IF(SUMPRODUCT(--ISNUMBER(SEARCH('Spam Rules'!$A$22:$A$35,K156)))&gt;0,1,0)</f>
        <v>0</v>
      </c>
      <c r="S156" s="3" t="n">
        <f aca="false">IF(AND(F156="Free",G156=""),1,0)</f>
        <v>0</v>
      </c>
      <c r="T156" s="3" t="n">
        <f aca="false">IF(LEN(TRIM(K156))&lt;15,1,0)</f>
        <v>0</v>
      </c>
      <c r="U156" s="3" t="n">
        <f aca="false">IF(COUNTIF($E$2:$E$801,E156)&gt;1,1,0)</f>
        <v>0</v>
      </c>
      <c r="V156" s="3" t="n">
        <f aca="false">Q156*'Spam Rules'!$H$6+R156*'Spam Rules'!$H$7+S156*'Spam Rules'!$H$8+T156*'Spam Rules'!$H$9+U156*'Spam Rules'!$H$10</f>
        <v>0</v>
      </c>
      <c r="W156" s="3" t="str">
        <f aca="false">IF(V156&gt;='Spam Rules'!$B$3,"Likely Spam","Genuine")</f>
        <v>Genuine</v>
      </c>
      <c r="X156" s="3" t="n">
        <f aca="false">IFERROR(INDEX('Scoring Model'!$B$5:$B$11,MATCH(C156,'Scoring Model'!$A$5:$A$11,0)),0)</f>
        <v>30</v>
      </c>
      <c r="Y156" s="3" t="n">
        <f aca="false">IFERROR(INDEX('Scoring Model'!$E$5:$E$7,MATCH(F156,'Scoring Model'!$D$5:$D$7,0)),0)</f>
        <v>20</v>
      </c>
      <c r="Z156" s="3" t="n">
        <f aca="false">IFERROR(INDEX('Scoring Model'!$H$5:$H$13,MATCH(J156,'Scoring Model'!$G$5:$G$13,0)),0)</f>
        <v>5</v>
      </c>
      <c r="AA156" s="3" t="n">
        <f aca="false">IF(L156&gt;='Scoring Model'!$B$14,'Scoring Model'!$B$15,IF(L156&gt;='Scoring Model'!$B$16,'Scoring Model'!$B$17,0))</f>
        <v>8</v>
      </c>
      <c r="AB156" s="3" t="n">
        <f aca="false">IF(SUMPRODUCT(--ISNUMBER(SEARCH('Scoring Model'!$D$16:$D$25,K156)))&gt;0,'Scoring Model'!$B$18,0)</f>
        <v>15</v>
      </c>
      <c r="AC156" s="3" t="n">
        <f aca="false">IF(SUMPRODUCT(--ISNUMBER(SEARCH('Scoring Model'!$G$16:$G$23,K156)))&gt;0,'Scoring Model'!$B$19,0)</f>
        <v>0</v>
      </c>
      <c r="AD156" s="3" t="n">
        <f aca="false">IF(W156="Likely Spam","",SUM(X156:AC156))</f>
        <v>78</v>
      </c>
      <c r="AE156" s="3" t="str">
        <f aca="false">IF(W156="Likely Spam","Spam",IF(AD156&gt;='Scoring Model'!$B$21,"Hot",IF(AD156&gt;='Scoring Model'!$B$22,"Warm","Nurture")))</f>
        <v>Hot</v>
      </c>
      <c r="AF156" s="3" t="str">
        <f aca="false">IF(W156="Likely Spam","Flagged by spam rules",TRIM(IF(X156&gt;=20,"Strong source. ","")&amp;IF(Y156&gt;0,"Company email. ","")&amp;IF(Z156&gt;=15,"High-value product. ","")&amp;IF(AA156&gt;='Scoring Model'!$B$15,"High engagement. ","")&amp;IF(AB156&gt;0,"Buying intent in message. ","")&amp;IF(AC156&lt;0,"Negative intent in message. ","")))</f>
        <v>Strong source. Company email. Buying intent in message.</v>
      </c>
      <c r="AG156" s="11" t="n">
        <f aca="false">IF(W156="Likely Spam","",1/(1+EXP(-('Conversion Model'!$B$5+IFERROR(INDEX('Conversion Model'!$B$8:$B$14,MATCH(C156,'Conversion Model'!$A$8:$A$14,0)),0)+IFERROR(INDEX('Conversion Model'!$E$8:$E$9,MATCH(F156,'Conversion Model'!$D$8:$D$9,0)),0)+IFERROR(INDEX('Conversion Model'!$H$8:$H$12,MATCH(IF(LEFT(J156,8)="Payments","Payments",IF(LEFT(J156,7)="Lending","Lending",J156)),'Conversion Model'!$G$8:$G$12,0)),0)+MIN(L156,15)*'Conversion Model'!$B$17+IF(SUMPRODUCT(--ISNUMBER(SEARCH('Scoring Model'!$D$16:$D$25,K156)))&gt;0,'Conversion Model'!$B$18,0)+IF(SUMPRODUCT(--ISNUMBER(SEARCH('Scoring Model'!$G$16:$G$23,K156)))&gt;0,'Conversion Model'!$B$19,0)))))</f>
        <v>0.7928186483122</v>
      </c>
      <c r="AH156" s="3" t="n">
        <f aca="false">IF(OR(O156="Qualified",O156="Won",O156="Lost"),1,IF(O156="Unqualified",0,""))</f>
        <v>1</v>
      </c>
    </row>
    <row r="157" customFormat="false" ht="15" hidden="false" customHeight="true" outlineLevel="0" collapsed="false">
      <c r="A157" s="3" t="s">
        <v>744</v>
      </c>
      <c r="B157" s="9" t="n">
        <v>46003.0888888889</v>
      </c>
      <c r="C157" s="3" t="s">
        <v>112</v>
      </c>
      <c r="D157" s="3" t="s">
        <v>745</v>
      </c>
      <c r="E157" s="3" t="s">
        <v>746</v>
      </c>
      <c r="F157" s="3" t="s">
        <v>22</v>
      </c>
      <c r="G157" s="3" t="s">
        <v>747</v>
      </c>
      <c r="H157" s="3" t="s">
        <v>748</v>
      </c>
      <c r="I157" s="3" t="s">
        <v>204</v>
      </c>
      <c r="J157" s="3" t="s">
        <v>65</v>
      </c>
      <c r="K157" s="3" t="s">
        <v>213</v>
      </c>
      <c r="L157" s="3" t="n">
        <v>3</v>
      </c>
      <c r="M157" s="3" t="n">
        <v>4.1</v>
      </c>
      <c r="N157" s="3" t="s">
        <v>67</v>
      </c>
      <c r="O157" s="3"/>
      <c r="P157" s="10"/>
      <c r="Q157" s="3" t="n">
        <f aca="false">IF(F157="Disposable",1,0)</f>
        <v>0</v>
      </c>
      <c r="R157" s="3" t="n">
        <f aca="false">IF(SUMPRODUCT(--ISNUMBER(SEARCH('Spam Rules'!$A$22:$A$35,K157)))&gt;0,1,0)</f>
        <v>0</v>
      </c>
      <c r="S157" s="3" t="n">
        <f aca="false">IF(AND(F157="Free",G157=""),1,0)</f>
        <v>0</v>
      </c>
      <c r="T157" s="3" t="n">
        <f aca="false">IF(LEN(TRIM(K157))&lt;15,1,0)</f>
        <v>0</v>
      </c>
      <c r="U157" s="3" t="n">
        <f aca="false">IF(COUNTIF($E$2:$E$801,E157)&gt;1,1,0)</f>
        <v>0</v>
      </c>
      <c r="V157" s="3" t="n">
        <f aca="false">Q157*'Spam Rules'!$H$6+R157*'Spam Rules'!$H$7+S157*'Spam Rules'!$H$8+T157*'Spam Rules'!$H$9+U157*'Spam Rules'!$H$10</f>
        <v>0</v>
      </c>
      <c r="W157" s="3" t="str">
        <f aca="false">IF(V157&gt;='Spam Rules'!$B$3,"Likely Spam","Genuine")</f>
        <v>Genuine</v>
      </c>
      <c r="X157" s="3" t="n">
        <f aca="false">IFERROR(INDEX('Scoring Model'!$B$5:$B$11,MATCH(C157,'Scoring Model'!$A$5:$A$11,0)),0)</f>
        <v>15</v>
      </c>
      <c r="Y157" s="3" t="n">
        <f aca="false">IFERROR(INDEX('Scoring Model'!$E$5:$E$7,MATCH(F157,'Scoring Model'!$D$5:$D$7,0)),0)</f>
        <v>20</v>
      </c>
      <c r="Z157" s="3" t="n">
        <f aca="false">IFERROR(INDEX('Scoring Model'!$H$5:$H$13,MATCH(J157,'Scoring Model'!$G$5:$G$13,0)),0)</f>
        <v>0</v>
      </c>
      <c r="AA157" s="3" t="n">
        <f aca="false">IF(L157&gt;='Scoring Model'!$B$14,'Scoring Model'!$B$15,IF(L157&gt;='Scoring Model'!$B$16,'Scoring Model'!$B$17,0))</f>
        <v>0</v>
      </c>
      <c r="AB157" s="3" t="n">
        <f aca="false">IF(SUMPRODUCT(--ISNUMBER(SEARCH('Scoring Model'!$D$16:$D$25,K157)))&gt;0,'Scoring Model'!$B$18,0)</f>
        <v>0</v>
      </c>
      <c r="AC157" s="3" t="n">
        <f aca="false">IF(SUMPRODUCT(--ISNUMBER(SEARCH('Scoring Model'!$G$16:$G$23,K157)))&gt;0,'Scoring Model'!$B$19,0)</f>
        <v>-30</v>
      </c>
      <c r="AD157" s="3" t="n">
        <f aca="false">IF(W157="Likely Spam","",SUM(X157:AC157))</f>
        <v>5</v>
      </c>
      <c r="AE157" s="3" t="str">
        <f aca="false">IF(W157="Likely Spam","Spam",IF(AD157&gt;='Scoring Model'!$B$21,"Hot",IF(AD157&gt;='Scoring Model'!$B$22,"Warm","Nurture")))</f>
        <v>Nurture</v>
      </c>
      <c r="AF157" s="3" t="str">
        <f aca="false">IF(W157="Likely Spam","Flagged by spam rules",TRIM(IF(X157&gt;=20,"Strong source. ","")&amp;IF(Y157&gt;0,"Company email. ","")&amp;IF(Z157&gt;=15,"High-value product. ","")&amp;IF(AA157&gt;='Scoring Model'!$B$15,"High engagement. ","")&amp;IF(AB157&gt;0,"Buying intent in message. ","")&amp;IF(AC157&lt;0,"Negative intent in message. ","")))</f>
        <v>Company email. Negative intent in message.</v>
      </c>
      <c r="AG157" s="11" t="n">
        <f aca="false">IF(W157="Likely Spam","",1/(1+EXP(-('Conversion Model'!$B$5+IFERROR(INDEX('Conversion Model'!$B$8:$B$14,MATCH(C157,'Conversion Model'!$A$8:$A$14,0)),0)+IFERROR(INDEX('Conversion Model'!$E$8:$E$9,MATCH(F157,'Conversion Model'!$D$8:$D$9,0)),0)+IFERROR(INDEX('Conversion Model'!$H$8:$H$12,MATCH(IF(LEFT(J157,8)="Payments","Payments",IF(LEFT(J157,7)="Lending","Lending",J157)),'Conversion Model'!$G$8:$G$12,0)),0)+MIN(L157,15)*'Conversion Model'!$B$17+IF(SUMPRODUCT(--ISNUMBER(SEARCH('Scoring Model'!$D$16:$D$25,K157)))&gt;0,'Conversion Model'!$B$18,0)+IF(SUMPRODUCT(--ISNUMBER(SEARCH('Scoring Model'!$G$16:$G$23,K157)))&gt;0,'Conversion Model'!$B$19,0)))))</f>
        <v>0.0113626041686244</v>
      </c>
      <c r="AH157" s="3" t="str">
        <f aca="false">IF(OR(O157="Qualified",O157="Won",O157="Lost"),1,IF(O157="Unqualified",0,""))</f>
        <v/>
      </c>
    </row>
    <row r="158" customFormat="false" ht="15" hidden="false" customHeight="true" outlineLevel="0" collapsed="false">
      <c r="A158" s="3" t="s">
        <v>749</v>
      </c>
      <c r="B158" s="9" t="n">
        <v>46004.1145833333</v>
      </c>
      <c r="C158" s="3" t="s">
        <v>112</v>
      </c>
      <c r="D158" s="3" t="s">
        <v>750</v>
      </c>
      <c r="E158" s="3" t="s">
        <v>751</v>
      </c>
      <c r="F158" s="3" t="s">
        <v>54</v>
      </c>
      <c r="G158" s="3"/>
      <c r="H158" s="3"/>
      <c r="I158" s="3" t="s">
        <v>64</v>
      </c>
      <c r="J158" s="3" t="s">
        <v>65</v>
      </c>
      <c r="K158" s="3" t="s">
        <v>74</v>
      </c>
      <c r="L158" s="3" t="n">
        <v>1</v>
      </c>
      <c r="M158" s="3" t="n">
        <v>2</v>
      </c>
      <c r="N158" s="3" t="s">
        <v>59</v>
      </c>
      <c r="O158" s="3"/>
      <c r="P158" s="10"/>
      <c r="Q158" s="3" t="n">
        <f aca="false">IF(F158="Disposable",1,0)</f>
        <v>0</v>
      </c>
      <c r="R158" s="3" t="n">
        <f aca="false">IF(SUMPRODUCT(--ISNUMBER(SEARCH('Spam Rules'!$A$22:$A$35,K158)))&gt;0,1,0)</f>
        <v>0</v>
      </c>
      <c r="S158" s="3" t="n">
        <f aca="false">IF(AND(F158="Free",G158=""),1,0)</f>
        <v>1</v>
      </c>
      <c r="T158" s="3" t="n">
        <f aca="false">IF(LEN(TRIM(K158))&lt;15,1,0)</f>
        <v>0</v>
      </c>
      <c r="U158" s="3" t="n">
        <f aca="false">IF(COUNTIF($E$2:$E$801,E158)&gt;1,1,0)</f>
        <v>0</v>
      </c>
      <c r="V158" s="3" t="n">
        <f aca="false">Q158*'Spam Rules'!$H$6+R158*'Spam Rules'!$H$7+S158*'Spam Rules'!$H$8+T158*'Spam Rules'!$H$9+U158*'Spam Rules'!$H$10</f>
        <v>0</v>
      </c>
      <c r="W158" s="3" t="str">
        <f aca="false">IF(V158&gt;='Spam Rules'!$B$3,"Likely Spam","Genuine")</f>
        <v>Genuine</v>
      </c>
      <c r="X158" s="3" t="n">
        <f aca="false">IFERROR(INDEX('Scoring Model'!$B$5:$B$11,MATCH(C158,'Scoring Model'!$A$5:$A$11,0)),0)</f>
        <v>15</v>
      </c>
      <c r="Y158" s="3" t="n">
        <f aca="false">IFERROR(INDEX('Scoring Model'!$E$5:$E$7,MATCH(F158,'Scoring Model'!$D$5:$D$7,0)),0)</f>
        <v>0</v>
      </c>
      <c r="Z158" s="3" t="n">
        <f aca="false">IFERROR(INDEX('Scoring Model'!$H$5:$H$13,MATCH(J158,'Scoring Model'!$G$5:$G$13,0)),0)</f>
        <v>0</v>
      </c>
      <c r="AA158" s="3" t="n">
        <f aca="false">IF(L158&gt;='Scoring Model'!$B$14,'Scoring Model'!$B$15,IF(L158&gt;='Scoring Model'!$B$16,'Scoring Model'!$B$17,0))</f>
        <v>0</v>
      </c>
      <c r="AB158" s="3" t="n">
        <f aca="false">IF(SUMPRODUCT(--ISNUMBER(SEARCH('Scoring Model'!$D$16:$D$25,K158)))&gt;0,'Scoring Model'!$B$18,0)</f>
        <v>0</v>
      </c>
      <c r="AC158" s="3" t="n">
        <f aca="false">IF(SUMPRODUCT(--ISNUMBER(SEARCH('Scoring Model'!$G$16:$G$23,K158)))&gt;0,'Scoring Model'!$B$19,0)</f>
        <v>-30</v>
      </c>
      <c r="AD158" s="3" t="n">
        <f aca="false">IF(W158="Likely Spam","",SUM(X158:AC158))</f>
        <v>-15</v>
      </c>
      <c r="AE158" s="3" t="str">
        <f aca="false">IF(W158="Likely Spam","Spam",IF(AD158&gt;='Scoring Model'!$B$21,"Hot",IF(AD158&gt;='Scoring Model'!$B$22,"Warm","Nurture")))</f>
        <v>Nurture</v>
      </c>
      <c r="AF158" s="3" t="str">
        <f aca="false">IF(W158="Likely Spam","Flagged by spam rules",TRIM(IF(X158&gt;=20,"Strong source. ","")&amp;IF(Y158&gt;0,"Company email. ","")&amp;IF(Z158&gt;=15,"High-value product. ","")&amp;IF(AA158&gt;='Scoring Model'!$B$15,"High engagement. ","")&amp;IF(AB158&gt;0,"Buying intent in message. ","")&amp;IF(AC158&lt;0,"Negative intent in message. ","")))</f>
        <v>Negative intent in message.</v>
      </c>
      <c r="AG158" s="11" t="n">
        <f aca="false">IF(W158="Likely Spam","",1/(1+EXP(-('Conversion Model'!$B$5+IFERROR(INDEX('Conversion Model'!$B$8:$B$14,MATCH(C158,'Conversion Model'!$A$8:$A$14,0)),0)+IFERROR(INDEX('Conversion Model'!$E$8:$E$9,MATCH(F158,'Conversion Model'!$D$8:$D$9,0)),0)+IFERROR(INDEX('Conversion Model'!$H$8:$H$12,MATCH(IF(LEFT(J158,8)="Payments","Payments",IF(LEFT(J158,7)="Lending","Lending",J158)),'Conversion Model'!$G$8:$G$12,0)),0)+MIN(L158,15)*'Conversion Model'!$B$17+IF(SUMPRODUCT(--ISNUMBER(SEARCH('Scoring Model'!$D$16:$D$25,K158)))&gt;0,'Conversion Model'!$B$18,0)+IF(SUMPRODUCT(--ISNUMBER(SEARCH('Scoring Model'!$G$16:$G$23,K158)))&gt;0,'Conversion Model'!$B$19,0)))))</f>
        <v>0.000956760729954791</v>
      </c>
      <c r="AH158" s="3" t="str">
        <f aca="false">IF(OR(O158="Qualified",O158="Won",O158="Lost"),1,IF(O158="Unqualified",0,""))</f>
        <v/>
      </c>
    </row>
    <row r="159" customFormat="false" ht="15" hidden="false" customHeight="true" outlineLevel="0" collapsed="false">
      <c r="A159" s="3" t="s">
        <v>752</v>
      </c>
      <c r="B159" s="9" t="n">
        <v>46004.6326388889</v>
      </c>
      <c r="C159" s="3" t="s">
        <v>51</v>
      </c>
      <c r="D159" s="3" t="s">
        <v>753</v>
      </c>
      <c r="E159" s="3" t="s">
        <v>754</v>
      </c>
      <c r="F159" s="3" t="s">
        <v>22</v>
      </c>
      <c r="G159" s="3" t="s">
        <v>755</v>
      </c>
      <c r="H159" s="3" t="s">
        <v>756</v>
      </c>
      <c r="I159" s="3" t="s">
        <v>260</v>
      </c>
      <c r="J159" s="3" t="s">
        <v>145</v>
      </c>
      <c r="K159" s="3" t="s">
        <v>101</v>
      </c>
      <c r="L159" s="3" t="n">
        <v>3</v>
      </c>
      <c r="M159" s="3" t="n">
        <v>1.1</v>
      </c>
      <c r="N159" s="3" t="s">
        <v>171</v>
      </c>
      <c r="O159" s="3" t="s">
        <v>194</v>
      </c>
      <c r="P159" s="10"/>
      <c r="Q159" s="3" t="n">
        <f aca="false">IF(F159="Disposable",1,0)</f>
        <v>0</v>
      </c>
      <c r="R159" s="3" t="n">
        <f aca="false">IF(SUMPRODUCT(--ISNUMBER(SEARCH('Spam Rules'!$A$22:$A$35,K159)))&gt;0,1,0)</f>
        <v>0</v>
      </c>
      <c r="S159" s="3" t="n">
        <f aca="false">IF(AND(F159="Free",G159=""),1,0)</f>
        <v>0</v>
      </c>
      <c r="T159" s="3" t="n">
        <f aca="false">IF(LEN(TRIM(K159))&lt;15,1,0)</f>
        <v>0</v>
      </c>
      <c r="U159" s="3" t="n">
        <f aca="false">IF(COUNTIF($E$2:$E$801,E159)&gt;1,1,0)</f>
        <v>0</v>
      </c>
      <c r="V159" s="3" t="n">
        <f aca="false">Q159*'Spam Rules'!$H$6+R159*'Spam Rules'!$H$7+S159*'Spam Rules'!$H$8+T159*'Spam Rules'!$H$9+U159*'Spam Rules'!$H$10</f>
        <v>0</v>
      </c>
      <c r="W159" s="3" t="str">
        <f aca="false">IF(V159&gt;='Spam Rules'!$B$3,"Likely Spam","Genuine")</f>
        <v>Genuine</v>
      </c>
      <c r="X159" s="3" t="n">
        <f aca="false">IFERROR(INDEX('Scoring Model'!$B$5:$B$11,MATCH(C159,'Scoring Model'!$A$5:$A$11,0)),0)</f>
        <v>10</v>
      </c>
      <c r="Y159" s="3" t="n">
        <f aca="false">IFERROR(INDEX('Scoring Model'!$E$5:$E$7,MATCH(F159,'Scoring Model'!$D$5:$D$7,0)),0)</f>
        <v>20</v>
      </c>
      <c r="Z159" s="3" t="n">
        <f aca="false">IFERROR(INDEX('Scoring Model'!$H$5:$H$13,MATCH(J159,'Scoring Model'!$G$5:$G$13,0)),0)</f>
        <v>5</v>
      </c>
      <c r="AA159" s="3" t="n">
        <f aca="false">IF(L159&gt;='Scoring Model'!$B$14,'Scoring Model'!$B$15,IF(L159&gt;='Scoring Model'!$B$16,'Scoring Model'!$B$17,0))</f>
        <v>0</v>
      </c>
      <c r="AB159" s="3" t="n">
        <f aca="false">IF(SUMPRODUCT(--ISNUMBER(SEARCH('Scoring Model'!$D$16:$D$25,K159)))&gt;0,'Scoring Model'!$B$18,0)</f>
        <v>0</v>
      </c>
      <c r="AC159" s="3" t="n">
        <f aca="false">IF(SUMPRODUCT(--ISNUMBER(SEARCH('Scoring Model'!$G$16:$G$23,K159)))&gt;0,'Scoring Model'!$B$19,0)</f>
        <v>-30</v>
      </c>
      <c r="AD159" s="3" t="n">
        <f aca="false">IF(W159="Likely Spam","",SUM(X159:AC159))</f>
        <v>5</v>
      </c>
      <c r="AE159" s="3" t="str">
        <f aca="false">IF(W159="Likely Spam","Spam",IF(AD159&gt;='Scoring Model'!$B$21,"Hot",IF(AD159&gt;='Scoring Model'!$B$22,"Warm","Nurture")))</f>
        <v>Nurture</v>
      </c>
      <c r="AF159" s="3" t="str">
        <f aca="false">IF(W159="Likely Spam","Flagged by spam rules",TRIM(IF(X159&gt;=20,"Strong source. ","")&amp;IF(Y159&gt;0,"Company email. ","")&amp;IF(Z159&gt;=15,"High-value product. ","")&amp;IF(AA159&gt;='Scoring Model'!$B$15,"High engagement. ","")&amp;IF(AB159&gt;0,"Buying intent in message. ","")&amp;IF(AC159&lt;0,"Negative intent in message. ","")))</f>
        <v>Company email. Negative intent in message.</v>
      </c>
      <c r="AG159" s="11" t="n">
        <f aca="false">IF(W159="Likely Spam","",1/(1+EXP(-('Conversion Model'!$B$5+IFERROR(INDEX('Conversion Model'!$B$8:$B$14,MATCH(C159,'Conversion Model'!$A$8:$A$14,0)),0)+IFERROR(INDEX('Conversion Model'!$E$8:$E$9,MATCH(F159,'Conversion Model'!$D$8:$D$9,0)),0)+IFERROR(INDEX('Conversion Model'!$H$8:$H$12,MATCH(IF(LEFT(J159,8)="Payments","Payments",IF(LEFT(J159,7)="Lending","Lending",J159)),'Conversion Model'!$G$8:$G$12,0)),0)+MIN(L159,15)*'Conversion Model'!$B$17+IF(SUMPRODUCT(--ISNUMBER(SEARCH('Scoring Model'!$D$16:$D$25,K159)))&gt;0,'Conversion Model'!$B$18,0)+IF(SUMPRODUCT(--ISNUMBER(SEARCH('Scoring Model'!$G$16:$G$23,K159)))&gt;0,'Conversion Model'!$B$19,0)))))</f>
        <v>0.0152922309138272</v>
      </c>
      <c r="AH159" s="3" t="n">
        <f aca="false">IF(OR(O159="Qualified",O159="Won",O159="Lost"),1,IF(O159="Unqualified",0,""))</f>
        <v>0</v>
      </c>
    </row>
    <row r="160" customFormat="false" ht="15" hidden="false" customHeight="true" outlineLevel="0" collapsed="false">
      <c r="A160" s="3" t="s">
        <v>757</v>
      </c>
      <c r="B160" s="9" t="n">
        <v>46004.66875</v>
      </c>
      <c r="C160" s="3" t="s">
        <v>76</v>
      </c>
      <c r="D160" s="3" t="s">
        <v>758</v>
      </c>
      <c r="E160" s="3" t="s">
        <v>759</v>
      </c>
      <c r="F160" s="3" t="s">
        <v>54</v>
      </c>
      <c r="G160" s="3"/>
      <c r="H160" s="3"/>
      <c r="I160" s="3" t="s">
        <v>107</v>
      </c>
      <c r="J160" s="3" t="s">
        <v>81</v>
      </c>
      <c r="K160" s="3" t="s">
        <v>349</v>
      </c>
      <c r="L160" s="3" t="n">
        <v>4</v>
      </c>
      <c r="M160" s="3" t="n">
        <v>26.7</v>
      </c>
      <c r="N160" s="3" t="s">
        <v>171</v>
      </c>
      <c r="O160" s="3" t="s">
        <v>194</v>
      </c>
      <c r="P160" s="10"/>
      <c r="Q160" s="3" t="n">
        <f aca="false">IF(F160="Disposable",1,0)</f>
        <v>0</v>
      </c>
      <c r="R160" s="3" t="n">
        <f aca="false">IF(SUMPRODUCT(--ISNUMBER(SEARCH('Spam Rules'!$A$22:$A$35,K160)))&gt;0,1,0)</f>
        <v>0</v>
      </c>
      <c r="S160" s="3" t="n">
        <f aca="false">IF(AND(F160="Free",G160=""),1,0)</f>
        <v>1</v>
      </c>
      <c r="T160" s="3" t="n">
        <f aca="false">IF(LEN(TRIM(K160))&lt;15,1,0)</f>
        <v>0</v>
      </c>
      <c r="U160" s="3" t="n">
        <f aca="false">IF(COUNTIF($E$2:$E$801,E160)&gt;1,1,0)</f>
        <v>0</v>
      </c>
      <c r="V160" s="3" t="n">
        <f aca="false">Q160*'Spam Rules'!$H$6+R160*'Spam Rules'!$H$7+S160*'Spam Rules'!$H$8+T160*'Spam Rules'!$H$9+U160*'Spam Rules'!$H$10</f>
        <v>0</v>
      </c>
      <c r="W160" s="3" t="str">
        <f aca="false">IF(V160&gt;='Spam Rules'!$B$3,"Likely Spam","Genuine")</f>
        <v>Genuine</v>
      </c>
      <c r="X160" s="3" t="n">
        <f aca="false">IFERROR(INDEX('Scoring Model'!$B$5:$B$11,MATCH(C160,'Scoring Model'!$A$5:$A$11,0)),0)</f>
        <v>0</v>
      </c>
      <c r="Y160" s="3" t="n">
        <f aca="false">IFERROR(INDEX('Scoring Model'!$E$5:$E$7,MATCH(F160,'Scoring Model'!$D$5:$D$7,0)),0)</f>
        <v>0</v>
      </c>
      <c r="Z160" s="3" t="n">
        <f aca="false">IFERROR(INDEX('Scoring Model'!$H$5:$H$13,MATCH(J160,'Scoring Model'!$G$5:$G$13,0)),0)</f>
        <v>5</v>
      </c>
      <c r="AA160" s="3" t="n">
        <f aca="false">IF(L160&gt;='Scoring Model'!$B$14,'Scoring Model'!$B$15,IF(L160&gt;='Scoring Model'!$B$16,'Scoring Model'!$B$17,0))</f>
        <v>8</v>
      </c>
      <c r="AB160" s="3" t="n">
        <f aca="false">IF(SUMPRODUCT(--ISNUMBER(SEARCH('Scoring Model'!$D$16:$D$25,K160)))&gt;0,'Scoring Model'!$B$18,0)</f>
        <v>0</v>
      </c>
      <c r="AC160" s="3" t="n">
        <f aca="false">IF(SUMPRODUCT(--ISNUMBER(SEARCH('Scoring Model'!$G$16:$G$23,K160)))&gt;0,'Scoring Model'!$B$19,0)</f>
        <v>-30</v>
      </c>
      <c r="AD160" s="3" t="n">
        <f aca="false">IF(W160="Likely Spam","",SUM(X160:AC160))</f>
        <v>-17</v>
      </c>
      <c r="AE160" s="3" t="str">
        <f aca="false">IF(W160="Likely Spam","Spam",IF(AD160&gt;='Scoring Model'!$B$21,"Hot",IF(AD160&gt;='Scoring Model'!$B$22,"Warm","Nurture")))</f>
        <v>Nurture</v>
      </c>
      <c r="AF160" s="3" t="str">
        <f aca="false">IF(W160="Likely Spam","Flagged by spam rules",TRIM(IF(X160&gt;=20,"Strong source. ","")&amp;IF(Y160&gt;0,"Company email. ","")&amp;IF(Z160&gt;=15,"High-value product. ","")&amp;IF(AA160&gt;='Scoring Model'!$B$15,"High engagement. ","")&amp;IF(AB160&gt;0,"Buying intent in message. ","")&amp;IF(AC160&lt;0,"Negative intent in message. ","")))</f>
        <v>Negative intent in message.</v>
      </c>
      <c r="AG160" s="11" t="n">
        <f aca="false">IF(W160="Likely Spam","",1/(1+EXP(-('Conversion Model'!$B$5+IFERROR(INDEX('Conversion Model'!$B$8:$B$14,MATCH(C160,'Conversion Model'!$A$8:$A$14,0)),0)+IFERROR(INDEX('Conversion Model'!$E$8:$E$9,MATCH(F160,'Conversion Model'!$D$8:$D$9,0)),0)+IFERROR(INDEX('Conversion Model'!$H$8:$H$12,MATCH(IF(LEFT(J160,8)="Payments","Payments",IF(LEFT(J160,7)="Lending","Lending",J160)),'Conversion Model'!$G$8:$G$12,0)),0)+MIN(L160,15)*'Conversion Model'!$B$17+IF(SUMPRODUCT(--ISNUMBER(SEARCH('Scoring Model'!$D$16:$D$25,K160)))&gt;0,'Conversion Model'!$B$18,0)+IF(SUMPRODUCT(--ISNUMBER(SEARCH('Scoring Model'!$G$16:$G$23,K160)))&gt;0,'Conversion Model'!$B$19,0)))))</f>
        <v>0.0060357567091923</v>
      </c>
      <c r="AH160" s="3" t="n">
        <f aca="false">IF(OR(O160="Qualified",O160="Won",O160="Lost"),1,IF(O160="Unqualified",0,""))</f>
        <v>0</v>
      </c>
    </row>
    <row r="161" customFormat="false" ht="15" hidden="false" customHeight="true" outlineLevel="0" collapsed="false">
      <c r="A161" s="3" t="s">
        <v>760</v>
      </c>
      <c r="B161" s="9" t="n">
        <v>46004.6979166667</v>
      </c>
      <c r="C161" s="3" t="s">
        <v>112</v>
      </c>
      <c r="D161" s="3" t="s">
        <v>761</v>
      </c>
      <c r="E161" s="3" t="s">
        <v>762</v>
      </c>
      <c r="F161" s="3" t="s">
        <v>22</v>
      </c>
      <c r="G161" s="3" t="s">
        <v>763</v>
      </c>
      <c r="H161" s="3" t="s">
        <v>764</v>
      </c>
      <c r="I161" s="3" t="s">
        <v>88</v>
      </c>
      <c r="J161" s="3" t="s">
        <v>57</v>
      </c>
      <c r="K161" s="3" t="s">
        <v>765</v>
      </c>
      <c r="L161" s="3" t="n">
        <v>1</v>
      </c>
      <c r="M161" s="3" t="n">
        <v>4.4</v>
      </c>
      <c r="N161" s="3" t="s">
        <v>67</v>
      </c>
      <c r="O161" s="3"/>
      <c r="P161" s="10"/>
      <c r="Q161" s="3" t="n">
        <f aca="false">IF(F161="Disposable",1,0)</f>
        <v>0</v>
      </c>
      <c r="R161" s="3" t="n">
        <f aca="false">IF(SUMPRODUCT(--ISNUMBER(SEARCH('Spam Rules'!$A$22:$A$35,K161)))&gt;0,1,0)</f>
        <v>0</v>
      </c>
      <c r="S161" s="3" t="n">
        <f aca="false">IF(AND(F161="Free",G161=""),1,0)</f>
        <v>0</v>
      </c>
      <c r="T161" s="3" t="n">
        <f aca="false">IF(LEN(TRIM(K161))&lt;15,1,0)</f>
        <v>0</v>
      </c>
      <c r="U161" s="3" t="n">
        <f aca="false">IF(COUNTIF($E$2:$E$801,E161)&gt;1,1,0)</f>
        <v>0</v>
      </c>
      <c r="V161" s="3" t="n">
        <f aca="false">Q161*'Spam Rules'!$H$6+R161*'Spam Rules'!$H$7+S161*'Spam Rules'!$H$8+T161*'Spam Rules'!$H$9+U161*'Spam Rules'!$H$10</f>
        <v>0</v>
      </c>
      <c r="W161" s="3" t="str">
        <f aca="false">IF(V161&gt;='Spam Rules'!$B$3,"Likely Spam","Genuine")</f>
        <v>Genuine</v>
      </c>
      <c r="X161" s="3" t="n">
        <f aca="false">IFERROR(INDEX('Scoring Model'!$B$5:$B$11,MATCH(C161,'Scoring Model'!$A$5:$A$11,0)),0)</f>
        <v>15</v>
      </c>
      <c r="Y161" s="3" t="n">
        <f aca="false">IFERROR(INDEX('Scoring Model'!$E$5:$E$7,MATCH(F161,'Scoring Model'!$D$5:$D$7,0)),0)</f>
        <v>20</v>
      </c>
      <c r="Z161" s="3" t="n">
        <f aca="false">IFERROR(INDEX('Scoring Model'!$H$5:$H$13,MATCH(J161,'Scoring Model'!$G$5:$G$13,0)),0)</f>
        <v>15</v>
      </c>
      <c r="AA161" s="3" t="n">
        <f aca="false">IF(L161&gt;='Scoring Model'!$B$14,'Scoring Model'!$B$15,IF(L161&gt;='Scoring Model'!$B$16,'Scoring Model'!$B$17,0))</f>
        <v>0</v>
      </c>
      <c r="AB161" s="3" t="n">
        <f aca="false">IF(SUMPRODUCT(--ISNUMBER(SEARCH('Scoring Model'!$D$16:$D$25,K161)))&gt;0,'Scoring Model'!$B$18,0)</f>
        <v>15</v>
      </c>
      <c r="AC161" s="3" t="n">
        <f aca="false">IF(SUMPRODUCT(--ISNUMBER(SEARCH('Scoring Model'!$G$16:$G$23,K161)))&gt;0,'Scoring Model'!$B$19,0)</f>
        <v>0</v>
      </c>
      <c r="AD161" s="3" t="n">
        <f aca="false">IF(W161="Likely Spam","",SUM(X161:AC161))</f>
        <v>65</v>
      </c>
      <c r="AE161" s="3" t="str">
        <f aca="false">IF(W161="Likely Spam","Spam",IF(AD161&gt;='Scoring Model'!$B$21,"Hot",IF(AD161&gt;='Scoring Model'!$B$22,"Warm","Nurture")))</f>
        <v>Warm</v>
      </c>
      <c r="AF161" s="3" t="str">
        <f aca="false">IF(W161="Likely Spam","Flagged by spam rules",TRIM(IF(X161&gt;=20,"Strong source. ","")&amp;IF(Y161&gt;0,"Company email. ","")&amp;IF(Z161&gt;=15,"High-value product. ","")&amp;IF(AA161&gt;='Scoring Model'!$B$15,"High engagement. ","")&amp;IF(AB161&gt;0,"Buying intent in message. ","")&amp;IF(AC161&lt;0,"Negative intent in message. ","")))</f>
        <v>Company email. High-value product. Buying intent in message.</v>
      </c>
      <c r="AG161" s="11" t="n">
        <f aca="false">IF(W161="Likely Spam","",1/(1+EXP(-('Conversion Model'!$B$5+IFERROR(INDEX('Conversion Model'!$B$8:$B$14,MATCH(C161,'Conversion Model'!$A$8:$A$14,0)),0)+IFERROR(INDEX('Conversion Model'!$E$8:$E$9,MATCH(F161,'Conversion Model'!$D$8:$D$9,0)),0)+IFERROR(INDEX('Conversion Model'!$H$8:$H$12,MATCH(IF(LEFT(J161,8)="Payments","Payments",IF(LEFT(J161,7)="Lending","Lending",J161)),'Conversion Model'!$G$8:$G$12,0)),0)+MIN(L161,15)*'Conversion Model'!$B$17+IF(SUMPRODUCT(--ISNUMBER(SEARCH('Scoring Model'!$D$16:$D$25,K161)))&gt;0,'Conversion Model'!$B$18,0)+IF(SUMPRODUCT(--ISNUMBER(SEARCH('Scoring Model'!$G$16:$G$23,K161)))&gt;0,'Conversion Model'!$B$19,0)))))</f>
        <v>0.0837847742677499</v>
      </c>
      <c r="AH161" s="3" t="str">
        <f aca="false">IF(OR(O161="Qualified",O161="Won",O161="Lost"),1,IF(O161="Unqualified",0,""))</f>
        <v/>
      </c>
    </row>
    <row r="162" customFormat="false" ht="15" hidden="false" customHeight="true" outlineLevel="0" collapsed="false">
      <c r="A162" s="3" t="s">
        <v>766</v>
      </c>
      <c r="B162" s="9" t="n">
        <v>46005.13125</v>
      </c>
      <c r="C162" s="3" t="s">
        <v>51</v>
      </c>
      <c r="D162" s="3" t="s">
        <v>767</v>
      </c>
      <c r="E162" s="3" t="s">
        <v>768</v>
      </c>
      <c r="F162" s="3" t="s">
        <v>54</v>
      </c>
      <c r="G162" s="3" t="s">
        <v>769</v>
      </c>
      <c r="H162" s="3"/>
      <c r="I162" s="3" t="s">
        <v>260</v>
      </c>
      <c r="J162" s="3" t="s">
        <v>122</v>
      </c>
      <c r="K162" s="3" t="s">
        <v>193</v>
      </c>
      <c r="L162" s="3" t="n">
        <v>3</v>
      </c>
      <c r="M162" s="3" t="n">
        <v>5.4</v>
      </c>
      <c r="N162" s="3" t="s">
        <v>96</v>
      </c>
      <c r="O162" s="3" t="s">
        <v>194</v>
      </c>
      <c r="P162" s="10"/>
      <c r="Q162" s="3" t="n">
        <f aca="false">IF(F162="Disposable",1,0)</f>
        <v>0</v>
      </c>
      <c r="R162" s="3" t="n">
        <f aca="false">IF(SUMPRODUCT(--ISNUMBER(SEARCH('Spam Rules'!$A$22:$A$35,K162)))&gt;0,1,0)</f>
        <v>0</v>
      </c>
      <c r="S162" s="3" t="n">
        <f aca="false">IF(AND(F162="Free",G162=""),1,0)</f>
        <v>0</v>
      </c>
      <c r="T162" s="3" t="n">
        <f aca="false">IF(LEN(TRIM(K162))&lt;15,1,0)</f>
        <v>0</v>
      </c>
      <c r="U162" s="3" t="n">
        <f aca="false">IF(COUNTIF($E$2:$E$801,E162)&gt;1,1,0)</f>
        <v>0</v>
      </c>
      <c r="V162" s="3" t="n">
        <f aca="false">Q162*'Spam Rules'!$H$6+R162*'Spam Rules'!$H$7+S162*'Spam Rules'!$H$8+T162*'Spam Rules'!$H$9+U162*'Spam Rules'!$H$10</f>
        <v>0</v>
      </c>
      <c r="W162" s="3" t="str">
        <f aca="false">IF(V162&gt;='Spam Rules'!$B$3,"Likely Spam","Genuine")</f>
        <v>Genuine</v>
      </c>
      <c r="X162" s="3" t="n">
        <f aca="false">IFERROR(INDEX('Scoring Model'!$B$5:$B$11,MATCH(C162,'Scoring Model'!$A$5:$A$11,0)),0)</f>
        <v>10</v>
      </c>
      <c r="Y162" s="3" t="n">
        <f aca="false">IFERROR(INDEX('Scoring Model'!$E$5:$E$7,MATCH(F162,'Scoring Model'!$D$5:$D$7,0)),0)</f>
        <v>0</v>
      </c>
      <c r="Z162" s="3" t="n">
        <f aca="false">IFERROR(INDEX('Scoring Model'!$H$5:$H$13,MATCH(J162,'Scoring Model'!$G$5:$G$13,0)),0)</f>
        <v>15</v>
      </c>
      <c r="AA162" s="3" t="n">
        <f aca="false">IF(L162&gt;='Scoring Model'!$B$14,'Scoring Model'!$B$15,IF(L162&gt;='Scoring Model'!$B$16,'Scoring Model'!$B$17,0))</f>
        <v>0</v>
      </c>
      <c r="AB162" s="3" t="n">
        <f aca="false">IF(SUMPRODUCT(--ISNUMBER(SEARCH('Scoring Model'!$D$16:$D$25,K162)))&gt;0,'Scoring Model'!$B$18,0)</f>
        <v>0</v>
      </c>
      <c r="AC162" s="3" t="n">
        <f aca="false">IF(SUMPRODUCT(--ISNUMBER(SEARCH('Scoring Model'!$G$16:$G$23,K162)))&gt;0,'Scoring Model'!$B$19,0)</f>
        <v>-30</v>
      </c>
      <c r="AD162" s="3" t="n">
        <f aca="false">IF(W162="Likely Spam","",SUM(X162:AC162))</f>
        <v>-5</v>
      </c>
      <c r="AE162" s="3" t="str">
        <f aca="false">IF(W162="Likely Spam","Spam",IF(AD162&gt;='Scoring Model'!$B$21,"Hot",IF(AD162&gt;='Scoring Model'!$B$22,"Warm","Nurture")))</f>
        <v>Nurture</v>
      </c>
      <c r="AF162" s="3" t="str">
        <f aca="false">IF(W162="Likely Spam","Flagged by spam rules",TRIM(IF(X162&gt;=20,"Strong source. ","")&amp;IF(Y162&gt;0,"Company email. ","")&amp;IF(Z162&gt;=15,"High-value product. ","")&amp;IF(AA162&gt;='Scoring Model'!$B$15,"High engagement. ","")&amp;IF(AB162&gt;0,"Buying intent in message. ","")&amp;IF(AC162&lt;0,"Negative intent in message. ","")))</f>
        <v>High-value product. Negative intent in message.</v>
      </c>
      <c r="AG162" s="11" t="n">
        <f aca="false">IF(W162="Likely Spam","",1/(1+EXP(-('Conversion Model'!$B$5+IFERROR(INDEX('Conversion Model'!$B$8:$B$14,MATCH(C162,'Conversion Model'!$A$8:$A$14,0)),0)+IFERROR(INDEX('Conversion Model'!$E$8:$E$9,MATCH(F162,'Conversion Model'!$D$8:$D$9,0)),0)+IFERROR(INDEX('Conversion Model'!$H$8:$H$12,MATCH(IF(LEFT(J162,8)="Payments","Payments",IF(LEFT(J162,7)="Lending","Lending",J162)),'Conversion Model'!$G$8:$G$12,0)),0)+MIN(L162,15)*'Conversion Model'!$B$17+IF(SUMPRODUCT(--ISNUMBER(SEARCH('Scoring Model'!$D$16:$D$25,K162)))&gt;0,'Conversion Model'!$B$18,0)+IF(SUMPRODUCT(--ISNUMBER(SEARCH('Scoring Model'!$G$16:$G$23,K162)))&gt;0,'Conversion Model'!$B$19,0)))))</f>
        <v>0.0054374110161815</v>
      </c>
      <c r="AH162" s="3" t="n">
        <f aca="false">IF(OR(O162="Qualified",O162="Won",O162="Lost"),1,IF(O162="Unqualified",0,""))</f>
        <v>0</v>
      </c>
    </row>
    <row r="163" customFormat="false" ht="15" hidden="false" customHeight="true" outlineLevel="0" collapsed="false">
      <c r="A163" s="3" t="s">
        <v>770</v>
      </c>
      <c r="B163" s="9" t="n">
        <v>46005.5583333333</v>
      </c>
      <c r="C163" s="3" t="s">
        <v>51</v>
      </c>
      <c r="D163" s="3" t="s">
        <v>771</v>
      </c>
      <c r="E163" s="3" t="s">
        <v>772</v>
      </c>
      <c r="F163" s="3" t="s">
        <v>54</v>
      </c>
      <c r="G163" s="3" t="s">
        <v>773</v>
      </c>
      <c r="H163" s="3"/>
      <c r="I163" s="3" t="s">
        <v>107</v>
      </c>
      <c r="J163" s="3" t="s">
        <v>145</v>
      </c>
      <c r="K163" s="3" t="s">
        <v>349</v>
      </c>
      <c r="L163" s="3" t="n">
        <v>2</v>
      </c>
      <c r="M163" s="3" t="n">
        <v>62.3</v>
      </c>
      <c r="N163" s="3" t="s">
        <v>171</v>
      </c>
      <c r="O163" s="3"/>
      <c r="P163" s="10"/>
      <c r="Q163" s="3" t="n">
        <f aca="false">IF(F163="Disposable",1,0)</f>
        <v>0</v>
      </c>
      <c r="R163" s="3" t="n">
        <f aca="false">IF(SUMPRODUCT(--ISNUMBER(SEARCH('Spam Rules'!$A$22:$A$35,K163)))&gt;0,1,0)</f>
        <v>0</v>
      </c>
      <c r="S163" s="3" t="n">
        <f aca="false">IF(AND(F163="Free",G163=""),1,0)</f>
        <v>0</v>
      </c>
      <c r="T163" s="3" t="n">
        <f aca="false">IF(LEN(TRIM(K163))&lt;15,1,0)</f>
        <v>0</v>
      </c>
      <c r="U163" s="3" t="n">
        <f aca="false">IF(COUNTIF($E$2:$E$801,E163)&gt;1,1,0)</f>
        <v>0</v>
      </c>
      <c r="V163" s="3" t="n">
        <f aca="false">Q163*'Spam Rules'!$H$6+R163*'Spam Rules'!$H$7+S163*'Spam Rules'!$H$8+T163*'Spam Rules'!$H$9+U163*'Spam Rules'!$H$10</f>
        <v>0</v>
      </c>
      <c r="W163" s="3" t="str">
        <f aca="false">IF(V163&gt;='Spam Rules'!$B$3,"Likely Spam","Genuine")</f>
        <v>Genuine</v>
      </c>
      <c r="X163" s="3" t="n">
        <f aca="false">IFERROR(INDEX('Scoring Model'!$B$5:$B$11,MATCH(C163,'Scoring Model'!$A$5:$A$11,0)),0)</f>
        <v>10</v>
      </c>
      <c r="Y163" s="3" t="n">
        <f aca="false">IFERROR(INDEX('Scoring Model'!$E$5:$E$7,MATCH(F163,'Scoring Model'!$D$5:$D$7,0)),0)</f>
        <v>0</v>
      </c>
      <c r="Z163" s="3" t="n">
        <f aca="false">IFERROR(INDEX('Scoring Model'!$H$5:$H$13,MATCH(J163,'Scoring Model'!$G$5:$G$13,0)),0)</f>
        <v>5</v>
      </c>
      <c r="AA163" s="3" t="n">
        <f aca="false">IF(L163&gt;='Scoring Model'!$B$14,'Scoring Model'!$B$15,IF(L163&gt;='Scoring Model'!$B$16,'Scoring Model'!$B$17,0))</f>
        <v>0</v>
      </c>
      <c r="AB163" s="3" t="n">
        <f aca="false">IF(SUMPRODUCT(--ISNUMBER(SEARCH('Scoring Model'!$D$16:$D$25,K163)))&gt;0,'Scoring Model'!$B$18,0)</f>
        <v>0</v>
      </c>
      <c r="AC163" s="3" t="n">
        <f aca="false">IF(SUMPRODUCT(--ISNUMBER(SEARCH('Scoring Model'!$G$16:$G$23,K163)))&gt;0,'Scoring Model'!$B$19,0)</f>
        <v>-30</v>
      </c>
      <c r="AD163" s="3" t="n">
        <f aca="false">IF(W163="Likely Spam","",SUM(X163:AC163))</f>
        <v>-15</v>
      </c>
      <c r="AE163" s="3" t="str">
        <f aca="false">IF(W163="Likely Spam","Spam",IF(AD163&gt;='Scoring Model'!$B$21,"Hot",IF(AD163&gt;='Scoring Model'!$B$22,"Warm","Nurture")))</f>
        <v>Nurture</v>
      </c>
      <c r="AF163" s="3" t="str">
        <f aca="false">IF(W163="Likely Spam","Flagged by spam rules",TRIM(IF(X163&gt;=20,"Strong source. ","")&amp;IF(Y163&gt;0,"Company email. ","")&amp;IF(Z163&gt;=15,"High-value product. ","")&amp;IF(AA163&gt;='Scoring Model'!$B$15,"High engagement. ","")&amp;IF(AB163&gt;0,"Buying intent in message. ","")&amp;IF(AC163&lt;0,"Negative intent in message. ","")))</f>
        <v>Negative intent in message.</v>
      </c>
      <c r="AG163" s="11" t="n">
        <f aca="false">IF(W163="Likely Spam","",1/(1+EXP(-('Conversion Model'!$B$5+IFERROR(INDEX('Conversion Model'!$B$8:$B$14,MATCH(C163,'Conversion Model'!$A$8:$A$14,0)),0)+IFERROR(INDEX('Conversion Model'!$E$8:$E$9,MATCH(F163,'Conversion Model'!$D$8:$D$9,0)),0)+IFERROR(INDEX('Conversion Model'!$H$8:$H$12,MATCH(IF(LEFT(J163,8)="Payments","Payments",IF(LEFT(J163,7)="Lending","Lending",J163)),'Conversion Model'!$G$8:$G$12,0)),0)+MIN(L163,15)*'Conversion Model'!$B$17+IF(SUMPRODUCT(--ISNUMBER(SEARCH('Scoring Model'!$D$16:$D$25,K163)))&gt;0,'Conversion Model'!$B$18,0)+IF(SUMPRODUCT(--ISNUMBER(SEARCH('Scoring Model'!$G$16:$G$23,K163)))&gt;0,'Conversion Model'!$B$19,0)))))</f>
        <v>0.00287736161913338</v>
      </c>
      <c r="AH163" s="3" t="str">
        <f aca="false">IF(OR(O163="Qualified",O163="Won",O163="Lost"),1,IF(O163="Unqualified",0,""))</f>
        <v/>
      </c>
    </row>
    <row r="164" customFormat="false" ht="15" hidden="false" customHeight="true" outlineLevel="0" collapsed="false">
      <c r="A164" s="3" t="s">
        <v>774</v>
      </c>
      <c r="B164" s="9" t="n">
        <v>46005.8993055556</v>
      </c>
      <c r="C164" s="3" t="s">
        <v>51</v>
      </c>
      <c r="D164" s="3" t="s">
        <v>775</v>
      </c>
      <c r="E164" s="3" t="s">
        <v>776</v>
      </c>
      <c r="F164" s="3" t="s">
        <v>54</v>
      </c>
      <c r="G164" s="3" t="s">
        <v>777</v>
      </c>
      <c r="H164" s="3"/>
      <c r="I164" s="3" t="s">
        <v>334</v>
      </c>
      <c r="J164" s="3" t="s">
        <v>65</v>
      </c>
      <c r="K164" s="3" t="s">
        <v>213</v>
      </c>
      <c r="L164" s="3" t="n">
        <v>1</v>
      </c>
      <c r="M164" s="3" t="n">
        <v>18.7</v>
      </c>
      <c r="N164" s="3" t="s">
        <v>96</v>
      </c>
      <c r="O164" s="3"/>
      <c r="P164" s="10"/>
      <c r="Q164" s="3" t="n">
        <f aca="false">IF(F164="Disposable",1,0)</f>
        <v>0</v>
      </c>
      <c r="R164" s="3" t="n">
        <f aca="false">IF(SUMPRODUCT(--ISNUMBER(SEARCH('Spam Rules'!$A$22:$A$35,K164)))&gt;0,1,0)</f>
        <v>0</v>
      </c>
      <c r="S164" s="3" t="n">
        <f aca="false">IF(AND(F164="Free",G164=""),1,0)</f>
        <v>0</v>
      </c>
      <c r="T164" s="3" t="n">
        <f aca="false">IF(LEN(TRIM(K164))&lt;15,1,0)</f>
        <v>0</v>
      </c>
      <c r="U164" s="3" t="n">
        <f aca="false">IF(COUNTIF($E$2:$E$801,E164)&gt;1,1,0)</f>
        <v>0</v>
      </c>
      <c r="V164" s="3" t="n">
        <f aca="false">Q164*'Spam Rules'!$H$6+R164*'Spam Rules'!$H$7+S164*'Spam Rules'!$H$8+T164*'Spam Rules'!$H$9+U164*'Spam Rules'!$H$10</f>
        <v>0</v>
      </c>
      <c r="W164" s="3" t="str">
        <f aca="false">IF(V164&gt;='Spam Rules'!$B$3,"Likely Spam","Genuine")</f>
        <v>Genuine</v>
      </c>
      <c r="X164" s="3" t="n">
        <f aca="false">IFERROR(INDEX('Scoring Model'!$B$5:$B$11,MATCH(C164,'Scoring Model'!$A$5:$A$11,0)),0)</f>
        <v>10</v>
      </c>
      <c r="Y164" s="3" t="n">
        <f aca="false">IFERROR(INDEX('Scoring Model'!$E$5:$E$7,MATCH(F164,'Scoring Model'!$D$5:$D$7,0)),0)</f>
        <v>0</v>
      </c>
      <c r="Z164" s="3" t="n">
        <f aca="false">IFERROR(INDEX('Scoring Model'!$H$5:$H$13,MATCH(J164,'Scoring Model'!$G$5:$G$13,0)),0)</f>
        <v>0</v>
      </c>
      <c r="AA164" s="3" t="n">
        <f aca="false">IF(L164&gt;='Scoring Model'!$B$14,'Scoring Model'!$B$15,IF(L164&gt;='Scoring Model'!$B$16,'Scoring Model'!$B$17,0))</f>
        <v>0</v>
      </c>
      <c r="AB164" s="3" t="n">
        <f aca="false">IF(SUMPRODUCT(--ISNUMBER(SEARCH('Scoring Model'!$D$16:$D$25,K164)))&gt;0,'Scoring Model'!$B$18,0)</f>
        <v>0</v>
      </c>
      <c r="AC164" s="3" t="n">
        <f aca="false">IF(SUMPRODUCT(--ISNUMBER(SEARCH('Scoring Model'!$G$16:$G$23,K164)))&gt;0,'Scoring Model'!$B$19,0)</f>
        <v>-30</v>
      </c>
      <c r="AD164" s="3" t="n">
        <f aca="false">IF(W164="Likely Spam","",SUM(X164:AC164))</f>
        <v>-20</v>
      </c>
      <c r="AE164" s="3" t="str">
        <f aca="false">IF(W164="Likely Spam","Spam",IF(AD164&gt;='Scoring Model'!$B$21,"Hot",IF(AD164&gt;='Scoring Model'!$B$22,"Warm","Nurture")))</f>
        <v>Nurture</v>
      </c>
      <c r="AF164" s="3" t="str">
        <f aca="false">IF(W164="Likely Spam","Flagged by spam rules",TRIM(IF(X164&gt;=20,"Strong source. ","")&amp;IF(Y164&gt;0,"Company email. ","")&amp;IF(Z164&gt;=15,"High-value product. ","")&amp;IF(AA164&gt;='Scoring Model'!$B$15,"High engagement. ","")&amp;IF(AB164&gt;0,"Buying intent in message. ","")&amp;IF(AC164&lt;0,"Negative intent in message. ","")))</f>
        <v>Negative intent in message.</v>
      </c>
      <c r="AG164" s="11" t="n">
        <f aca="false">IF(W164="Likely Spam","",1/(1+EXP(-('Conversion Model'!$B$5+IFERROR(INDEX('Conversion Model'!$B$8:$B$14,MATCH(C164,'Conversion Model'!$A$8:$A$14,0)),0)+IFERROR(INDEX('Conversion Model'!$E$8:$E$9,MATCH(F164,'Conversion Model'!$D$8:$D$9,0)),0)+IFERROR(INDEX('Conversion Model'!$H$8:$H$12,MATCH(IF(LEFT(J164,8)="Payments","Payments",IF(LEFT(J164,7)="Lending","Lending",J164)),'Conversion Model'!$G$8:$G$12,0)),0)+MIN(L164,15)*'Conversion Model'!$B$17+IF(SUMPRODUCT(--ISNUMBER(SEARCH('Scoring Model'!$D$16:$D$25,K164)))&gt;0,'Conversion Model'!$B$18,0)+IF(SUMPRODUCT(--ISNUMBER(SEARCH('Scoring Model'!$G$16:$G$23,K164)))&gt;0,'Conversion Model'!$B$19,0)))))</f>
        <v>0.000927583246642184</v>
      </c>
      <c r="AH164" s="3" t="str">
        <f aca="false">IF(OR(O164="Qualified",O164="Won",O164="Lost"),1,IF(O164="Unqualified",0,""))</f>
        <v/>
      </c>
    </row>
    <row r="165" customFormat="false" ht="15" hidden="false" customHeight="true" outlineLevel="0" collapsed="false">
      <c r="A165" s="3" t="s">
        <v>778</v>
      </c>
      <c r="B165" s="9" t="n">
        <v>46006.3895833333</v>
      </c>
      <c r="C165" s="3" t="s">
        <v>51</v>
      </c>
      <c r="D165" s="3" t="s">
        <v>779</v>
      </c>
      <c r="E165" s="3" t="s">
        <v>62</v>
      </c>
      <c r="F165" s="3" t="s">
        <v>54</v>
      </c>
      <c r="G165" s="3"/>
      <c r="H165" s="3"/>
      <c r="I165" s="3" t="s">
        <v>88</v>
      </c>
      <c r="J165" s="3" t="s">
        <v>81</v>
      </c>
      <c r="K165" s="3" t="s">
        <v>82</v>
      </c>
      <c r="L165" s="3" t="n">
        <v>2</v>
      </c>
      <c r="M165" s="3" t="n">
        <v>15.6</v>
      </c>
      <c r="N165" s="3" t="s">
        <v>96</v>
      </c>
      <c r="O165" s="3" t="s">
        <v>68</v>
      </c>
      <c r="P165" s="10"/>
      <c r="Q165" s="3" t="n">
        <f aca="false">IF(F165="Disposable",1,0)</f>
        <v>0</v>
      </c>
      <c r="R165" s="3" t="n">
        <f aca="false">IF(SUMPRODUCT(--ISNUMBER(SEARCH('Spam Rules'!$A$22:$A$35,K165)))&gt;0,1,0)</f>
        <v>1</v>
      </c>
      <c r="S165" s="3" t="n">
        <f aca="false">IF(AND(F165="Free",G165=""),1,0)</f>
        <v>1</v>
      </c>
      <c r="T165" s="3" t="n">
        <f aca="false">IF(LEN(TRIM(K165))&lt;15,1,0)</f>
        <v>0</v>
      </c>
      <c r="U165" s="3" t="n">
        <f aca="false">IF(COUNTIF($E$2:$E$801,E165)&gt;1,1,0)</f>
        <v>1</v>
      </c>
      <c r="V165" s="3" t="n">
        <f aca="false">Q165*'Spam Rules'!$H$6+R165*'Spam Rules'!$H$7+S165*'Spam Rules'!$H$8+T165*'Spam Rules'!$H$9+U165*'Spam Rules'!$H$10</f>
        <v>1</v>
      </c>
      <c r="W165" s="3" t="str">
        <f aca="false">IF(V165&gt;='Spam Rules'!$B$3,"Likely Spam","Genuine")</f>
        <v>Likely Spam</v>
      </c>
      <c r="X165" s="3" t="n">
        <f aca="false">IFERROR(INDEX('Scoring Model'!$B$5:$B$11,MATCH(C165,'Scoring Model'!$A$5:$A$11,0)),0)</f>
        <v>10</v>
      </c>
      <c r="Y165" s="3" t="n">
        <f aca="false">IFERROR(INDEX('Scoring Model'!$E$5:$E$7,MATCH(F165,'Scoring Model'!$D$5:$D$7,0)),0)</f>
        <v>0</v>
      </c>
      <c r="Z165" s="3" t="n">
        <f aca="false">IFERROR(INDEX('Scoring Model'!$H$5:$H$13,MATCH(J165,'Scoring Model'!$G$5:$G$13,0)),0)</f>
        <v>5</v>
      </c>
      <c r="AA165" s="3" t="n">
        <f aca="false">IF(L165&gt;='Scoring Model'!$B$14,'Scoring Model'!$B$15,IF(L165&gt;='Scoring Model'!$B$16,'Scoring Model'!$B$17,0))</f>
        <v>0</v>
      </c>
      <c r="AB165" s="3" t="n">
        <f aca="false">IF(SUMPRODUCT(--ISNUMBER(SEARCH('Scoring Model'!$D$16:$D$25,K165)))&gt;0,'Scoring Model'!$B$18,0)</f>
        <v>0</v>
      </c>
      <c r="AC165" s="3" t="n">
        <f aca="false">IF(SUMPRODUCT(--ISNUMBER(SEARCH('Scoring Model'!$G$16:$G$23,K165)))&gt;0,'Scoring Model'!$B$19,0)</f>
        <v>0</v>
      </c>
      <c r="AD165" s="3" t="str">
        <f aca="false">IF(W165="Likely Spam","",SUM(X165:AC165))</f>
        <v/>
      </c>
      <c r="AE165" s="3" t="str">
        <f aca="false">IF(W165="Likely Spam","Spam",IF(AD165&gt;='Scoring Model'!$B$21,"Hot",IF(AD165&gt;='Scoring Model'!$B$22,"Warm","Nurture")))</f>
        <v>Spam</v>
      </c>
      <c r="AF165" s="3" t="str">
        <f aca="false">IF(W165="Likely Spam","Flagged by spam rules",TRIM(IF(X165&gt;=20,"Strong source. ","")&amp;IF(Y165&gt;0,"Company email. ","")&amp;IF(Z165&gt;=15,"High-value product. ","")&amp;IF(AA165&gt;='Scoring Model'!$B$15,"High engagement. ","")&amp;IF(AB165&gt;0,"Buying intent in message. ","")&amp;IF(AC165&lt;0,"Negative intent in message. ","")))</f>
        <v>Flagged by spam rules</v>
      </c>
      <c r="AG165" s="11" t="str">
        <f aca="false">IF(W165="Likely Spam","",1/(1+EXP(-('Conversion Model'!$B$5+IFERROR(INDEX('Conversion Model'!$B$8:$B$14,MATCH(C165,'Conversion Model'!$A$8:$A$14,0)),0)+IFERROR(INDEX('Conversion Model'!$E$8:$E$9,MATCH(F165,'Conversion Model'!$D$8:$D$9,0)),0)+IFERROR(INDEX('Conversion Model'!$H$8:$H$12,MATCH(IF(LEFT(J165,8)="Payments","Payments",IF(LEFT(J165,7)="Lending","Lending",J165)),'Conversion Model'!$G$8:$G$12,0)),0)+MIN(L165,15)*'Conversion Model'!$B$17+IF(SUMPRODUCT(--ISNUMBER(SEARCH('Scoring Model'!$D$16:$D$25,K165)))&gt;0,'Conversion Model'!$B$18,0)+IF(SUMPRODUCT(--ISNUMBER(SEARCH('Scoring Model'!$G$16:$G$23,K165)))&gt;0,'Conversion Model'!$B$19,0)))))</f>
        <v/>
      </c>
      <c r="AH165" s="3" t="str">
        <f aca="false">IF(OR(O165="Qualified",O165="Won",O165="Lost"),1,IF(O165="Unqualified",0,""))</f>
        <v/>
      </c>
    </row>
    <row r="166" customFormat="false" ht="15" hidden="false" customHeight="true" outlineLevel="0" collapsed="false">
      <c r="A166" s="3" t="s">
        <v>780</v>
      </c>
      <c r="B166" s="9" t="n">
        <v>46006.9340277778</v>
      </c>
      <c r="C166" s="3" t="s">
        <v>76</v>
      </c>
      <c r="D166" s="3" t="s">
        <v>781</v>
      </c>
      <c r="E166" s="3" t="s">
        <v>782</v>
      </c>
      <c r="F166" s="3" t="s">
        <v>63</v>
      </c>
      <c r="G166" s="3"/>
      <c r="H166" s="3"/>
      <c r="I166" s="3" t="s">
        <v>73</v>
      </c>
      <c r="J166" s="3" t="s">
        <v>65</v>
      </c>
      <c r="K166" s="3" t="s">
        <v>322</v>
      </c>
      <c r="L166" s="3" t="n">
        <v>1</v>
      </c>
      <c r="M166" s="3" t="n">
        <v>44.9</v>
      </c>
      <c r="N166" s="3" t="s">
        <v>59</v>
      </c>
      <c r="O166" s="3"/>
      <c r="P166" s="10"/>
      <c r="Q166" s="3" t="n">
        <f aca="false">IF(F166="Disposable",1,0)</f>
        <v>1</v>
      </c>
      <c r="R166" s="3" t="n">
        <f aca="false">IF(SUMPRODUCT(--ISNUMBER(SEARCH('Spam Rules'!$A$22:$A$35,K166)))&gt;0,1,0)</f>
        <v>0</v>
      </c>
      <c r="S166" s="3" t="n">
        <f aca="false">IF(AND(F166="Free",G166=""),1,0)</f>
        <v>0</v>
      </c>
      <c r="T166" s="3" t="n">
        <f aca="false">IF(LEN(TRIM(K166))&lt;15,1,0)</f>
        <v>1</v>
      </c>
      <c r="U166" s="3" t="n">
        <f aca="false">IF(COUNTIF($E$2:$E$801,E166)&gt;1,1,0)</f>
        <v>0</v>
      </c>
      <c r="V166" s="3" t="n">
        <f aca="false">Q166*'Spam Rules'!$H$6+R166*'Spam Rules'!$H$7+S166*'Spam Rules'!$H$8+T166*'Spam Rules'!$H$9+U166*'Spam Rules'!$H$10</f>
        <v>2</v>
      </c>
      <c r="W166" s="3" t="str">
        <f aca="false">IF(V166&gt;='Spam Rules'!$B$3,"Likely Spam","Genuine")</f>
        <v>Likely Spam</v>
      </c>
      <c r="X166" s="3" t="n">
        <f aca="false">IFERROR(INDEX('Scoring Model'!$B$5:$B$11,MATCH(C166,'Scoring Model'!$A$5:$A$11,0)),0)</f>
        <v>0</v>
      </c>
      <c r="Y166" s="3" t="n">
        <f aca="false">IFERROR(INDEX('Scoring Model'!$E$5:$E$7,MATCH(F166,'Scoring Model'!$D$5:$D$7,0)),0)</f>
        <v>0</v>
      </c>
      <c r="Z166" s="3" t="n">
        <f aca="false">IFERROR(INDEX('Scoring Model'!$H$5:$H$13,MATCH(J166,'Scoring Model'!$G$5:$G$13,0)),0)</f>
        <v>0</v>
      </c>
      <c r="AA166" s="3" t="n">
        <f aca="false">IF(L166&gt;='Scoring Model'!$B$14,'Scoring Model'!$B$15,IF(L166&gt;='Scoring Model'!$B$16,'Scoring Model'!$B$17,0))</f>
        <v>0</v>
      </c>
      <c r="AB166" s="3" t="n">
        <f aca="false">IF(SUMPRODUCT(--ISNUMBER(SEARCH('Scoring Model'!$D$16:$D$25,K166)))&gt;0,'Scoring Model'!$B$18,0)</f>
        <v>0</v>
      </c>
      <c r="AC166" s="3" t="n">
        <f aca="false">IF(SUMPRODUCT(--ISNUMBER(SEARCH('Scoring Model'!$G$16:$G$23,K166)))&gt;0,'Scoring Model'!$B$19,0)</f>
        <v>0</v>
      </c>
      <c r="AD166" s="3" t="str">
        <f aca="false">IF(W166="Likely Spam","",SUM(X166:AC166))</f>
        <v/>
      </c>
      <c r="AE166" s="3" t="str">
        <f aca="false">IF(W166="Likely Spam","Spam",IF(AD166&gt;='Scoring Model'!$B$21,"Hot",IF(AD166&gt;='Scoring Model'!$B$22,"Warm","Nurture")))</f>
        <v>Spam</v>
      </c>
      <c r="AF166" s="3" t="str">
        <f aca="false">IF(W166="Likely Spam","Flagged by spam rules",TRIM(IF(X166&gt;=20,"Strong source. ","")&amp;IF(Y166&gt;0,"Company email. ","")&amp;IF(Z166&gt;=15,"High-value product. ","")&amp;IF(AA166&gt;='Scoring Model'!$B$15,"High engagement. ","")&amp;IF(AB166&gt;0,"Buying intent in message. ","")&amp;IF(AC166&lt;0,"Negative intent in message. ","")))</f>
        <v>Flagged by spam rules</v>
      </c>
      <c r="AG166" s="11" t="str">
        <f aca="false">IF(W166="Likely Spam","",1/(1+EXP(-('Conversion Model'!$B$5+IFERROR(INDEX('Conversion Model'!$B$8:$B$14,MATCH(C166,'Conversion Model'!$A$8:$A$14,0)),0)+IFERROR(INDEX('Conversion Model'!$E$8:$E$9,MATCH(F166,'Conversion Model'!$D$8:$D$9,0)),0)+IFERROR(INDEX('Conversion Model'!$H$8:$H$12,MATCH(IF(LEFT(J166,8)="Payments","Payments",IF(LEFT(J166,7)="Lending","Lending",J166)),'Conversion Model'!$G$8:$G$12,0)),0)+MIN(L166,15)*'Conversion Model'!$B$17+IF(SUMPRODUCT(--ISNUMBER(SEARCH('Scoring Model'!$D$16:$D$25,K166)))&gt;0,'Conversion Model'!$B$18,0)+IF(SUMPRODUCT(--ISNUMBER(SEARCH('Scoring Model'!$G$16:$G$23,K166)))&gt;0,'Conversion Model'!$B$19,0)))))</f>
        <v/>
      </c>
      <c r="AH166" s="3" t="str">
        <f aca="false">IF(OR(O166="Qualified",O166="Won",O166="Lost"),1,IF(O166="Unqualified",0,""))</f>
        <v/>
      </c>
    </row>
    <row r="167" customFormat="false" ht="15" hidden="false" customHeight="true" outlineLevel="0" collapsed="false">
      <c r="A167" s="3" t="s">
        <v>783</v>
      </c>
      <c r="B167" s="9" t="n">
        <v>46007.6173611111</v>
      </c>
      <c r="C167" s="3" t="s">
        <v>160</v>
      </c>
      <c r="D167" s="3" t="s">
        <v>784</v>
      </c>
      <c r="E167" s="3" t="s">
        <v>785</v>
      </c>
      <c r="F167" s="3" t="s">
        <v>22</v>
      </c>
      <c r="G167" s="3" t="s">
        <v>786</v>
      </c>
      <c r="H167" s="3" t="s">
        <v>787</v>
      </c>
      <c r="I167" s="3" t="s">
        <v>56</v>
      </c>
      <c r="J167" s="3" t="s">
        <v>81</v>
      </c>
      <c r="K167" s="3" t="s">
        <v>303</v>
      </c>
      <c r="L167" s="3" t="n">
        <v>7</v>
      </c>
      <c r="M167" s="3" t="n">
        <v>8.4</v>
      </c>
      <c r="N167" s="3" t="s">
        <v>59</v>
      </c>
      <c r="O167" s="3"/>
      <c r="P167" s="10"/>
      <c r="Q167" s="3" t="n">
        <f aca="false">IF(F167="Disposable",1,0)</f>
        <v>0</v>
      </c>
      <c r="R167" s="3" t="n">
        <f aca="false">IF(SUMPRODUCT(--ISNUMBER(SEARCH('Spam Rules'!$A$22:$A$35,K167)))&gt;0,1,0)</f>
        <v>0</v>
      </c>
      <c r="S167" s="3" t="n">
        <f aca="false">IF(AND(F167="Free",G167=""),1,0)</f>
        <v>0</v>
      </c>
      <c r="T167" s="3" t="n">
        <f aca="false">IF(LEN(TRIM(K167))&lt;15,1,0)</f>
        <v>0</v>
      </c>
      <c r="U167" s="3" t="n">
        <f aca="false">IF(COUNTIF($E$2:$E$801,E167)&gt;1,1,0)</f>
        <v>0</v>
      </c>
      <c r="V167" s="3" t="n">
        <f aca="false">Q167*'Spam Rules'!$H$6+R167*'Spam Rules'!$H$7+S167*'Spam Rules'!$H$8+T167*'Spam Rules'!$H$9+U167*'Spam Rules'!$H$10</f>
        <v>0</v>
      </c>
      <c r="W167" s="3" t="str">
        <f aca="false">IF(V167&gt;='Spam Rules'!$B$3,"Likely Spam","Genuine")</f>
        <v>Genuine</v>
      </c>
      <c r="X167" s="3" t="n">
        <f aca="false">IFERROR(INDEX('Scoring Model'!$B$5:$B$11,MATCH(C167,'Scoring Model'!$A$5:$A$11,0)),0)</f>
        <v>25</v>
      </c>
      <c r="Y167" s="3" t="n">
        <f aca="false">IFERROR(INDEX('Scoring Model'!$E$5:$E$7,MATCH(F167,'Scoring Model'!$D$5:$D$7,0)),0)</f>
        <v>20</v>
      </c>
      <c r="Z167" s="3" t="n">
        <f aca="false">IFERROR(INDEX('Scoring Model'!$H$5:$H$13,MATCH(J167,'Scoring Model'!$G$5:$G$13,0)),0)</f>
        <v>5</v>
      </c>
      <c r="AA167" s="3" t="n">
        <f aca="false">IF(L167&gt;='Scoring Model'!$B$14,'Scoring Model'!$B$15,IF(L167&gt;='Scoring Model'!$B$16,'Scoring Model'!$B$17,0))</f>
        <v>8</v>
      </c>
      <c r="AB167" s="3" t="n">
        <f aca="false">IF(SUMPRODUCT(--ISNUMBER(SEARCH('Scoring Model'!$D$16:$D$25,K167)))&gt;0,'Scoring Model'!$B$18,0)</f>
        <v>15</v>
      </c>
      <c r="AC167" s="3" t="n">
        <f aca="false">IF(SUMPRODUCT(--ISNUMBER(SEARCH('Scoring Model'!$G$16:$G$23,K167)))&gt;0,'Scoring Model'!$B$19,0)</f>
        <v>0</v>
      </c>
      <c r="AD167" s="3" t="n">
        <f aca="false">IF(W167="Likely Spam","",SUM(X167:AC167))</f>
        <v>73</v>
      </c>
      <c r="AE167" s="3" t="str">
        <f aca="false">IF(W167="Likely Spam","Spam",IF(AD167&gt;='Scoring Model'!$B$21,"Hot",IF(AD167&gt;='Scoring Model'!$B$22,"Warm","Nurture")))</f>
        <v>Hot</v>
      </c>
      <c r="AF167" s="3" t="str">
        <f aca="false">IF(W167="Likely Spam","Flagged by spam rules",TRIM(IF(X167&gt;=20,"Strong source. ","")&amp;IF(Y167&gt;0,"Company email. ","")&amp;IF(Z167&gt;=15,"High-value product. ","")&amp;IF(AA167&gt;='Scoring Model'!$B$15,"High engagement. ","")&amp;IF(AB167&gt;0,"Buying intent in message. ","")&amp;IF(AC167&lt;0,"Negative intent in message. ","")))</f>
        <v>Strong source. Company email. Buying intent in message.</v>
      </c>
      <c r="AG167" s="11" t="n">
        <f aca="false">IF(W167="Likely Spam","",1/(1+EXP(-('Conversion Model'!$B$5+IFERROR(INDEX('Conversion Model'!$B$8:$B$14,MATCH(C167,'Conversion Model'!$A$8:$A$14,0)),0)+IFERROR(INDEX('Conversion Model'!$E$8:$E$9,MATCH(F167,'Conversion Model'!$D$8:$D$9,0)),0)+IFERROR(INDEX('Conversion Model'!$H$8:$H$12,MATCH(IF(LEFT(J167,8)="Payments","Payments",IF(LEFT(J167,7)="Lending","Lending",J167)),'Conversion Model'!$G$8:$G$12,0)),0)+MIN(L167,15)*'Conversion Model'!$B$17+IF(SUMPRODUCT(--ISNUMBER(SEARCH('Scoring Model'!$D$16:$D$25,K167)))&gt;0,'Conversion Model'!$B$18,0)+IF(SUMPRODUCT(--ISNUMBER(SEARCH('Scoring Model'!$G$16:$G$23,K167)))&gt;0,'Conversion Model'!$B$19,0)))))</f>
        <v>0.925532054833972</v>
      </c>
      <c r="AH167" s="3" t="str">
        <f aca="false">IF(OR(O167="Qualified",O167="Won",O167="Lost"),1,IF(O167="Unqualified",0,""))</f>
        <v/>
      </c>
    </row>
    <row r="168" customFormat="false" ht="15" hidden="false" customHeight="true" outlineLevel="0" collapsed="false">
      <c r="A168" s="3" t="s">
        <v>788</v>
      </c>
      <c r="B168" s="9" t="n">
        <v>46008.0472222222</v>
      </c>
      <c r="C168" s="3" t="s">
        <v>112</v>
      </c>
      <c r="D168" s="3" t="s">
        <v>789</v>
      </c>
      <c r="E168" s="3" t="s">
        <v>790</v>
      </c>
      <c r="F168" s="3" t="s">
        <v>54</v>
      </c>
      <c r="G168" s="3" t="s">
        <v>467</v>
      </c>
      <c r="H168" s="3"/>
      <c r="I168" s="3" t="s">
        <v>334</v>
      </c>
      <c r="J168" s="3" t="s">
        <v>145</v>
      </c>
      <c r="K168" s="3" t="s">
        <v>378</v>
      </c>
      <c r="L168" s="3" t="n">
        <v>3</v>
      </c>
      <c r="M168" s="3" t="n">
        <v>4.7</v>
      </c>
      <c r="N168" s="3" t="s">
        <v>59</v>
      </c>
      <c r="O168" s="3" t="s">
        <v>194</v>
      </c>
      <c r="P168" s="10"/>
      <c r="Q168" s="3" t="n">
        <f aca="false">IF(F168="Disposable",1,0)</f>
        <v>0</v>
      </c>
      <c r="R168" s="3" t="n">
        <f aca="false">IF(SUMPRODUCT(--ISNUMBER(SEARCH('Spam Rules'!$A$22:$A$35,K168)))&gt;0,1,0)</f>
        <v>0</v>
      </c>
      <c r="S168" s="3" t="n">
        <f aca="false">IF(AND(F168="Free",G168=""),1,0)</f>
        <v>0</v>
      </c>
      <c r="T168" s="3" t="n">
        <f aca="false">IF(LEN(TRIM(K168))&lt;15,1,0)</f>
        <v>0</v>
      </c>
      <c r="U168" s="3" t="n">
        <f aca="false">IF(COUNTIF($E$2:$E$801,E168)&gt;1,1,0)</f>
        <v>0</v>
      </c>
      <c r="V168" s="3" t="n">
        <f aca="false">Q168*'Spam Rules'!$H$6+R168*'Spam Rules'!$H$7+S168*'Spam Rules'!$H$8+T168*'Spam Rules'!$H$9+U168*'Spam Rules'!$H$10</f>
        <v>0</v>
      </c>
      <c r="W168" s="3" t="str">
        <f aca="false">IF(V168&gt;='Spam Rules'!$B$3,"Likely Spam","Genuine")</f>
        <v>Genuine</v>
      </c>
      <c r="X168" s="3" t="n">
        <f aca="false">IFERROR(INDEX('Scoring Model'!$B$5:$B$11,MATCH(C168,'Scoring Model'!$A$5:$A$11,0)),0)</f>
        <v>15</v>
      </c>
      <c r="Y168" s="3" t="n">
        <f aca="false">IFERROR(INDEX('Scoring Model'!$E$5:$E$7,MATCH(F168,'Scoring Model'!$D$5:$D$7,0)),0)</f>
        <v>0</v>
      </c>
      <c r="Z168" s="3" t="n">
        <f aca="false">IFERROR(INDEX('Scoring Model'!$H$5:$H$13,MATCH(J168,'Scoring Model'!$G$5:$G$13,0)),0)</f>
        <v>5</v>
      </c>
      <c r="AA168" s="3" t="n">
        <f aca="false">IF(L168&gt;='Scoring Model'!$B$14,'Scoring Model'!$B$15,IF(L168&gt;='Scoring Model'!$B$16,'Scoring Model'!$B$17,0))</f>
        <v>0</v>
      </c>
      <c r="AB168" s="3" t="n">
        <f aca="false">IF(SUMPRODUCT(--ISNUMBER(SEARCH('Scoring Model'!$D$16:$D$25,K168)))&gt;0,'Scoring Model'!$B$18,0)</f>
        <v>0</v>
      </c>
      <c r="AC168" s="3" t="n">
        <f aca="false">IF(SUMPRODUCT(--ISNUMBER(SEARCH('Scoring Model'!$G$16:$G$23,K168)))&gt;0,'Scoring Model'!$B$19,0)</f>
        <v>-30</v>
      </c>
      <c r="AD168" s="3" t="n">
        <f aca="false">IF(W168="Likely Spam","",SUM(X168:AC168))</f>
        <v>-10</v>
      </c>
      <c r="AE168" s="3" t="str">
        <f aca="false">IF(W168="Likely Spam","Spam",IF(AD168&gt;='Scoring Model'!$B$21,"Hot",IF(AD168&gt;='Scoring Model'!$B$22,"Warm","Nurture")))</f>
        <v>Nurture</v>
      </c>
      <c r="AF168" s="3" t="str">
        <f aca="false">IF(W168="Likely Spam","Flagged by spam rules",TRIM(IF(X168&gt;=20,"Strong source. ","")&amp;IF(Y168&gt;0,"Company email. ","")&amp;IF(Z168&gt;=15,"High-value product. ","")&amp;IF(AA168&gt;='Scoring Model'!$B$15,"High engagement. ","")&amp;IF(AB168&gt;0,"Buying intent in message. ","")&amp;IF(AC168&lt;0,"Negative intent in message. ","")))</f>
        <v>Negative intent in message.</v>
      </c>
      <c r="AG168" s="11" t="n">
        <f aca="false">IF(W168="Likely Spam","",1/(1+EXP(-('Conversion Model'!$B$5+IFERROR(INDEX('Conversion Model'!$B$8:$B$14,MATCH(C168,'Conversion Model'!$A$8:$A$14,0)),0)+IFERROR(INDEX('Conversion Model'!$E$8:$E$9,MATCH(F168,'Conversion Model'!$D$8:$D$9,0)),0)+IFERROR(INDEX('Conversion Model'!$H$8:$H$12,MATCH(IF(LEFT(J168,8)="Payments","Payments",IF(LEFT(J168,7)="Lending","Lending",J168)),'Conversion Model'!$G$8:$G$12,0)),0)+MIN(L168,15)*'Conversion Model'!$B$17+IF(SUMPRODUCT(--ISNUMBER(SEARCH('Scoring Model'!$D$16:$D$25,K168)))&gt;0,'Conversion Model'!$B$18,0)+IF(SUMPRODUCT(--ISNUMBER(SEARCH('Scoring Model'!$G$16:$G$23,K168)))&gt;0,'Conversion Model'!$B$19,0)))))</f>
        <v>0.0065938643916765</v>
      </c>
      <c r="AH168" s="3" t="n">
        <f aca="false">IF(OR(O168="Qualified",O168="Won",O168="Lost"),1,IF(O168="Unqualified",0,""))</f>
        <v>0</v>
      </c>
    </row>
    <row r="169" customFormat="false" ht="15" hidden="false" customHeight="true" outlineLevel="0" collapsed="false">
      <c r="A169" s="3" t="s">
        <v>791</v>
      </c>
      <c r="B169" s="9" t="n">
        <v>46008.0611111111</v>
      </c>
      <c r="C169" s="3" t="s">
        <v>128</v>
      </c>
      <c r="D169" s="3" t="s">
        <v>792</v>
      </c>
      <c r="E169" s="3" t="s">
        <v>793</v>
      </c>
      <c r="F169" s="3" t="s">
        <v>54</v>
      </c>
      <c r="G169" s="3" t="s">
        <v>777</v>
      </c>
      <c r="H169" s="3"/>
      <c r="I169" s="3" t="s">
        <v>116</v>
      </c>
      <c r="J169" s="3" t="s">
        <v>108</v>
      </c>
      <c r="K169" s="3" t="s">
        <v>189</v>
      </c>
      <c r="L169" s="3" t="n">
        <v>6</v>
      </c>
      <c r="M169" s="3" t="n">
        <v>12.8</v>
      </c>
      <c r="N169" s="3" t="s">
        <v>96</v>
      </c>
      <c r="O169" s="3"/>
      <c r="P169" s="10"/>
      <c r="Q169" s="3" t="n">
        <f aca="false">IF(F169="Disposable",1,0)</f>
        <v>0</v>
      </c>
      <c r="R169" s="3" t="n">
        <f aca="false">IF(SUMPRODUCT(--ISNUMBER(SEARCH('Spam Rules'!$A$22:$A$35,K169)))&gt;0,1,0)</f>
        <v>0</v>
      </c>
      <c r="S169" s="3" t="n">
        <f aca="false">IF(AND(F169="Free",G169=""),1,0)</f>
        <v>0</v>
      </c>
      <c r="T169" s="3" t="n">
        <f aca="false">IF(LEN(TRIM(K169))&lt;15,1,0)</f>
        <v>0</v>
      </c>
      <c r="U169" s="3" t="n">
        <f aca="false">IF(COUNTIF($E$2:$E$801,E169)&gt;1,1,0)</f>
        <v>1</v>
      </c>
      <c r="V169" s="3" t="n">
        <f aca="false">Q169*'Spam Rules'!$H$6+R169*'Spam Rules'!$H$7+S169*'Spam Rules'!$H$8+T169*'Spam Rules'!$H$9+U169*'Spam Rules'!$H$10</f>
        <v>0</v>
      </c>
      <c r="W169" s="3" t="str">
        <f aca="false">IF(V169&gt;='Spam Rules'!$B$3,"Likely Spam","Genuine")</f>
        <v>Genuine</v>
      </c>
      <c r="X169" s="3" t="n">
        <f aca="false">IFERROR(INDEX('Scoring Model'!$B$5:$B$11,MATCH(C169,'Scoring Model'!$A$5:$A$11,0)),0)</f>
        <v>30</v>
      </c>
      <c r="Y169" s="3" t="n">
        <f aca="false">IFERROR(INDEX('Scoring Model'!$E$5:$E$7,MATCH(F169,'Scoring Model'!$D$5:$D$7,0)),0)</f>
        <v>0</v>
      </c>
      <c r="Z169" s="3" t="n">
        <f aca="false">IFERROR(INDEX('Scoring Model'!$H$5:$H$13,MATCH(J169,'Scoring Model'!$G$5:$G$13,0)),0)</f>
        <v>15</v>
      </c>
      <c r="AA169" s="3" t="n">
        <f aca="false">IF(L169&gt;='Scoring Model'!$B$14,'Scoring Model'!$B$15,IF(L169&gt;='Scoring Model'!$B$16,'Scoring Model'!$B$17,0))</f>
        <v>8</v>
      </c>
      <c r="AB169" s="3" t="n">
        <f aca="false">IF(SUMPRODUCT(--ISNUMBER(SEARCH('Scoring Model'!$D$16:$D$25,K169)))&gt;0,'Scoring Model'!$B$18,0)</f>
        <v>15</v>
      </c>
      <c r="AC169" s="3" t="n">
        <f aca="false">IF(SUMPRODUCT(--ISNUMBER(SEARCH('Scoring Model'!$G$16:$G$23,K169)))&gt;0,'Scoring Model'!$B$19,0)</f>
        <v>0</v>
      </c>
      <c r="AD169" s="3" t="n">
        <f aca="false">IF(W169="Likely Spam","",SUM(X169:AC169))</f>
        <v>68</v>
      </c>
      <c r="AE169" s="3" t="str">
        <f aca="false">IF(W169="Likely Spam","Spam",IF(AD169&gt;='Scoring Model'!$B$21,"Hot",IF(AD169&gt;='Scoring Model'!$B$22,"Warm","Nurture")))</f>
        <v>Warm</v>
      </c>
      <c r="AF169" s="3" t="str">
        <f aca="false">IF(W169="Likely Spam","Flagged by spam rules",TRIM(IF(X169&gt;=20,"Strong source. ","")&amp;IF(Y169&gt;0,"Company email. ","")&amp;IF(Z169&gt;=15,"High-value product. ","")&amp;IF(AA169&gt;='Scoring Model'!$B$15,"High engagement. ","")&amp;IF(AB169&gt;0,"Buying intent in message. ","")&amp;IF(AC169&lt;0,"Negative intent in message. ","")))</f>
        <v>Strong source. High-value product. Buying intent in message.</v>
      </c>
      <c r="AG169" s="11" t="n">
        <f aca="false">IF(W169="Likely Spam","",1/(1+EXP(-('Conversion Model'!$B$5+IFERROR(INDEX('Conversion Model'!$B$8:$B$14,MATCH(C169,'Conversion Model'!$A$8:$A$14,0)),0)+IFERROR(INDEX('Conversion Model'!$E$8:$E$9,MATCH(F169,'Conversion Model'!$D$8:$D$9,0)),0)+IFERROR(INDEX('Conversion Model'!$H$8:$H$12,MATCH(IF(LEFT(J169,8)="Payments","Payments",IF(LEFT(J169,7)="Lending","Lending",J169)),'Conversion Model'!$G$8:$G$12,0)),0)+MIN(L169,15)*'Conversion Model'!$B$17+IF(SUMPRODUCT(--ISNUMBER(SEARCH('Scoring Model'!$D$16:$D$25,K169)))&gt;0,'Conversion Model'!$B$18,0)+IF(SUMPRODUCT(--ISNUMBER(SEARCH('Scoring Model'!$G$16:$G$23,K169)))&gt;0,'Conversion Model'!$B$19,0)))))</f>
        <v>0.8701177187463</v>
      </c>
      <c r="AH169" s="3" t="str">
        <f aca="false">IF(OR(O169="Qualified",O169="Won",O169="Lost"),1,IF(O169="Unqualified",0,""))</f>
        <v/>
      </c>
    </row>
    <row r="170" customFormat="false" ht="15" hidden="false" customHeight="true" outlineLevel="0" collapsed="false">
      <c r="A170" s="3" t="s">
        <v>794</v>
      </c>
      <c r="B170" s="9" t="n">
        <v>46008.6805555556</v>
      </c>
      <c r="C170" s="3" t="s">
        <v>51</v>
      </c>
      <c r="D170" s="3" t="s">
        <v>649</v>
      </c>
      <c r="E170" s="3" t="s">
        <v>795</v>
      </c>
      <c r="F170" s="3" t="s">
        <v>63</v>
      </c>
      <c r="G170" s="3"/>
      <c r="H170" s="3"/>
      <c r="I170" s="3" t="s">
        <v>94</v>
      </c>
      <c r="J170" s="3" t="s">
        <v>65</v>
      </c>
      <c r="K170" s="3" t="s">
        <v>657</v>
      </c>
      <c r="L170" s="3" t="n">
        <v>2</v>
      </c>
      <c r="M170" s="3" t="n">
        <v>38.5</v>
      </c>
      <c r="N170" s="3" t="s">
        <v>96</v>
      </c>
      <c r="O170" s="3" t="s">
        <v>68</v>
      </c>
      <c r="P170" s="10"/>
      <c r="Q170" s="3" t="n">
        <f aca="false">IF(F170="Disposable",1,0)</f>
        <v>1</v>
      </c>
      <c r="R170" s="3" t="n">
        <f aca="false">IF(SUMPRODUCT(--ISNUMBER(SEARCH('Spam Rules'!$A$22:$A$35,K170)))&gt;0,1,0)</f>
        <v>1</v>
      </c>
      <c r="S170" s="3" t="n">
        <f aca="false">IF(AND(F170="Free",G170=""),1,0)</f>
        <v>0</v>
      </c>
      <c r="T170" s="3" t="n">
        <f aca="false">IF(LEN(TRIM(K170))&lt;15,1,0)</f>
        <v>0</v>
      </c>
      <c r="U170" s="3" t="n">
        <f aca="false">IF(COUNTIF($E$2:$E$801,E170)&gt;1,1,0)</f>
        <v>0</v>
      </c>
      <c r="V170" s="3" t="n">
        <f aca="false">Q170*'Spam Rules'!$H$6+R170*'Spam Rules'!$H$7+S170*'Spam Rules'!$H$8+T170*'Spam Rules'!$H$9+U170*'Spam Rules'!$H$10</f>
        <v>2</v>
      </c>
      <c r="W170" s="3" t="str">
        <f aca="false">IF(V170&gt;='Spam Rules'!$B$3,"Likely Spam","Genuine")</f>
        <v>Likely Spam</v>
      </c>
      <c r="X170" s="3" t="n">
        <f aca="false">IFERROR(INDEX('Scoring Model'!$B$5:$B$11,MATCH(C170,'Scoring Model'!$A$5:$A$11,0)),0)</f>
        <v>10</v>
      </c>
      <c r="Y170" s="3" t="n">
        <f aca="false">IFERROR(INDEX('Scoring Model'!$E$5:$E$7,MATCH(F170,'Scoring Model'!$D$5:$D$7,0)),0)</f>
        <v>0</v>
      </c>
      <c r="Z170" s="3" t="n">
        <f aca="false">IFERROR(INDEX('Scoring Model'!$H$5:$H$13,MATCH(J170,'Scoring Model'!$G$5:$G$13,0)),0)</f>
        <v>0</v>
      </c>
      <c r="AA170" s="3" t="n">
        <f aca="false">IF(L170&gt;='Scoring Model'!$B$14,'Scoring Model'!$B$15,IF(L170&gt;='Scoring Model'!$B$16,'Scoring Model'!$B$17,0))</f>
        <v>0</v>
      </c>
      <c r="AB170" s="3" t="n">
        <f aca="false">IF(SUMPRODUCT(--ISNUMBER(SEARCH('Scoring Model'!$D$16:$D$25,K170)))&gt;0,'Scoring Model'!$B$18,0)</f>
        <v>0</v>
      </c>
      <c r="AC170" s="3" t="n">
        <f aca="false">IF(SUMPRODUCT(--ISNUMBER(SEARCH('Scoring Model'!$G$16:$G$23,K170)))&gt;0,'Scoring Model'!$B$19,0)</f>
        <v>0</v>
      </c>
      <c r="AD170" s="3" t="str">
        <f aca="false">IF(W170="Likely Spam","",SUM(X170:AC170))</f>
        <v/>
      </c>
      <c r="AE170" s="3" t="str">
        <f aca="false">IF(W170="Likely Spam","Spam",IF(AD170&gt;='Scoring Model'!$B$21,"Hot",IF(AD170&gt;='Scoring Model'!$B$22,"Warm","Nurture")))</f>
        <v>Spam</v>
      </c>
      <c r="AF170" s="3" t="str">
        <f aca="false">IF(W170="Likely Spam","Flagged by spam rules",TRIM(IF(X170&gt;=20,"Strong source. ","")&amp;IF(Y170&gt;0,"Company email. ","")&amp;IF(Z170&gt;=15,"High-value product. ","")&amp;IF(AA170&gt;='Scoring Model'!$B$15,"High engagement. ","")&amp;IF(AB170&gt;0,"Buying intent in message. ","")&amp;IF(AC170&lt;0,"Negative intent in message. ","")))</f>
        <v>Flagged by spam rules</v>
      </c>
      <c r="AG170" s="11" t="str">
        <f aca="false">IF(W170="Likely Spam","",1/(1+EXP(-('Conversion Model'!$B$5+IFERROR(INDEX('Conversion Model'!$B$8:$B$14,MATCH(C170,'Conversion Model'!$A$8:$A$14,0)),0)+IFERROR(INDEX('Conversion Model'!$E$8:$E$9,MATCH(F170,'Conversion Model'!$D$8:$D$9,0)),0)+IFERROR(INDEX('Conversion Model'!$H$8:$H$12,MATCH(IF(LEFT(J170,8)="Payments","Payments",IF(LEFT(J170,7)="Lending","Lending",J170)),'Conversion Model'!$G$8:$G$12,0)),0)+MIN(L170,15)*'Conversion Model'!$B$17+IF(SUMPRODUCT(--ISNUMBER(SEARCH('Scoring Model'!$D$16:$D$25,K170)))&gt;0,'Conversion Model'!$B$18,0)+IF(SUMPRODUCT(--ISNUMBER(SEARCH('Scoring Model'!$G$16:$G$23,K170)))&gt;0,'Conversion Model'!$B$19,0)))))</f>
        <v/>
      </c>
      <c r="AH170" s="3" t="str">
        <f aca="false">IF(OR(O170="Qualified",O170="Won",O170="Lost"),1,IF(O170="Unqualified",0,""))</f>
        <v/>
      </c>
    </row>
    <row r="171" customFormat="false" ht="15" hidden="false" customHeight="true" outlineLevel="0" collapsed="false">
      <c r="A171" s="3" t="s">
        <v>796</v>
      </c>
      <c r="B171" s="9" t="n">
        <v>46009.3861111111</v>
      </c>
      <c r="C171" s="3" t="s">
        <v>51</v>
      </c>
      <c r="D171" s="3" t="s">
        <v>149</v>
      </c>
      <c r="E171" s="3" t="s">
        <v>797</v>
      </c>
      <c r="F171" s="3" t="s">
        <v>22</v>
      </c>
      <c r="G171" s="3" t="s">
        <v>798</v>
      </c>
      <c r="H171" s="3" t="s">
        <v>799</v>
      </c>
      <c r="I171" s="3" t="s">
        <v>107</v>
      </c>
      <c r="J171" s="3" t="s">
        <v>65</v>
      </c>
      <c r="K171" s="3" t="s">
        <v>193</v>
      </c>
      <c r="L171" s="3" t="n">
        <v>1</v>
      </c>
      <c r="M171" s="3" t="n">
        <v>14.1</v>
      </c>
      <c r="N171" s="3" t="s">
        <v>67</v>
      </c>
      <c r="O171" s="3" t="s">
        <v>194</v>
      </c>
      <c r="P171" s="10"/>
      <c r="Q171" s="3" t="n">
        <f aca="false">IF(F171="Disposable",1,0)</f>
        <v>0</v>
      </c>
      <c r="R171" s="3" t="n">
        <f aca="false">IF(SUMPRODUCT(--ISNUMBER(SEARCH('Spam Rules'!$A$22:$A$35,K171)))&gt;0,1,0)</f>
        <v>0</v>
      </c>
      <c r="S171" s="3" t="n">
        <f aca="false">IF(AND(F171="Free",G171=""),1,0)</f>
        <v>0</v>
      </c>
      <c r="T171" s="3" t="n">
        <f aca="false">IF(LEN(TRIM(K171))&lt;15,1,0)</f>
        <v>0</v>
      </c>
      <c r="U171" s="3" t="n">
        <f aca="false">IF(COUNTIF($E$2:$E$801,E171)&gt;1,1,0)</f>
        <v>0</v>
      </c>
      <c r="V171" s="3" t="n">
        <f aca="false">Q171*'Spam Rules'!$H$6+R171*'Spam Rules'!$H$7+S171*'Spam Rules'!$H$8+T171*'Spam Rules'!$H$9+U171*'Spam Rules'!$H$10</f>
        <v>0</v>
      </c>
      <c r="W171" s="3" t="str">
        <f aca="false">IF(V171&gt;='Spam Rules'!$B$3,"Likely Spam","Genuine")</f>
        <v>Genuine</v>
      </c>
      <c r="X171" s="3" t="n">
        <f aca="false">IFERROR(INDEX('Scoring Model'!$B$5:$B$11,MATCH(C171,'Scoring Model'!$A$5:$A$11,0)),0)</f>
        <v>10</v>
      </c>
      <c r="Y171" s="3" t="n">
        <f aca="false">IFERROR(INDEX('Scoring Model'!$E$5:$E$7,MATCH(F171,'Scoring Model'!$D$5:$D$7,0)),0)</f>
        <v>20</v>
      </c>
      <c r="Z171" s="3" t="n">
        <f aca="false">IFERROR(INDEX('Scoring Model'!$H$5:$H$13,MATCH(J171,'Scoring Model'!$G$5:$G$13,0)),0)</f>
        <v>0</v>
      </c>
      <c r="AA171" s="3" t="n">
        <f aca="false">IF(L171&gt;='Scoring Model'!$B$14,'Scoring Model'!$B$15,IF(L171&gt;='Scoring Model'!$B$16,'Scoring Model'!$B$17,0))</f>
        <v>0</v>
      </c>
      <c r="AB171" s="3" t="n">
        <f aca="false">IF(SUMPRODUCT(--ISNUMBER(SEARCH('Scoring Model'!$D$16:$D$25,K171)))&gt;0,'Scoring Model'!$B$18,0)</f>
        <v>0</v>
      </c>
      <c r="AC171" s="3" t="n">
        <f aca="false">IF(SUMPRODUCT(--ISNUMBER(SEARCH('Scoring Model'!$G$16:$G$23,K171)))&gt;0,'Scoring Model'!$B$19,0)</f>
        <v>-30</v>
      </c>
      <c r="AD171" s="3" t="n">
        <f aca="false">IF(W171="Likely Spam","",SUM(X171:AC171))</f>
        <v>0</v>
      </c>
      <c r="AE171" s="3" t="str">
        <f aca="false">IF(W171="Likely Spam","Spam",IF(AD171&gt;='Scoring Model'!$B$21,"Hot",IF(AD171&gt;='Scoring Model'!$B$22,"Warm","Nurture")))</f>
        <v>Nurture</v>
      </c>
      <c r="AF171" s="3" t="str">
        <f aca="false">IF(W171="Likely Spam","Flagged by spam rules",TRIM(IF(X171&gt;=20,"Strong source. ","")&amp;IF(Y171&gt;0,"Company email. ","")&amp;IF(Z171&gt;=15,"High-value product. ","")&amp;IF(AA171&gt;='Scoring Model'!$B$15,"High engagement. ","")&amp;IF(AB171&gt;0,"Buying intent in message. ","")&amp;IF(AC171&lt;0,"Negative intent in message. ","")))</f>
        <v>Company email. Negative intent in message.</v>
      </c>
      <c r="AG171" s="11" t="n">
        <f aca="false">IF(W171="Likely Spam","",1/(1+EXP(-('Conversion Model'!$B$5+IFERROR(INDEX('Conversion Model'!$B$8:$B$14,MATCH(C171,'Conversion Model'!$A$8:$A$14,0)),0)+IFERROR(INDEX('Conversion Model'!$E$8:$E$9,MATCH(F171,'Conversion Model'!$D$8:$D$9,0)),0)+IFERROR(INDEX('Conversion Model'!$H$8:$H$12,MATCH(IF(LEFT(J171,8)="Payments","Payments",IF(LEFT(J171,7)="Lending","Lending",J171)),'Conversion Model'!$G$8:$G$12,0)),0)+MIN(L171,15)*'Conversion Model'!$B$17+IF(SUMPRODUCT(--ISNUMBER(SEARCH('Scoring Model'!$D$16:$D$25,K171)))&gt;0,'Conversion Model'!$B$18,0)+IF(SUMPRODUCT(--ISNUMBER(SEARCH('Scoring Model'!$G$16:$G$23,K171)))&gt;0,'Conversion Model'!$B$19,0)))))</f>
        <v>0.00223561679177751</v>
      </c>
      <c r="AH171" s="3" t="n">
        <f aca="false">IF(OR(O171="Qualified",O171="Won",O171="Lost"),1,IF(O171="Unqualified",0,""))</f>
        <v>0</v>
      </c>
    </row>
    <row r="172" customFormat="false" ht="15" hidden="false" customHeight="true" outlineLevel="0" collapsed="false">
      <c r="A172" s="3" t="s">
        <v>800</v>
      </c>
      <c r="B172" s="9" t="n">
        <v>46010.9166666667</v>
      </c>
      <c r="C172" s="3" t="s">
        <v>160</v>
      </c>
      <c r="D172" s="3" t="s">
        <v>406</v>
      </c>
      <c r="E172" s="3" t="s">
        <v>801</v>
      </c>
      <c r="F172" s="3" t="s">
        <v>22</v>
      </c>
      <c r="G172" s="3" t="s">
        <v>802</v>
      </c>
      <c r="H172" s="3" t="s">
        <v>803</v>
      </c>
      <c r="I172" s="3" t="s">
        <v>116</v>
      </c>
      <c r="J172" s="3" t="s">
        <v>122</v>
      </c>
      <c r="K172" s="3" t="s">
        <v>101</v>
      </c>
      <c r="L172" s="3" t="n">
        <v>3</v>
      </c>
      <c r="M172" s="3" t="n">
        <v>4</v>
      </c>
      <c r="N172" s="3" t="s">
        <v>171</v>
      </c>
      <c r="O172" s="3" t="s">
        <v>194</v>
      </c>
      <c r="P172" s="10"/>
      <c r="Q172" s="3" t="n">
        <f aca="false">IF(F172="Disposable",1,0)</f>
        <v>0</v>
      </c>
      <c r="R172" s="3" t="n">
        <f aca="false">IF(SUMPRODUCT(--ISNUMBER(SEARCH('Spam Rules'!$A$22:$A$35,K172)))&gt;0,1,0)</f>
        <v>0</v>
      </c>
      <c r="S172" s="3" t="n">
        <f aca="false">IF(AND(F172="Free",G172=""),1,0)</f>
        <v>0</v>
      </c>
      <c r="T172" s="3" t="n">
        <f aca="false">IF(LEN(TRIM(K172))&lt;15,1,0)</f>
        <v>0</v>
      </c>
      <c r="U172" s="3" t="n">
        <f aca="false">IF(COUNTIF($E$2:$E$801,E172)&gt;1,1,0)</f>
        <v>0</v>
      </c>
      <c r="V172" s="3" t="n">
        <f aca="false">Q172*'Spam Rules'!$H$6+R172*'Spam Rules'!$H$7+S172*'Spam Rules'!$H$8+T172*'Spam Rules'!$H$9+U172*'Spam Rules'!$H$10</f>
        <v>0</v>
      </c>
      <c r="W172" s="3" t="str">
        <f aca="false">IF(V172&gt;='Spam Rules'!$B$3,"Likely Spam","Genuine")</f>
        <v>Genuine</v>
      </c>
      <c r="X172" s="3" t="n">
        <f aca="false">IFERROR(INDEX('Scoring Model'!$B$5:$B$11,MATCH(C172,'Scoring Model'!$A$5:$A$11,0)),0)</f>
        <v>25</v>
      </c>
      <c r="Y172" s="3" t="n">
        <f aca="false">IFERROR(INDEX('Scoring Model'!$E$5:$E$7,MATCH(F172,'Scoring Model'!$D$5:$D$7,0)),0)</f>
        <v>20</v>
      </c>
      <c r="Z172" s="3" t="n">
        <f aca="false">IFERROR(INDEX('Scoring Model'!$H$5:$H$13,MATCH(J172,'Scoring Model'!$G$5:$G$13,0)),0)</f>
        <v>15</v>
      </c>
      <c r="AA172" s="3" t="n">
        <f aca="false">IF(L172&gt;='Scoring Model'!$B$14,'Scoring Model'!$B$15,IF(L172&gt;='Scoring Model'!$B$16,'Scoring Model'!$B$17,0))</f>
        <v>0</v>
      </c>
      <c r="AB172" s="3" t="n">
        <f aca="false">IF(SUMPRODUCT(--ISNUMBER(SEARCH('Scoring Model'!$D$16:$D$25,K172)))&gt;0,'Scoring Model'!$B$18,0)</f>
        <v>0</v>
      </c>
      <c r="AC172" s="3" t="n">
        <f aca="false">IF(SUMPRODUCT(--ISNUMBER(SEARCH('Scoring Model'!$G$16:$G$23,K172)))&gt;0,'Scoring Model'!$B$19,0)</f>
        <v>-30</v>
      </c>
      <c r="AD172" s="3" t="n">
        <f aca="false">IF(W172="Likely Spam","",SUM(X172:AC172))</f>
        <v>30</v>
      </c>
      <c r="AE172" s="3" t="str">
        <f aca="false">IF(W172="Likely Spam","Spam",IF(AD172&gt;='Scoring Model'!$B$21,"Hot",IF(AD172&gt;='Scoring Model'!$B$22,"Warm","Nurture")))</f>
        <v>Nurture</v>
      </c>
      <c r="AF172" s="3" t="str">
        <f aca="false">IF(W172="Likely Spam","Flagged by spam rules",TRIM(IF(X172&gt;=20,"Strong source. ","")&amp;IF(Y172&gt;0,"Company email. ","")&amp;IF(Z172&gt;=15,"High-value product. ","")&amp;IF(AA172&gt;='Scoring Model'!$B$15,"High engagement. ","")&amp;IF(AB172&gt;0,"Buying intent in message. ","")&amp;IF(AC172&lt;0,"Negative intent in message. ","")))</f>
        <v>Strong source. Company email. High-value product. Negative intent in message.</v>
      </c>
      <c r="AG172" s="11" t="n">
        <f aca="false">IF(W172="Likely Spam","",1/(1+EXP(-('Conversion Model'!$B$5+IFERROR(INDEX('Conversion Model'!$B$8:$B$14,MATCH(C172,'Conversion Model'!$A$8:$A$14,0)),0)+IFERROR(INDEX('Conversion Model'!$E$8:$E$9,MATCH(F172,'Conversion Model'!$D$8:$D$9,0)),0)+IFERROR(INDEX('Conversion Model'!$H$8:$H$12,MATCH(IF(LEFT(J172,8)="Payments","Payments",IF(LEFT(J172,7)="Lending","Lending",J172)),'Conversion Model'!$G$8:$G$12,0)),0)+MIN(L172,15)*'Conversion Model'!$B$17+IF(SUMPRODUCT(--ISNUMBER(SEARCH('Scoring Model'!$D$16:$D$25,K172)))&gt;0,'Conversion Model'!$B$18,0)+IF(SUMPRODUCT(--ISNUMBER(SEARCH('Scoring Model'!$G$16:$G$23,K172)))&gt;0,'Conversion Model'!$B$19,0)))))</f>
        <v>0.0216470777013617</v>
      </c>
      <c r="AH172" s="3" t="n">
        <f aca="false">IF(OR(O172="Qualified",O172="Won",O172="Lost"),1,IF(O172="Unqualified",0,""))</f>
        <v>0</v>
      </c>
    </row>
    <row r="173" customFormat="false" ht="15" hidden="false" customHeight="true" outlineLevel="0" collapsed="false">
      <c r="A173" s="3" t="s">
        <v>804</v>
      </c>
      <c r="B173" s="9" t="n">
        <v>46011.2194444445</v>
      </c>
      <c r="C173" s="3" t="s">
        <v>51</v>
      </c>
      <c r="D173" s="3" t="s">
        <v>495</v>
      </c>
      <c r="E173" s="3" t="s">
        <v>805</v>
      </c>
      <c r="F173" s="3" t="s">
        <v>54</v>
      </c>
      <c r="G173" s="3" t="s">
        <v>100</v>
      </c>
      <c r="H173" s="3"/>
      <c r="I173" s="3" t="s">
        <v>116</v>
      </c>
      <c r="J173" s="3" t="s">
        <v>165</v>
      </c>
      <c r="K173" s="3" t="s">
        <v>58</v>
      </c>
      <c r="L173" s="3" t="n">
        <v>1</v>
      </c>
      <c r="M173" s="3" t="n">
        <v>57.5</v>
      </c>
      <c r="N173" s="3" t="s">
        <v>96</v>
      </c>
      <c r="O173" s="3" t="s">
        <v>194</v>
      </c>
      <c r="P173" s="10"/>
      <c r="Q173" s="3" t="n">
        <f aca="false">IF(F173="Disposable",1,0)</f>
        <v>0</v>
      </c>
      <c r="R173" s="3" t="n">
        <f aca="false">IF(SUMPRODUCT(--ISNUMBER(SEARCH('Spam Rules'!$A$22:$A$35,K173)))&gt;0,1,0)</f>
        <v>0</v>
      </c>
      <c r="S173" s="3" t="n">
        <f aca="false">IF(AND(F173="Free",G173=""),1,0)</f>
        <v>0</v>
      </c>
      <c r="T173" s="3" t="n">
        <f aca="false">IF(LEN(TRIM(K173))&lt;15,1,0)</f>
        <v>0</v>
      </c>
      <c r="U173" s="3" t="n">
        <f aca="false">IF(COUNTIF($E$2:$E$801,E173)&gt;1,1,0)</f>
        <v>0</v>
      </c>
      <c r="V173" s="3" t="n">
        <f aca="false">Q173*'Spam Rules'!$H$6+R173*'Spam Rules'!$H$7+S173*'Spam Rules'!$H$8+T173*'Spam Rules'!$H$9+U173*'Spam Rules'!$H$10</f>
        <v>0</v>
      </c>
      <c r="W173" s="3" t="str">
        <f aca="false">IF(V173&gt;='Spam Rules'!$B$3,"Likely Spam","Genuine")</f>
        <v>Genuine</v>
      </c>
      <c r="X173" s="3" t="n">
        <f aca="false">IFERROR(INDEX('Scoring Model'!$B$5:$B$11,MATCH(C173,'Scoring Model'!$A$5:$A$11,0)),0)</f>
        <v>10</v>
      </c>
      <c r="Y173" s="3" t="n">
        <f aca="false">IFERROR(INDEX('Scoring Model'!$E$5:$E$7,MATCH(F173,'Scoring Model'!$D$5:$D$7,0)),0)</f>
        <v>0</v>
      </c>
      <c r="Z173" s="3" t="n">
        <f aca="false">IFERROR(INDEX('Scoring Model'!$H$5:$H$13,MATCH(J173,'Scoring Model'!$G$5:$G$13,0)),0)</f>
        <v>15</v>
      </c>
      <c r="AA173" s="3" t="n">
        <f aca="false">IF(L173&gt;='Scoring Model'!$B$14,'Scoring Model'!$B$15,IF(L173&gt;='Scoring Model'!$B$16,'Scoring Model'!$B$17,0))</f>
        <v>0</v>
      </c>
      <c r="AB173" s="3" t="n">
        <f aca="false">IF(SUMPRODUCT(--ISNUMBER(SEARCH('Scoring Model'!$D$16:$D$25,K173)))&gt;0,'Scoring Model'!$B$18,0)</f>
        <v>15</v>
      </c>
      <c r="AC173" s="3" t="n">
        <f aca="false">IF(SUMPRODUCT(--ISNUMBER(SEARCH('Scoring Model'!$G$16:$G$23,K173)))&gt;0,'Scoring Model'!$B$19,0)</f>
        <v>0</v>
      </c>
      <c r="AD173" s="3" t="n">
        <f aca="false">IF(W173="Likely Spam","",SUM(X173:AC173))</f>
        <v>40</v>
      </c>
      <c r="AE173" s="3" t="str">
        <f aca="false">IF(W173="Likely Spam","Spam",IF(AD173&gt;='Scoring Model'!$B$21,"Hot",IF(AD173&gt;='Scoring Model'!$B$22,"Warm","Nurture")))</f>
        <v>Nurture</v>
      </c>
      <c r="AF173" s="3" t="str">
        <f aca="false">IF(W173="Likely Spam","Flagged by spam rules",TRIM(IF(X173&gt;=20,"Strong source. ","")&amp;IF(Y173&gt;0,"Company email. ","")&amp;IF(Z173&gt;=15,"High-value product. ","")&amp;IF(AA173&gt;='Scoring Model'!$B$15,"High engagement. ","")&amp;IF(AB173&gt;0,"Buying intent in message. ","")&amp;IF(AC173&lt;0,"Negative intent in message. ","")))</f>
        <v>High-value product. Buying intent in message.</v>
      </c>
      <c r="AG173" s="11" t="n">
        <f aca="false">IF(W173="Likely Spam","",1/(1+EXP(-('Conversion Model'!$B$5+IFERROR(INDEX('Conversion Model'!$B$8:$B$14,MATCH(C173,'Conversion Model'!$A$8:$A$14,0)),0)+IFERROR(INDEX('Conversion Model'!$E$8:$E$9,MATCH(F173,'Conversion Model'!$D$8:$D$9,0)),0)+IFERROR(INDEX('Conversion Model'!$H$8:$H$12,MATCH(IF(LEFT(J173,8)="Payments","Payments",IF(LEFT(J173,7)="Lending","Lending",J173)),'Conversion Model'!$G$8:$G$12,0)),0)+MIN(L173,15)*'Conversion Model'!$B$17+IF(SUMPRODUCT(--ISNUMBER(SEARCH('Scoring Model'!$D$16:$D$25,K173)))&gt;0,'Conversion Model'!$B$18,0)+IF(SUMPRODUCT(--ISNUMBER(SEARCH('Scoring Model'!$G$16:$G$23,K173)))&gt;0,'Conversion Model'!$B$19,0)))))</f>
        <v>0.0354342203853855</v>
      </c>
      <c r="AH173" s="3" t="n">
        <f aca="false">IF(OR(O173="Qualified",O173="Won",O173="Lost"),1,IF(O173="Unqualified",0,""))</f>
        <v>0</v>
      </c>
    </row>
    <row r="174" customFormat="false" ht="15" hidden="false" customHeight="true" outlineLevel="0" collapsed="false">
      <c r="A174" s="3" t="s">
        <v>806</v>
      </c>
      <c r="B174" s="9" t="n">
        <v>46011.64375</v>
      </c>
      <c r="C174" s="3" t="s">
        <v>51</v>
      </c>
      <c r="D174" s="3" t="s">
        <v>710</v>
      </c>
      <c r="E174" s="3" t="s">
        <v>807</v>
      </c>
      <c r="F174" s="3" t="s">
        <v>54</v>
      </c>
      <c r="G174" s="3" t="s">
        <v>237</v>
      </c>
      <c r="H174" s="3"/>
      <c r="I174" s="3" t="s">
        <v>94</v>
      </c>
      <c r="J174" s="3" t="s">
        <v>65</v>
      </c>
      <c r="K174" s="3" t="s">
        <v>66</v>
      </c>
      <c r="L174" s="3" t="n">
        <v>2</v>
      </c>
      <c r="M174" s="3" t="n">
        <v>13</v>
      </c>
      <c r="N174" s="3" t="s">
        <v>96</v>
      </c>
      <c r="O174" s="3"/>
      <c r="P174" s="10"/>
      <c r="Q174" s="3" t="n">
        <f aca="false">IF(F174="Disposable",1,0)</f>
        <v>0</v>
      </c>
      <c r="R174" s="3" t="n">
        <f aca="false">IF(SUMPRODUCT(--ISNUMBER(SEARCH('Spam Rules'!$A$22:$A$35,K174)))&gt;0,1,0)</f>
        <v>1</v>
      </c>
      <c r="S174" s="3" t="n">
        <f aca="false">IF(AND(F174="Free",G174=""),1,0)</f>
        <v>0</v>
      </c>
      <c r="T174" s="3" t="n">
        <f aca="false">IF(LEN(TRIM(K174))&lt;15,1,0)</f>
        <v>0</v>
      </c>
      <c r="U174" s="3" t="n">
        <f aca="false">IF(COUNTIF($E$2:$E$801,E174)&gt;1,1,0)</f>
        <v>0</v>
      </c>
      <c r="V174" s="3" t="n">
        <f aca="false">Q174*'Spam Rules'!$H$6+R174*'Spam Rules'!$H$7+S174*'Spam Rules'!$H$8+T174*'Spam Rules'!$H$9+U174*'Spam Rules'!$H$10</f>
        <v>1</v>
      </c>
      <c r="W174" s="3" t="str">
        <f aca="false">IF(V174&gt;='Spam Rules'!$B$3,"Likely Spam","Genuine")</f>
        <v>Likely Spam</v>
      </c>
      <c r="X174" s="3" t="n">
        <f aca="false">IFERROR(INDEX('Scoring Model'!$B$5:$B$11,MATCH(C174,'Scoring Model'!$A$5:$A$11,0)),0)</f>
        <v>10</v>
      </c>
      <c r="Y174" s="3" t="n">
        <f aca="false">IFERROR(INDEX('Scoring Model'!$E$5:$E$7,MATCH(F174,'Scoring Model'!$D$5:$D$7,0)),0)</f>
        <v>0</v>
      </c>
      <c r="Z174" s="3" t="n">
        <f aca="false">IFERROR(INDEX('Scoring Model'!$H$5:$H$13,MATCH(J174,'Scoring Model'!$G$5:$G$13,0)),0)</f>
        <v>0</v>
      </c>
      <c r="AA174" s="3" t="n">
        <f aca="false">IF(L174&gt;='Scoring Model'!$B$14,'Scoring Model'!$B$15,IF(L174&gt;='Scoring Model'!$B$16,'Scoring Model'!$B$17,0))</f>
        <v>0</v>
      </c>
      <c r="AB174" s="3" t="n">
        <f aca="false">IF(SUMPRODUCT(--ISNUMBER(SEARCH('Scoring Model'!$D$16:$D$25,K174)))&gt;0,'Scoring Model'!$B$18,0)</f>
        <v>0</v>
      </c>
      <c r="AC174" s="3" t="n">
        <f aca="false">IF(SUMPRODUCT(--ISNUMBER(SEARCH('Scoring Model'!$G$16:$G$23,K174)))&gt;0,'Scoring Model'!$B$19,0)</f>
        <v>0</v>
      </c>
      <c r="AD174" s="3" t="str">
        <f aca="false">IF(W174="Likely Spam","",SUM(X174:AC174))</f>
        <v/>
      </c>
      <c r="AE174" s="3" t="str">
        <f aca="false">IF(W174="Likely Spam","Spam",IF(AD174&gt;='Scoring Model'!$B$21,"Hot",IF(AD174&gt;='Scoring Model'!$B$22,"Warm","Nurture")))</f>
        <v>Spam</v>
      </c>
      <c r="AF174" s="3" t="str">
        <f aca="false">IF(W174="Likely Spam","Flagged by spam rules",TRIM(IF(X174&gt;=20,"Strong source. ","")&amp;IF(Y174&gt;0,"Company email. ","")&amp;IF(Z174&gt;=15,"High-value product. ","")&amp;IF(AA174&gt;='Scoring Model'!$B$15,"High engagement. ","")&amp;IF(AB174&gt;0,"Buying intent in message. ","")&amp;IF(AC174&lt;0,"Negative intent in message. ","")))</f>
        <v>Flagged by spam rules</v>
      </c>
      <c r="AG174" s="11" t="str">
        <f aca="false">IF(W174="Likely Spam","",1/(1+EXP(-('Conversion Model'!$B$5+IFERROR(INDEX('Conversion Model'!$B$8:$B$14,MATCH(C174,'Conversion Model'!$A$8:$A$14,0)),0)+IFERROR(INDEX('Conversion Model'!$E$8:$E$9,MATCH(F174,'Conversion Model'!$D$8:$D$9,0)),0)+IFERROR(INDEX('Conversion Model'!$H$8:$H$12,MATCH(IF(LEFT(J174,8)="Payments","Payments",IF(LEFT(J174,7)="Lending","Lending",J174)),'Conversion Model'!$G$8:$G$12,0)),0)+MIN(L174,15)*'Conversion Model'!$B$17+IF(SUMPRODUCT(--ISNUMBER(SEARCH('Scoring Model'!$D$16:$D$25,K174)))&gt;0,'Conversion Model'!$B$18,0)+IF(SUMPRODUCT(--ISNUMBER(SEARCH('Scoring Model'!$G$16:$G$23,K174)))&gt;0,'Conversion Model'!$B$19,0)))))</f>
        <v/>
      </c>
      <c r="AH174" s="3" t="str">
        <f aca="false">IF(OR(O174="Qualified",O174="Won",O174="Lost"),1,IF(O174="Unqualified",0,""))</f>
        <v/>
      </c>
    </row>
    <row r="175" customFormat="false" ht="15" hidden="false" customHeight="true" outlineLevel="0" collapsed="false">
      <c r="A175" s="3" t="s">
        <v>808</v>
      </c>
      <c r="B175" s="9" t="n">
        <v>46012.5965277778</v>
      </c>
      <c r="C175" s="3" t="s">
        <v>128</v>
      </c>
      <c r="D175" s="3" t="s">
        <v>809</v>
      </c>
      <c r="E175" s="3" t="s">
        <v>810</v>
      </c>
      <c r="F175" s="3" t="s">
        <v>22</v>
      </c>
      <c r="G175" s="3" t="s">
        <v>811</v>
      </c>
      <c r="H175" s="3" t="s">
        <v>812</v>
      </c>
      <c r="I175" s="3" t="s">
        <v>204</v>
      </c>
      <c r="J175" s="3" t="s">
        <v>117</v>
      </c>
      <c r="K175" s="3" t="s">
        <v>58</v>
      </c>
      <c r="L175" s="3" t="n">
        <v>5</v>
      </c>
      <c r="M175" s="3" t="n">
        <v>6.3</v>
      </c>
      <c r="N175" s="3" t="s">
        <v>67</v>
      </c>
      <c r="O175" s="3"/>
      <c r="P175" s="10"/>
      <c r="Q175" s="3" t="n">
        <f aca="false">IF(F175="Disposable",1,0)</f>
        <v>0</v>
      </c>
      <c r="R175" s="3" t="n">
        <f aca="false">IF(SUMPRODUCT(--ISNUMBER(SEARCH('Spam Rules'!$A$22:$A$35,K175)))&gt;0,1,0)</f>
        <v>0</v>
      </c>
      <c r="S175" s="3" t="n">
        <f aca="false">IF(AND(F175="Free",G175=""),1,0)</f>
        <v>0</v>
      </c>
      <c r="T175" s="3" t="n">
        <f aca="false">IF(LEN(TRIM(K175))&lt;15,1,0)</f>
        <v>0</v>
      </c>
      <c r="U175" s="3" t="n">
        <f aca="false">IF(COUNTIF($E$2:$E$801,E175)&gt;1,1,0)</f>
        <v>0</v>
      </c>
      <c r="V175" s="3" t="n">
        <f aca="false">Q175*'Spam Rules'!$H$6+R175*'Spam Rules'!$H$7+S175*'Spam Rules'!$H$8+T175*'Spam Rules'!$H$9+U175*'Spam Rules'!$H$10</f>
        <v>0</v>
      </c>
      <c r="W175" s="3" t="str">
        <f aca="false">IF(V175&gt;='Spam Rules'!$B$3,"Likely Spam","Genuine")</f>
        <v>Genuine</v>
      </c>
      <c r="X175" s="3" t="n">
        <f aca="false">IFERROR(INDEX('Scoring Model'!$B$5:$B$11,MATCH(C175,'Scoring Model'!$A$5:$A$11,0)),0)</f>
        <v>30</v>
      </c>
      <c r="Y175" s="3" t="n">
        <f aca="false">IFERROR(INDEX('Scoring Model'!$E$5:$E$7,MATCH(F175,'Scoring Model'!$D$5:$D$7,0)),0)</f>
        <v>20</v>
      </c>
      <c r="Z175" s="3" t="n">
        <f aca="false">IFERROR(INDEX('Scoring Model'!$H$5:$H$13,MATCH(J175,'Scoring Model'!$G$5:$G$13,0)),0)</f>
        <v>15</v>
      </c>
      <c r="AA175" s="3" t="n">
        <f aca="false">IF(L175&gt;='Scoring Model'!$B$14,'Scoring Model'!$B$15,IF(L175&gt;='Scoring Model'!$B$16,'Scoring Model'!$B$17,0))</f>
        <v>8</v>
      </c>
      <c r="AB175" s="3" t="n">
        <f aca="false">IF(SUMPRODUCT(--ISNUMBER(SEARCH('Scoring Model'!$D$16:$D$25,K175)))&gt;0,'Scoring Model'!$B$18,0)</f>
        <v>15</v>
      </c>
      <c r="AC175" s="3" t="n">
        <f aca="false">IF(SUMPRODUCT(--ISNUMBER(SEARCH('Scoring Model'!$G$16:$G$23,K175)))&gt;0,'Scoring Model'!$B$19,0)</f>
        <v>0</v>
      </c>
      <c r="AD175" s="3" t="n">
        <f aca="false">IF(W175="Likely Spam","",SUM(X175:AC175))</f>
        <v>88</v>
      </c>
      <c r="AE175" s="3" t="str">
        <f aca="false">IF(W175="Likely Spam","Spam",IF(AD175&gt;='Scoring Model'!$B$21,"Hot",IF(AD175&gt;='Scoring Model'!$B$22,"Warm","Nurture")))</f>
        <v>Hot</v>
      </c>
      <c r="AF175" s="3" t="str">
        <f aca="false">IF(W175="Likely Spam","Flagged by spam rules",TRIM(IF(X175&gt;=20,"Strong source. ","")&amp;IF(Y175&gt;0,"Company email. ","")&amp;IF(Z175&gt;=15,"High-value product. ","")&amp;IF(AA175&gt;='Scoring Model'!$B$15,"High engagement. ","")&amp;IF(AB175&gt;0,"Buying intent in message. ","")&amp;IF(AC175&lt;0,"Negative intent in message. ","")))</f>
        <v>Strong source. Company email. High-value product. Buying intent in message.</v>
      </c>
      <c r="AG175" s="11" t="n">
        <f aca="false">IF(W175="Likely Spam","",1/(1+EXP(-('Conversion Model'!$B$5+IFERROR(INDEX('Conversion Model'!$B$8:$B$14,MATCH(C175,'Conversion Model'!$A$8:$A$14,0)),0)+IFERROR(INDEX('Conversion Model'!$E$8:$E$9,MATCH(F175,'Conversion Model'!$D$8:$D$9,0)),0)+IFERROR(INDEX('Conversion Model'!$H$8:$H$12,MATCH(IF(LEFT(J175,8)="Payments","Payments",IF(LEFT(J175,7)="Lending","Lending",J175)),'Conversion Model'!$G$8:$G$12,0)),0)+MIN(L175,15)*'Conversion Model'!$B$17+IF(SUMPRODUCT(--ISNUMBER(SEARCH('Scoring Model'!$D$16:$D$25,K175)))&gt;0,'Conversion Model'!$B$18,0)+IF(SUMPRODUCT(--ISNUMBER(SEARCH('Scoring Model'!$G$16:$G$23,K175)))&gt;0,'Conversion Model'!$B$19,0)))))</f>
        <v>0.948631730218835</v>
      </c>
      <c r="AH175" s="3" t="str">
        <f aca="false">IF(OR(O175="Qualified",O175="Won",O175="Lost"),1,IF(O175="Unqualified",0,""))</f>
        <v/>
      </c>
    </row>
    <row r="176" customFormat="false" ht="15" hidden="false" customHeight="true" outlineLevel="0" collapsed="false">
      <c r="A176" s="3" t="s">
        <v>813</v>
      </c>
      <c r="B176" s="9" t="n">
        <v>46013.11875</v>
      </c>
      <c r="C176" s="3" t="s">
        <v>112</v>
      </c>
      <c r="D176" s="3" t="s">
        <v>814</v>
      </c>
      <c r="E176" s="3" t="s">
        <v>815</v>
      </c>
      <c r="F176" s="3" t="s">
        <v>22</v>
      </c>
      <c r="G176" s="3" t="s">
        <v>816</v>
      </c>
      <c r="H176" s="3" t="s">
        <v>817</v>
      </c>
      <c r="I176" s="3" t="s">
        <v>88</v>
      </c>
      <c r="J176" s="3" t="s">
        <v>122</v>
      </c>
      <c r="K176" s="3" t="s">
        <v>189</v>
      </c>
      <c r="L176" s="3" t="n">
        <v>10</v>
      </c>
      <c r="M176" s="3" t="n">
        <v>4.9</v>
      </c>
      <c r="N176" s="3" t="s">
        <v>59</v>
      </c>
      <c r="O176" s="3"/>
      <c r="P176" s="10"/>
      <c r="Q176" s="3" t="n">
        <f aca="false">IF(F176="Disposable",1,0)</f>
        <v>0</v>
      </c>
      <c r="R176" s="3" t="n">
        <f aca="false">IF(SUMPRODUCT(--ISNUMBER(SEARCH('Spam Rules'!$A$22:$A$35,K176)))&gt;0,1,0)</f>
        <v>0</v>
      </c>
      <c r="S176" s="3" t="n">
        <f aca="false">IF(AND(F176="Free",G176=""),1,0)</f>
        <v>0</v>
      </c>
      <c r="T176" s="3" t="n">
        <f aca="false">IF(LEN(TRIM(K176))&lt;15,1,0)</f>
        <v>0</v>
      </c>
      <c r="U176" s="3" t="n">
        <f aca="false">IF(COUNTIF($E$2:$E$801,E176)&gt;1,1,0)</f>
        <v>0</v>
      </c>
      <c r="V176" s="3" t="n">
        <f aca="false">Q176*'Spam Rules'!$H$6+R176*'Spam Rules'!$H$7+S176*'Spam Rules'!$H$8+T176*'Spam Rules'!$H$9+U176*'Spam Rules'!$H$10</f>
        <v>0</v>
      </c>
      <c r="W176" s="3" t="str">
        <f aca="false">IF(V176&gt;='Spam Rules'!$B$3,"Likely Spam","Genuine")</f>
        <v>Genuine</v>
      </c>
      <c r="X176" s="3" t="n">
        <f aca="false">IFERROR(INDEX('Scoring Model'!$B$5:$B$11,MATCH(C176,'Scoring Model'!$A$5:$A$11,0)),0)</f>
        <v>15</v>
      </c>
      <c r="Y176" s="3" t="n">
        <f aca="false">IFERROR(INDEX('Scoring Model'!$E$5:$E$7,MATCH(F176,'Scoring Model'!$D$5:$D$7,0)),0)</f>
        <v>20</v>
      </c>
      <c r="Z176" s="3" t="n">
        <f aca="false">IFERROR(INDEX('Scoring Model'!$H$5:$H$13,MATCH(J176,'Scoring Model'!$G$5:$G$13,0)),0)</f>
        <v>15</v>
      </c>
      <c r="AA176" s="3" t="n">
        <f aca="false">IF(L176&gt;='Scoring Model'!$B$14,'Scoring Model'!$B$15,IF(L176&gt;='Scoring Model'!$B$16,'Scoring Model'!$B$17,0))</f>
        <v>15</v>
      </c>
      <c r="AB176" s="3" t="n">
        <f aca="false">IF(SUMPRODUCT(--ISNUMBER(SEARCH('Scoring Model'!$D$16:$D$25,K176)))&gt;0,'Scoring Model'!$B$18,0)</f>
        <v>15</v>
      </c>
      <c r="AC176" s="3" t="n">
        <f aca="false">IF(SUMPRODUCT(--ISNUMBER(SEARCH('Scoring Model'!$G$16:$G$23,K176)))&gt;0,'Scoring Model'!$B$19,0)</f>
        <v>0</v>
      </c>
      <c r="AD176" s="3" t="n">
        <f aca="false">IF(W176="Likely Spam","",SUM(X176:AC176))</f>
        <v>80</v>
      </c>
      <c r="AE176" s="3" t="str">
        <f aca="false">IF(W176="Likely Spam","Spam",IF(AD176&gt;='Scoring Model'!$B$21,"Hot",IF(AD176&gt;='Scoring Model'!$B$22,"Warm","Nurture")))</f>
        <v>Hot</v>
      </c>
      <c r="AF176" s="3" t="str">
        <f aca="false">IF(W176="Likely Spam","Flagged by spam rules",TRIM(IF(X176&gt;=20,"Strong source. ","")&amp;IF(Y176&gt;0,"Company email. ","")&amp;IF(Z176&gt;=15,"High-value product. ","")&amp;IF(AA176&gt;='Scoring Model'!$B$15,"High engagement. ","")&amp;IF(AB176&gt;0,"Buying intent in message. ","")&amp;IF(AC176&lt;0,"Negative intent in message. ","")))</f>
        <v>Company email. High-value product. High engagement. Buying intent in message.</v>
      </c>
      <c r="AG176" s="11" t="n">
        <f aca="false">IF(W176="Likely Spam","",1/(1+EXP(-('Conversion Model'!$B$5+IFERROR(INDEX('Conversion Model'!$B$8:$B$14,MATCH(C176,'Conversion Model'!$A$8:$A$14,0)),0)+IFERROR(INDEX('Conversion Model'!$E$8:$E$9,MATCH(F176,'Conversion Model'!$D$8:$D$9,0)),0)+IFERROR(INDEX('Conversion Model'!$H$8:$H$12,MATCH(IF(LEFT(J176,8)="Payments","Payments",IF(LEFT(J176,7)="Lending","Lending",J176)),'Conversion Model'!$G$8:$G$12,0)),0)+MIN(L176,15)*'Conversion Model'!$B$17+IF(SUMPRODUCT(--ISNUMBER(SEARCH('Scoring Model'!$D$16:$D$25,K176)))&gt;0,'Conversion Model'!$B$18,0)+IF(SUMPRODUCT(--ISNUMBER(SEARCH('Scoring Model'!$G$16:$G$23,K176)))&gt;0,'Conversion Model'!$B$19,0)))))</f>
        <v>0.992045254051137</v>
      </c>
      <c r="AH176" s="3" t="str">
        <f aca="false">IF(OR(O176="Qualified",O176="Won",O176="Lost"),1,IF(O176="Unqualified",0,""))</f>
        <v/>
      </c>
    </row>
    <row r="177" customFormat="false" ht="15" hidden="false" customHeight="true" outlineLevel="0" collapsed="false">
      <c r="A177" s="3" t="s">
        <v>818</v>
      </c>
      <c r="B177" s="9" t="n">
        <v>46013.2513888889</v>
      </c>
      <c r="C177" s="3" t="s">
        <v>51</v>
      </c>
      <c r="D177" s="3" t="s">
        <v>191</v>
      </c>
      <c r="E177" s="3" t="s">
        <v>819</v>
      </c>
      <c r="F177" s="3" t="s">
        <v>54</v>
      </c>
      <c r="G177" s="3"/>
      <c r="H177" s="3"/>
      <c r="I177" s="3" t="s">
        <v>227</v>
      </c>
      <c r="J177" s="3" t="s">
        <v>122</v>
      </c>
      <c r="K177" s="3" t="s">
        <v>66</v>
      </c>
      <c r="L177" s="3" t="n">
        <v>2</v>
      </c>
      <c r="M177" s="3" t="n">
        <v>19.5</v>
      </c>
      <c r="N177" s="3" t="s">
        <v>171</v>
      </c>
      <c r="O177" s="3"/>
      <c r="P177" s="10"/>
      <c r="Q177" s="3" t="n">
        <f aca="false">IF(F177="Disposable",1,0)</f>
        <v>0</v>
      </c>
      <c r="R177" s="3" t="n">
        <f aca="false">IF(SUMPRODUCT(--ISNUMBER(SEARCH('Spam Rules'!$A$22:$A$35,K177)))&gt;0,1,0)</f>
        <v>1</v>
      </c>
      <c r="S177" s="3" t="n">
        <f aca="false">IF(AND(F177="Free",G177=""),1,0)</f>
        <v>1</v>
      </c>
      <c r="T177" s="3" t="n">
        <f aca="false">IF(LEN(TRIM(K177))&lt;15,1,0)</f>
        <v>0</v>
      </c>
      <c r="U177" s="3" t="n">
        <f aca="false">IF(COUNTIF($E$2:$E$801,E177)&gt;1,1,0)</f>
        <v>0</v>
      </c>
      <c r="V177" s="3" t="n">
        <f aca="false">Q177*'Spam Rules'!$H$6+R177*'Spam Rules'!$H$7+S177*'Spam Rules'!$H$8+T177*'Spam Rules'!$H$9+U177*'Spam Rules'!$H$10</f>
        <v>1</v>
      </c>
      <c r="W177" s="3" t="str">
        <f aca="false">IF(V177&gt;='Spam Rules'!$B$3,"Likely Spam","Genuine")</f>
        <v>Likely Spam</v>
      </c>
      <c r="X177" s="3" t="n">
        <f aca="false">IFERROR(INDEX('Scoring Model'!$B$5:$B$11,MATCH(C177,'Scoring Model'!$A$5:$A$11,0)),0)</f>
        <v>10</v>
      </c>
      <c r="Y177" s="3" t="n">
        <f aca="false">IFERROR(INDEX('Scoring Model'!$E$5:$E$7,MATCH(F177,'Scoring Model'!$D$5:$D$7,0)),0)</f>
        <v>0</v>
      </c>
      <c r="Z177" s="3" t="n">
        <f aca="false">IFERROR(INDEX('Scoring Model'!$H$5:$H$13,MATCH(J177,'Scoring Model'!$G$5:$G$13,0)),0)</f>
        <v>15</v>
      </c>
      <c r="AA177" s="3" t="n">
        <f aca="false">IF(L177&gt;='Scoring Model'!$B$14,'Scoring Model'!$B$15,IF(L177&gt;='Scoring Model'!$B$16,'Scoring Model'!$B$17,0))</f>
        <v>0</v>
      </c>
      <c r="AB177" s="3" t="n">
        <f aca="false">IF(SUMPRODUCT(--ISNUMBER(SEARCH('Scoring Model'!$D$16:$D$25,K177)))&gt;0,'Scoring Model'!$B$18,0)</f>
        <v>0</v>
      </c>
      <c r="AC177" s="3" t="n">
        <f aca="false">IF(SUMPRODUCT(--ISNUMBER(SEARCH('Scoring Model'!$G$16:$G$23,K177)))&gt;0,'Scoring Model'!$B$19,0)</f>
        <v>0</v>
      </c>
      <c r="AD177" s="3" t="str">
        <f aca="false">IF(W177="Likely Spam","",SUM(X177:AC177))</f>
        <v/>
      </c>
      <c r="AE177" s="3" t="str">
        <f aca="false">IF(W177="Likely Spam","Spam",IF(AD177&gt;='Scoring Model'!$B$21,"Hot",IF(AD177&gt;='Scoring Model'!$B$22,"Warm","Nurture")))</f>
        <v>Spam</v>
      </c>
      <c r="AF177" s="3" t="str">
        <f aca="false">IF(W177="Likely Spam","Flagged by spam rules",TRIM(IF(X177&gt;=20,"Strong source. ","")&amp;IF(Y177&gt;0,"Company email. ","")&amp;IF(Z177&gt;=15,"High-value product. ","")&amp;IF(AA177&gt;='Scoring Model'!$B$15,"High engagement. ","")&amp;IF(AB177&gt;0,"Buying intent in message. ","")&amp;IF(AC177&lt;0,"Negative intent in message. ","")))</f>
        <v>Flagged by spam rules</v>
      </c>
      <c r="AG177" s="11" t="str">
        <f aca="false">IF(W177="Likely Spam","",1/(1+EXP(-('Conversion Model'!$B$5+IFERROR(INDEX('Conversion Model'!$B$8:$B$14,MATCH(C177,'Conversion Model'!$A$8:$A$14,0)),0)+IFERROR(INDEX('Conversion Model'!$E$8:$E$9,MATCH(F177,'Conversion Model'!$D$8:$D$9,0)),0)+IFERROR(INDEX('Conversion Model'!$H$8:$H$12,MATCH(IF(LEFT(J177,8)="Payments","Payments",IF(LEFT(J177,7)="Lending","Lending",J177)),'Conversion Model'!$G$8:$G$12,0)),0)+MIN(L177,15)*'Conversion Model'!$B$17+IF(SUMPRODUCT(--ISNUMBER(SEARCH('Scoring Model'!$D$16:$D$25,K177)))&gt;0,'Conversion Model'!$B$18,0)+IF(SUMPRODUCT(--ISNUMBER(SEARCH('Scoring Model'!$G$16:$G$23,K177)))&gt;0,'Conversion Model'!$B$19,0)))))</f>
        <v/>
      </c>
      <c r="AH177" s="3" t="str">
        <f aca="false">IF(OR(O177="Qualified",O177="Won",O177="Lost"),1,IF(O177="Unqualified",0,""))</f>
        <v/>
      </c>
    </row>
    <row r="178" customFormat="false" ht="15" hidden="false" customHeight="true" outlineLevel="0" collapsed="false">
      <c r="A178" s="3" t="s">
        <v>820</v>
      </c>
      <c r="B178" s="9" t="n">
        <v>46013.3055555556</v>
      </c>
      <c r="C178" s="3" t="s">
        <v>91</v>
      </c>
      <c r="D178" s="3" t="s">
        <v>821</v>
      </c>
      <c r="E178" s="3" t="s">
        <v>822</v>
      </c>
      <c r="F178" s="3" t="s">
        <v>22</v>
      </c>
      <c r="G178" s="3" t="s">
        <v>456</v>
      </c>
      <c r="H178" s="3" t="s">
        <v>457</v>
      </c>
      <c r="I178" s="3" t="s">
        <v>139</v>
      </c>
      <c r="J178" s="3" t="s">
        <v>117</v>
      </c>
      <c r="K178" s="3" t="s">
        <v>58</v>
      </c>
      <c r="L178" s="3" t="n">
        <v>10</v>
      </c>
      <c r="M178" s="3" t="n">
        <v>26.7</v>
      </c>
      <c r="N178" s="3" t="s">
        <v>59</v>
      </c>
      <c r="O178" s="3"/>
      <c r="P178" s="10"/>
      <c r="Q178" s="3" t="n">
        <f aca="false">IF(F178="Disposable",1,0)</f>
        <v>0</v>
      </c>
      <c r="R178" s="3" t="n">
        <f aca="false">IF(SUMPRODUCT(--ISNUMBER(SEARCH('Spam Rules'!$A$22:$A$35,K178)))&gt;0,1,0)</f>
        <v>0</v>
      </c>
      <c r="S178" s="3" t="n">
        <f aca="false">IF(AND(F178="Free",G178=""),1,0)</f>
        <v>0</v>
      </c>
      <c r="T178" s="3" t="n">
        <f aca="false">IF(LEN(TRIM(K178))&lt;15,1,0)</f>
        <v>0</v>
      </c>
      <c r="U178" s="3" t="n">
        <f aca="false">IF(COUNTIF($E$2:$E$801,E178)&gt;1,1,0)</f>
        <v>0</v>
      </c>
      <c r="V178" s="3" t="n">
        <f aca="false">Q178*'Spam Rules'!$H$6+R178*'Spam Rules'!$H$7+S178*'Spam Rules'!$H$8+T178*'Spam Rules'!$H$9+U178*'Spam Rules'!$H$10</f>
        <v>0</v>
      </c>
      <c r="W178" s="3" t="str">
        <f aca="false">IF(V178&gt;='Spam Rules'!$B$3,"Likely Spam","Genuine")</f>
        <v>Genuine</v>
      </c>
      <c r="X178" s="3" t="n">
        <f aca="false">IFERROR(INDEX('Scoring Model'!$B$5:$B$11,MATCH(C178,'Scoring Model'!$A$5:$A$11,0)),0)</f>
        <v>5</v>
      </c>
      <c r="Y178" s="3" t="n">
        <f aca="false">IFERROR(INDEX('Scoring Model'!$E$5:$E$7,MATCH(F178,'Scoring Model'!$D$5:$D$7,0)),0)</f>
        <v>20</v>
      </c>
      <c r="Z178" s="3" t="n">
        <f aca="false">IFERROR(INDEX('Scoring Model'!$H$5:$H$13,MATCH(J178,'Scoring Model'!$G$5:$G$13,0)),0)</f>
        <v>15</v>
      </c>
      <c r="AA178" s="3" t="n">
        <f aca="false">IF(L178&gt;='Scoring Model'!$B$14,'Scoring Model'!$B$15,IF(L178&gt;='Scoring Model'!$B$16,'Scoring Model'!$B$17,0))</f>
        <v>15</v>
      </c>
      <c r="AB178" s="3" t="n">
        <f aca="false">IF(SUMPRODUCT(--ISNUMBER(SEARCH('Scoring Model'!$D$16:$D$25,K178)))&gt;0,'Scoring Model'!$B$18,0)</f>
        <v>15</v>
      </c>
      <c r="AC178" s="3" t="n">
        <f aca="false">IF(SUMPRODUCT(--ISNUMBER(SEARCH('Scoring Model'!$G$16:$G$23,K178)))&gt;0,'Scoring Model'!$B$19,0)</f>
        <v>0</v>
      </c>
      <c r="AD178" s="3" t="n">
        <f aca="false">IF(W178="Likely Spam","",SUM(X178:AC178))</f>
        <v>70</v>
      </c>
      <c r="AE178" s="3" t="str">
        <f aca="false">IF(W178="Likely Spam","Spam",IF(AD178&gt;='Scoring Model'!$B$21,"Hot",IF(AD178&gt;='Scoring Model'!$B$22,"Warm","Nurture")))</f>
        <v>Hot</v>
      </c>
      <c r="AF178" s="3" t="str">
        <f aca="false">IF(W178="Likely Spam","Flagged by spam rules",TRIM(IF(X178&gt;=20,"Strong source. ","")&amp;IF(Y178&gt;0,"Company email. ","")&amp;IF(Z178&gt;=15,"High-value product. ","")&amp;IF(AA178&gt;='Scoring Model'!$B$15,"High engagement. ","")&amp;IF(AB178&gt;0,"Buying intent in message. ","")&amp;IF(AC178&lt;0,"Negative intent in message. ","")))</f>
        <v>Company email. High-value product. High engagement. Buying intent in message.</v>
      </c>
      <c r="AG178" s="11" t="n">
        <f aca="false">IF(W178="Likely Spam","",1/(1+EXP(-('Conversion Model'!$B$5+IFERROR(INDEX('Conversion Model'!$B$8:$B$14,MATCH(C178,'Conversion Model'!$A$8:$A$14,0)),0)+IFERROR(INDEX('Conversion Model'!$E$8:$E$9,MATCH(F178,'Conversion Model'!$D$8:$D$9,0)),0)+IFERROR(INDEX('Conversion Model'!$H$8:$H$12,MATCH(IF(LEFT(J178,8)="Payments","Payments",IF(LEFT(J178,7)="Lending","Lending",J178)),'Conversion Model'!$G$8:$G$12,0)),0)+MIN(L178,15)*'Conversion Model'!$B$17+IF(SUMPRODUCT(--ISNUMBER(SEARCH('Scoring Model'!$D$16:$D$25,K178)))&gt;0,'Conversion Model'!$B$18,0)+IF(SUMPRODUCT(--ISNUMBER(SEARCH('Scoring Model'!$G$16:$G$23,K178)))&gt;0,'Conversion Model'!$B$19,0)))))</f>
        <v>0.995583581474539</v>
      </c>
      <c r="AH178" s="3" t="str">
        <f aca="false">IF(OR(O178="Qualified",O178="Won",O178="Lost"),1,IF(O178="Unqualified",0,""))</f>
        <v/>
      </c>
    </row>
    <row r="179" customFormat="false" ht="15" hidden="false" customHeight="true" outlineLevel="0" collapsed="false">
      <c r="A179" s="3" t="s">
        <v>823</v>
      </c>
      <c r="B179" s="9" t="n">
        <v>46013.6256944445</v>
      </c>
      <c r="C179" s="3" t="s">
        <v>91</v>
      </c>
      <c r="D179" s="3" t="s">
        <v>824</v>
      </c>
      <c r="E179" s="3" t="s">
        <v>825</v>
      </c>
      <c r="F179" s="3" t="s">
        <v>54</v>
      </c>
      <c r="G179" s="3" t="s">
        <v>742</v>
      </c>
      <c r="H179" s="3"/>
      <c r="I179" s="3" t="s">
        <v>56</v>
      </c>
      <c r="J179" s="3" t="s">
        <v>108</v>
      </c>
      <c r="K179" s="3" t="s">
        <v>189</v>
      </c>
      <c r="L179" s="3" t="n">
        <v>2</v>
      </c>
      <c r="M179" s="3" t="n">
        <v>29.2</v>
      </c>
      <c r="N179" s="3" t="s">
        <v>96</v>
      </c>
      <c r="O179" s="3"/>
      <c r="P179" s="10"/>
      <c r="Q179" s="3" t="n">
        <f aca="false">IF(F179="Disposable",1,0)</f>
        <v>0</v>
      </c>
      <c r="R179" s="3" t="n">
        <f aca="false">IF(SUMPRODUCT(--ISNUMBER(SEARCH('Spam Rules'!$A$22:$A$35,K179)))&gt;0,1,0)</f>
        <v>0</v>
      </c>
      <c r="S179" s="3" t="n">
        <f aca="false">IF(AND(F179="Free",G179=""),1,0)</f>
        <v>0</v>
      </c>
      <c r="T179" s="3" t="n">
        <f aca="false">IF(LEN(TRIM(K179))&lt;15,1,0)</f>
        <v>0</v>
      </c>
      <c r="U179" s="3" t="n">
        <f aca="false">IF(COUNTIF($E$2:$E$801,E179)&gt;1,1,0)</f>
        <v>0</v>
      </c>
      <c r="V179" s="3" t="n">
        <f aca="false">Q179*'Spam Rules'!$H$6+R179*'Spam Rules'!$H$7+S179*'Spam Rules'!$H$8+T179*'Spam Rules'!$H$9+U179*'Spam Rules'!$H$10</f>
        <v>0</v>
      </c>
      <c r="W179" s="3" t="str">
        <f aca="false">IF(V179&gt;='Spam Rules'!$B$3,"Likely Spam","Genuine")</f>
        <v>Genuine</v>
      </c>
      <c r="X179" s="3" t="n">
        <f aca="false">IFERROR(INDEX('Scoring Model'!$B$5:$B$11,MATCH(C179,'Scoring Model'!$A$5:$A$11,0)),0)</f>
        <v>5</v>
      </c>
      <c r="Y179" s="3" t="n">
        <f aca="false">IFERROR(INDEX('Scoring Model'!$E$5:$E$7,MATCH(F179,'Scoring Model'!$D$5:$D$7,0)),0)</f>
        <v>0</v>
      </c>
      <c r="Z179" s="3" t="n">
        <f aca="false">IFERROR(INDEX('Scoring Model'!$H$5:$H$13,MATCH(J179,'Scoring Model'!$G$5:$G$13,0)),0)</f>
        <v>15</v>
      </c>
      <c r="AA179" s="3" t="n">
        <f aca="false">IF(L179&gt;='Scoring Model'!$B$14,'Scoring Model'!$B$15,IF(L179&gt;='Scoring Model'!$B$16,'Scoring Model'!$B$17,0))</f>
        <v>0</v>
      </c>
      <c r="AB179" s="3" t="n">
        <f aca="false">IF(SUMPRODUCT(--ISNUMBER(SEARCH('Scoring Model'!$D$16:$D$25,K179)))&gt;0,'Scoring Model'!$B$18,0)</f>
        <v>15</v>
      </c>
      <c r="AC179" s="3" t="n">
        <f aca="false">IF(SUMPRODUCT(--ISNUMBER(SEARCH('Scoring Model'!$G$16:$G$23,K179)))&gt;0,'Scoring Model'!$B$19,0)</f>
        <v>0</v>
      </c>
      <c r="AD179" s="3" t="n">
        <f aca="false">IF(W179="Likely Spam","",SUM(X179:AC179))</f>
        <v>35</v>
      </c>
      <c r="AE179" s="3" t="str">
        <f aca="false">IF(W179="Likely Spam","Spam",IF(AD179&gt;='Scoring Model'!$B$21,"Hot",IF(AD179&gt;='Scoring Model'!$B$22,"Warm","Nurture")))</f>
        <v>Nurture</v>
      </c>
      <c r="AF179" s="3" t="str">
        <f aca="false">IF(W179="Likely Spam","Flagged by spam rules",TRIM(IF(X179&gt;=20,"Strong source. ","")&amp;IF(Y179&gt;0,"Company email. ","")&amp;IF(Z179&gt;=15,"High-value product. ","")&amp;IF(AA179&gt;='Scoring Model'!$B$15,"High engagement. ","")&amp;IF(AB179&gt;0,"Buying intent in message. ","")&amp;IF(AC179&lt;0,"Negative intent in message. ","")))</f>
        <v>High-value product. Buying intent in message.</v>
      </c>
      <c r="AG179" s="11" t="n">
        <f aca="false">IF(W179="Likely Spam","",1/(1+EXP(-('Conversion Model'!$B$5+IFERROR(INDEX('Conversion Model'!$B$8:$B$14,MATCH(C179,'Conversion Model'!$A$8:$A$14,0)),0)+IFERROR(INDEX('Conversion Model'!$E$8:$E$9,MATCH(F179,'Conversion Model'!$D$8:$D$9,0)),0)+IFERROR(INDEX('Conversion Model'!$H$8:$H$12,MATCH(IF(LEFT(J179,8)="Payments","Payments",IF(LEFT(J179,7)="Lending","Lending",J179)),'Conversion Model'!$G$8:$G$12,0)),0)+MIN(L179,15)*'Conversion Model'!$B$17+IF(SUMPRODUCT(--ISNUMBER(SEARCH('Scoring Model'!$D$16:$D$25,K179)))&gt;0,'Conversion Model'!$B$18,0)+IF(SUMPRODUCT(--ISNUMBER(SEARCH('Scoring Model'!$G$16:$G$23,K179)))&gt;0,'Conversion Model'!$B$19,0)))))</f>
        <v>0.0565723142065664</v>
      </c>
      <c r="AH179" s="3" t="str">
        <f aca="false">IF(OR(O179="Qualified",O179="Won",O179="Lost"),1,IF(O179="Unqualified",0,""))</f>
        <v/>
      </c>
    </row>
    <row r="180" customFormat="false" ht="15" hidden="false" customHeight="true" outlineLevel="0" collapsed="false">
      <c r="A180" s="3" t="s">
        <v>826</v>
      </c>
      <c r="B180" s="9" t="n">
        <v>46013.8645833333</v>
      </c>
      <c r="C180" s="3" t="s">
        <v>51</v>
      </c>
      <c r="D180" s="3" t="s">
        <v>827</v>
      </c>
      <c r="E180" s="3" t="s">
        <v>828</v>
      </c>
      <c r="F180" s="3" t="s">
        <v>63</v>
      </c>
      <c r="G180" s="3"/>
      <c r="H180" s="3"/>
      <c r="I180" s="3" t="s">
        <v>204</v>
      </c>
      <c r="J180" s="3" t="s">
        <v>65</v>
      </c>
      <c r="K180" s="3" t="s">
        <v>89</v>
      </c>
      <c r="L180" s="3" t="n">
        <v>2</v>
      </c>
      <c r="M180" s="3" t="n">
        <v>8.5</v>
      </c>
      <c r="N180" s="3" t="s">
        <v>96</v>
      </c>
      <c r="O180" s="3"/>
      <c r="P180" s="10"/>
      <c r="Q180" s="3" t="n">
        <f aca="false">IF(F180="Disposable",1,0)</f>
        <v>1</v>
      </c>
      <c r="R180" s="3" t="n">
        <f aca="false">IF(SUMPRODUCT(--ISNUMBER(SEARCH('Spam Rules'!$A$22:$A$35,K180)))&gt;0,1,0)</f>
        <v>1</v>
      </c>
      <c r="S180" s="3" t="n">
        <f aca="false">IF(AND(F180="Free",G180=""),1,0)</f>
        <v>0</v>
      </c>
      <c r="T180" s="3" t="n">
        <f aca="false">IF(LEN(TRIM(K180))&lt;15,1,0)</f>
        <v>0</v>
      </c>
      <c r="U180" s="3" t="n">
        <f aca="false">IF(COUNTIF($E$2:$E$801,E180)&gt;1,1,0)</f>
        <v>0</v>
      </c>
      <c r="V180" s="3" t="n">
        <f aca="false">Q180*'Spam Rules'!$H$6+R180*'Spam Rules'!$H$7+S180*'Spam Rules'!$H$8+T180*'Spam Rules'!$H$9+U180*'Spam Rules'!$H$10</f>
        <v>2</v>
      </c>
      <c r="W180" s="3" t="str">
        <f aca="false">IF(V180&gt;='Spam Rules'!$B$3,"Likely Spam","Genuine")</f>
        <v>Likely Spam</v>
      </c>
      <c r="X180" s="3" t="n">
        <f aca="false">IFERROR(INDEX('Scoring Model'!$B$5:$B$11,MATCH(C180,'Scoring Model'!$A$5:$A$11,0)),0)</f>
        <v>10</v>
      </c>
      <c r="Y180" s="3" t="n">
        <f aca="false">IFERROR(INDEX('Scoring Model'!$E$5:$E$7,MATCH(F180,'Scoring Model'!$D$5:$D$7,0)),0)</f>
        <v>0</v>
      </c>
      <c r="Z180" s="3" t="n">
        <f aca="false">IFERROR(INDEX('Scoring Model'!$H$5:$H$13,MATCH(J180,'Scoring Model'!$G$5:$G$13,0)),0)</f>
        <v>0</v>
      </c>
      <c r="AA180" s="3" t="n">
        <f aca="false">IF(L180&gt;='Scoring Model'!$B$14,'Scoring Model'!$B$15,IF(L180&gt;='Scoring Model'!$B$16,'Scoring Model'!$B$17,0))</f>
        <v>0</v>
      </c>
      <c r="AB180" s="3" t="n">
        <f aca="false">IF(SUMPRODUCT(--ISNUMBER(SEARCH('Scoring Model'!$D$16:$D$25,K180)))&gt;0,'Scoring Model'!$B$18,0)</f>
        <v>0</v>
      </c>
      <c r="AC180" s="3" t="n">
        <f aca="false">IF(SUMPRODUCT(--ISNUMBER(SEARCH('Scoring Model'!$G$16:$G$23,K180)))&gt;0,'Scoring Model'!$B$19,0)</f>
        <v>0</v>
      </c>
      <c r="AD180" s="3" t="str">
        <f aca="false">IF(W180="Likely Spam","",SUM(X180:AC180))</f>
        <v/>
      </c>
      <c r="AE180" s="3" t="str">
        <f aca="false">IF(W180="Likely Spam","Spam",IF(AD180&gt;='Scoring Model'!$B$21,"Hot",IF(AD180&gt;='Scoring Model'!$B$22,"Warm","Nurture")))</f>
        <v>Spam</v>
      </c>
      <c r="AF180" s="3" t="str">
        <f aca="false">IF(W180="Likely Spam","Flagged by spam rules",TRIM(IF(X180&gt;=20,"Strong source. ","")&amp;IF(Y180&gt;0,"Company email. ","")&amp;IF(Z180&gt;=15,"High-value product. ","")&amp;IF(AA180&gt;='Scoring Model'!$B$15,"High engagement. ","")&amp;IF(AB180&gt;0,"Buying intent in message. ","")&amp;IF(AC180&lt;0,"Negative intent in message. ","")))</f>
        <v>Flagged by spam rules</v>
      </c>
      <c r="AG180" s="11" t="str">
        <f aca="false">IF(W180="Likely Spam","",1/(1+EXP(-('Conversion Model'!$B$5+IFERROR(INDEX('Conversion Model'!$B$8:$B$14,MATCH(C180,'Conversion Model'!$A$8:$A$14,0)),0)+IFERROR(INDEX('Conversion Model'!$E$8:$E$9,MATCH(F180,'Conversion Model'!$D$8:$D$9,0)),0)+IFERROR(INDEX('Conversion Model'!$H$8:$H$12,MATCH(IF(LEFT(J180,8)="Payments","Payments",IF(LEFT(J180,7)="Lending","Lending",J180)),'Conversion Model'!$G$8:$G$12,0)),0)+MIN(L180,15)*'Conversion Model'!$B$17+IF(SUMPRODUCT(--ISNUMBER(SEARCH('Scoring Model'!$D$16:$D$25,K180)))&gt;0,'Conversion Model'!$B$18,0)+IF(SUMPRODUCT(--ISNUMBER(SEARCH('Scoring Model'!$G$16:$G$23,K180)))&gt;0,'Conversion Model'!$B$19,0)))))</f>
        <v/>
      </c>
      <c r="AH180" s="3" t="str">
        <f aca="false">IF(OR(O180="Qualified",O180="Won",O180="Lost"),1,IF(O180="Unqualified",0,""))</f>
        <v/>
      </c>
    </row>
    <row r="181" customFormat="false" ht="15" hidden="false" customHeight="true" outlineLevel="0" collapsed="false">
      <c r="A181" s="3" t="s">
        <v>829</v>
      </c>
      <c r="B181" s="9" t="n">
        <v>46014.3159722222</v>
      </c>
      <c r="C181" s="3" t="s">
        <v>51</v>
      </c>
      <c r="D181" s="3" t="s">
        <v>830</v>
      </c>
      <c r="E181" s="3" t="s">
        <v>831</v>
      </c>
      <c r="F181" s="3" t="s">
        <v>54</v>
      </c>
      <c r="G181" s="3"/>
      <c r="H181" s="3"/>
      <c r="I181" s="3" t="s">
        <v>94</v>
      </c>
      <c r="J181" s="3" t="s">
        <v>81</v>
      </c>
      <c r="K181" s="3" t="s">
        <v>349</v>
      </c>
      <c r="L181" s="3" t="n">
        <v>3</v>
      </c>
      <c r="M181" s="3" t="n">
        <v>31.6</v>
      </c>
      <c r="N181" s="3" t="s">
        <v>59</v>
      </c>
      <c r="O181" s="3" t="s">
        <v>194</v>
      </c>
      <c r="P181" s="10"/>
      <c r="Q181" s="3" t="n">
        <f aca="false">IF(F181="Disposable",1,0)</f>
        <v>0</v>
      </c>
      <c r="R181" s="3" t="n">
        <f aca="false">IF(SUMPRODUCT(--ISNUMBER(SEARCH('Spam Rules'!$A$22:$A$35,K181)))&gt;0,1,0)</f>
        <v>0</v>
      </c>
      <c r="S181" s="3" t="n">
        <f aca="false">IF(AND(F181="Free",G181=""),1,0)</f>
        <v>1</v>
      </c>
      <c r="T181" s="3" t="n">
        <f aca="false">IF(LEN(TRIM(K181))&lt;15,1,0)</f>
        <v>0</v>
      </c>
      <c r="U181" s="3" t="n">
        <f aca="false">IF(COUNTIF($E$2:$E$801,E181)&gt;1,1,0)</f>
        <v>0</v>
      </c>
      <c r="V181" s="3" t="n">
        <f aca="false">Q181*'Spam Rules'!$H$6+R181*'Spam Rules'!$H$7+S181*'Spam Rules'!$H$8+T181*'Spam Rules'!$H$9+U181*'Spam Rules'!$H$10</f>
        <v>0</v>
      </c>
      <c r="W181" s="3" t="str">
        <f aca="false">IF(V181&gt;='Spam Rules'!$B$3,"Likely Spam","Genuine")</f>
        <v>Genuine</v>
      </c>
      <c r="X181" s="3" t="n">
        <f aca="false">IFERROR(INDEX('Scoring Model'!$B$5:$B$11,MATCH(C181,'Scoring Model'!$A$5:$A$11,0)),0)</f>
        <v>10</v>
      </c>
      <c r="Y181" s="3" t="n">
        <f aca="false">IFERROR(INDEX('Scoring Model'!$E$5:$E$7,MATCH(F181,'Scoring Model'!$D$5:$D$7,0)),0)</f>
        <v>0</v>
      </c>
      <c r="Z181" s="3" t="n">
        <f aca="false">IFERROR(INDEX('Scoring Model'!$H$5:$H$13,MATCH(J181,'Scoring Model'!$G$5:$G$13,0)),0)</f>
        <v>5</v>
      </c>
      <c r="AA181" s="3" t="n">
        <f aca="false">IF(L181&gt;='Scoring Model'!$B$14,'Scoring Model'!$B$15,IF(L181&gt;='Scoring Model'!$B$16,'Scoring Model'!$B$17,0))</f>
        <v>0</v>
      </c>
      <c r="AB181" s="3" t="n">
        <f aca="false">IF(SUMPRODUCT(--ISNUMBER(SEARCH('Scoring Model'!$D$16:$D$25,K181)))&gt;0,'Scoring Model'!$B$18,0)</f>
        <v>0</v>
      </c>
      <c r="AC181" s="3" t="n">
        <f aca="false">IF(SUMPRODUCT(--ISNUMBER(SEARCH('Scoring Model'!$G$16:$G$23,K181)))&gt;0,'Scoring Model'!$B$19,0)</f>
        <v>-30</v>
      </c>
      <c r="AD181" s="3" t="n">
        <f aca="false">IF(W181="Likely Spam","",SUM(X181:AC181))</f>
        <v>-15</v>
      </c>
      <c r="AE181" s="3" t="str">
        <f aca="false">IF(W181="Likely Spam","Spam",IF(AD181&gt;='Scoring Model'!$B$21,"Hot",IF(AD181&gt;='Scoring Model'!$B$22,"Warm","Nurture")))</f>
        <v>Nurture</v>
      </c>
      <c r="AF181" s="3" t="str">
        <f aca="false">IF(W181="Likely Spam","Flagged by spam rules",TRIM(IF(X181&gt;=20,"Strong source. ","")&amp;IF(Y181&gt;0,"Company email. ","")&amp;IF(Z181&gt;=15,"High-value product. ","")&amp;IF(AA181&gt;='Scoring Model'!$B$15,"High engagement. ","")&amp;IF(AB181&gt;0,"Buying intent in message. ","")&amp;IF(AC181&lt;0,"Negative intent in message. ","")))</f>
        <v>Negative intent in message.</v>
      </c>
      <c r="AG181" s="11" t="n">
        <f aca="false">IF(W181="Likely Spam","",1/(1+EXP(-('Conversion Model'!$B$5+IFERROR(INDEX('Conversion Model'!$B$8:$B$14,MATCH(C181,'Conversion Model'!$A$8:$A$14,0)),0)+IFERROR(INDEX('Conversion Model'!$E$8:$E$9,MATCH(F181,'Conversion Model'!$D$8:$D$9,0)),0)+IFERROR(INDEX('Conversion Model'!$H$8:$H$12,MATCH(IF(LEFT(J181,8)="Payments","Payments",IF(LEFT(J181,7)="Lending","Lending",J181)),'Conversion Model'!$G$8:$G$12,0)),0)+MIN(L181,15)*'Conversion Model'!$B$17+IF(SUMPRODUCT(--ISNUMBER(SEARCH('Scoring Model'!$D$16:$D$25,K181)))&gt;0,'Conversion Model'!$B$18,0)+IF(SUMPRODUCT(--ISNUMBER(SEARCH('Scoring Model'!$G$16:$G$23,K181)))&gt;0,'Conversion Model'!$B$19,0)))))</f>
        <v>0.00370263885093184</v>
      </c>
      <c r="AH181" s="3" t="n">
        <f aca="false">IF(OR(O181="Qualified",O181="Won",O181="Lost"),1,IF(O181="Unqualified",0,""))</f>
        <v>0</v>
      </c>
    </row>
    <row r="182" customFormat="false" ht="15" hidden="false" customHeight="true" outlineLevel="0" collapsed="false">
      <c r="A182" s="3" t="s">
        <v>832</v>
      </c>
      <c r="B182" s="9" t="n">
        <v>46014.6173611111</v>
      </c>
      <c r="C182" s="3" t="s">
        <v>160</v>
      </c>
      <c r="D182" s="3" t="s">
        <v>833</v>
      </c>
      <c r="E182" s="3" t="s">
        <v>834</v>
      </c>
      <c r="F182" s="3" t="s">
        <v>22</v>
      </c>
      <c r="G182" s="3" t="s">
        <v>835</v>
      </c>
      <c r="H182" s="3" t="s">
        <v>836</v>
      </c>
      <c r="I182" s="3" t="s">
        <v>107</v>
      </c>
      <c r="J182" s="3" t="s">
        <v>108</v>
      </c>
      <c r="K182" s="3" t="s">
        <v>420</v>
      </c>
      <c r="L182" s="3" t="n">
        <v>8</v>
      </c>
      <c r="M182" s="3" t="n">
        <v>8.5</v>
      </c>
      <c r="N182" s="3" t="s">
        <v>67</v>
      </c>
      <c r="O182" s="3"/>
      <c r="P182" s="10"/>
      <c r="Q182" s="3" t="n">
        <f aca="false">IF(F182="Disposable",1,0)</f>
        <v>0</v>
      </c>
      <c r="R182" s="3" t="n">
        <f aca="false">IF(SUMPRODUCT(--ISNUMBER(SEARCH('Spam Rules'!$A$22:$A$35,K182)))&gt;0,1,0)</f>
        <v>0</v>
      </c>
      <c r="S182" s="3" t="n">
        <f aca="false">IF(AND(F182="Free",G182=""),1,0)</f>
        <v>0</v>
      </c>
      <c r="T182" s="3" t="n">
        <f aca="false">IF(LEN(TRIM(K182))&lt;15,1,0)</f>
        <v>0</v>
      </c>
      <c r="U182" s="3" t="n">
        <f aca="false">IF(COUNTIF($E$2:$E$801,E182)&gt;1,1,0)</f>
        <v>0</v>
      </c>
      <c r="V182" s="3" t="n">
        <f aca="false">Q182*'Spam Rules'!$H$6+R182*'Spam Rules'!$H$7+S182*'Spam Rules'!$H$8+T182*'Spam Rules'!$H$9+U182*'Spam Rules'!$H$10</f>
        <v>0</v>
      </c>
      <c r="W182" s="3" t="str">
        <f aca="false">IF(V182&gt;='Spam Rules'!$B$3,"Likely Spam","Genuine")</f>
        <v>Genuine</v>
      </c>
      <c r="X182" s="3" t="n">
        <f aca="false">IFERROR(INDEX('Scoring Model'!$B$5:$B$11,MATCH(C182,'Scoring Model'!$A$5:$A$11,0)),0)</f>
        <v>25</v>
      </c>
      <c r="Y182" s="3" t="n">
        <f aca="false">IFERROR(INDEX('Scoring Model'!$E$5:$E$7,MATCH(F182,'Scoring Model'!$D$5:$D$7,0)),0)</f>
        <v>20</v>
      </c>
      <c r="Z182" s="3" t="n">
        <f aca="false">IFERROR(INDEX('Scoring Model'!$H$5:$H$13,MATCH(J182,'Scoring Model'!$G$5:$G$13,0)),0)</f>
        <v>15</v>
      </c>
      <c r="AA182" s="3" t="n">
        <f aca="false">IF(L182&gt;='Scoring Model'!$B$14,'Scoring Model'!$B$15,IF(L182&gt;='Scoring Model'!$B$16,'Scoring Model'!$B$17,0))</f>
        <v>15</v>
      </c>
      <c r="AB182" s="3" t="n">
        <f aca="false">IF(SUMPRODUCT(--ISNUMBER(SEARCH('Scoring Model'!$D$16:$D$25,K182)))&gt;0,'Scoring Model'!$B$18,0)</f>
        <v>15</v>
      </c>
      <c r="AC182" s="3" t="n">
        <f aca="false">IF(SUMPRODUCT(--ISNUMBER(SEARCH('Scoring Model'!$G$16:$G$23,K182)))&gt;0,'Scoring Model'!$B$19,0)</f>
        <v>0</v>
      </c>
      <c r="AD182" s="3" t="n">
        <f aca="false">IF(W182="Likely Spam","",SUM(X182:AC182))</f>
        <v>90</v>
      </c>
      <c r="AE182" s="3" t="str">
        <f aca="false">IF(W182="Likely Spam","Spam",IF(AD182&gt;='Scoring Model'!$B$21,"Hot",IF(AD182&gt;='Scoring Model'!$B$22,"Warm","Nurture")))</f>
        <v>Hot</v>
      </c>
      <c r="AF182" s="3" t="str">
        <f aca="false">IF(W182="Likely Spam","Flagged by spam rules",TRIM(IF(X182&gt;=20,"Strong source. ","")&amp;IF(Y182&gt;0,"Company email. ","")&amp;IF(Z182&gt;=15,"High-value product. ","")&amp;IF(AA182&gt;='Scoring Model'!$B$15,"High engagement. ","")&amp;IF(AB182&gt;0,"Buying intent in message. ","")&amp;IF(AC182&lt;0,"Negative intent in message. ","")))</f>
        <v>Strong source. Company email. High-value product. High engagement. Buying intent in message.</v>
      </c>
      <c r="AG182" s="11" t="n">
        <f aca="false">IF(W182="Likely Spam","",1/(1+EXP(-('Conversion Model'!$B$5+IFERROR(INDEX('Conversion Model'!$B$8:$B$14,MATCH(C182,'Conversion Model'!$A$8:$A$14,0)),0)+IFERROR(INDEX('Conversion Model'!$E$8:$E$9,MATCH(F182,'Conversion Model'!$D$8:$D$9,0)),0)+IFERROR(INDEX('Conversion Model'!$H$8:$H$12,MATCH(IF(LEFT(J182,8)="Payments","Payments",IF(LEFT(J182,7)="Lending","Lending",J182)),'Conversion Model'!$G$8:$G$12,0)),0)+MIN(L182,15)*'Conversion Model'!$B$17+IF(SUMPRODUCT(--ISNUMBER(SEARCH('Scoring Model'!$D$16:$D$25,K182)))&gt;0,'Conversion Model'!$B$18,0)+IF(SUMPRODUCT(--ISNUMBER(SEARCH('Scoring Model'!$G$16:$G$23,K182)))&gt;0,'Conversion Model'!$B$19,0)))))</f>
        <v>0.976060622490283</v>
      </c>
      <c r="AH182" s="3" t="str">
        <f aca="false">IF(OR(O182="Qualified",O182="Won",O182="Lost"),1,IF(O182="Unqualified",0,""))</f>
        <v/>
      </c>
    </row>
    <row r="183" customFormat="false" ht="15" hidden="false" customHeight="true" outlineLevel="0" collapsed="false">
      <c r="A183" s="3" t="s">
        <v>837</v>
      </c>
      <c r="B183" s="9" t="n">
        <v>46015.0715277778</v>
      </c>
      <c r="C183" s="3" t="s">
        <v>91</v>
      </c>
      <c r="D183" s="3" t="s">
        <v>838</v>
      </c>
      <c r="E183" s="3" t="s">
        <v>839</v>
      </c>
      <c r="F183" s="3" t="s">
        <v>22</v>
      </c>
      <c r="G183" s="3" t="s">
        <v>617</v>
      </c>
      <c r="H183" s="3" t="s">
        <v>618</v>
      </c>
      <c r="I183" s="3" t="s">
        <v>64</v>
      </c>
      <c r="J183" s="3" t="s">
        <v>108</v>
      </c>
      <c r="K183" s="3" t="s">
        <v>58</v>
      </c>
      <c r="L183" s="3" t="n">
        <v>1</v>
      </c>
      <c r="M183" s="3" t="n">
        <v>19</v>
      </c>
      <c r="N183" s="3" t="s">
        <v>67</v>
      </c>
      <c r="O183" s="3"/>
      <c r="P183" s="10"/>
      <c r="Q183" s="3" t="n">
        <f aca="false">IF(F183="Disposable",1,0)</f>
        <v>0</v>
      </c>
      <c r="R183" s="3" t="n">
        <f aca="false">IF(SUMPRODUCT(--ISNUMBER(SEARCH('Spam Rules'!$A$22:$A$35,K183)))&gt;0,1,0)</f>
        <v>0</v>
      </c>
      <c r="S183" s="3" t="n">
        <f aca="false">IF(AND(F183="Free",G183=""),1,0)</f>
        <v>0</v>
      </c>
      <c r="T183" s="3" t="n">
        <f aca="false">IF(LEN(TRIM(K183))&lt;15,1,0)</f>
        <v>0</v>
      </c>
      <c r="U183" s="3" t="n">
        <f aca="false">IF(COUNTIF($E$2:$E$801,E183)&gt;1,1,0)</f>
        <v>0</v>
      </c>
      <c r="V183" s="3" t="n">
        <f aca="false">Q183*'Spam Rules'!$H$6+R183*'Spam Rules'!$H$7+S183*'Spam Rules'!$H$8+T183*'Spam Rules'!$H$9+U183*'Spam Rules'!$H$10</f>
        <v>0</v>
      </c>
      <c r="W183" s="3" t="str">
        <f aca="false">IF(V183&gt;='Spam Rules'!$B$3,"Likely Spam","Genuine")</f>
        <v>Genuine</v>
      </c>
      <c r="X183" s="3" t="n">
        <f aca="false">IFERROR(INDEX('Scoring Model'!$B$5:$B$11,MATCH(C183,'Scoring Model'!$A$5:$A$11,0)),0)</f>
        <v>5</v>
      </c>
      <c r="Y183" s="3" t="n">
        <f aca="false">IFERROR(INDEX('Scoring Model'!$E$5:$E$7,MATCH(F183,'Scoring Model'!$D$5:$D$7,0)),0)</f>
        <v>20</v>
      </c>
      <c r="Z183" s="3" t="n">
        <f aca="false">IFERROR(INDEX('Scoring Model'!$H$5:$H$13,MATCH(J183,'Scoring Model'!$G$5:$G$13,0)),0)</f>
        <v>15</v>
      </c>
      <c r="AA183" s="3" t="n">
        <f aca="false">IF(L183&gt;='Scoring Model'!$B$14,'Scoring Model'!$B$15,IF(L183&gt;='Scoring Model'!$B$16,'Scoring Model'!$B$17,0))</f>
        <v>0</v>
      </c>
      <c r="AB183" s="3" t="n">
        <f aca="false">IF(SUMPRODUCT(--ISNUMBER(SEARCH('Scoring Model'!$D$16:$D$25,K183)))&gt;0,'Scoring Model'!$B$18,0)</f>
        <v>15</v>
      </c>
      <c r="AC183" s="3" t="n">
        <f aca="false">IF(SUMPRODUCT(--ISNUMBER(SEARCH('Scoring Model'!$G$16:$G$23,K183)))&gt;0,'Scoring Model'!$B$19,0)</f>
        <v>0</v>
      </c>
      <c r="AD183" s="3" t="n">
        <f aca="false">IF(W183="Likely Spam","",SUM(X183:AC183))</f>
        <v>55</v>
      </c>
      <c r="AE183" s="3" t="str">
        <f aca="false">IF(W183="Likely Spam","Spam",IF(AD183&gt;='Scoring Model'!$B$21,"Hot",IF(AD183&gt;='Scoring Model'!$B$22,"Warm","Nurture")))</f>
        <v>Warm</v>
      </c>
      <c r="AF183" s="3" t="str">
        <f aca="false">IF(W183="Likely Spam","Flagged by spam rules",TRIM(IF(X183&gt;=20,"Strong source. ","")&amp;IF(Y183&gt;0,"Company email. ","")&amp;IF(Z183&gt;=15,"High-value product. ","")&amp;IF(AA183&gt;='Scoring Model'!$B$15,"High engagement. ","")&amp;IF(AB183&gt;0,"Buying intent in message. ","")&amp;IF(AC183&lt;0,"Negative intent in message. ","")))</f>
        <v>Company email. High-value product. Buying intent in message.</v>
      </c>
      <c r="AG183" s="11" t="n">
        <f aca="false">IF(W183="Likely Spam","",1/(1+EXP(-('Conversion Model'!$B$5+IFERROR(INDEX('Conversion Model'!$B$8:$B$14,MATCH(C183,'Conversion Model'!$A$8:$A$14,0)),0)+IFERROR(INDEX('Conversion Model'!$E$8:$E$9,MATCH(F183,'Conversion Model'!$D$8:$D$9,0)),0)+IFERROR(INDEX('Conversion Model'!$H$8:$H$12,MATCH(IF(LEFT(J183,8)="Payments","Payments",IF(LEFT(J183,7)="Lending","Lending",J183)),'Conversion Model'!$G$8:$G$12,0)),0)+MIN(L183,15)*'Conversion Model'!$B$17+IF(SUMPRODUCT(--ISNUMBER(SEARCH('Scoring Model'!$D$16:$D$25,K183)))&gt;0,'Conversion Model'!$B$18,0)+IF(SUMPRODUCT(--ISNUMBER(SEARCH('Scoring Model'!$G$16:$G$23,K183)))&gt;0,'Conversion Model'!$B$19,0)))))</f>
        <v>0.0609394049275925</v>
      </c>
      <c r="AH183" s="3" t="str">
        <f aca="false">IF(OR(O183="Qualified",O183="Won",O183="Lost"),1,IF(O183="Unqualified",0,""))</f>
        <v/>
      </c>
    </row>
    <row r="184" customFormat="false" ht="15" hidden="false" customHeight="true" outlineLevel="0" collapsed="false">
      <c r="A184" s="3" t="s">
        <v>840</v>
      </c>
      <c r="B184" s="9" t="n">
        <v>46015.1666666667</v>
      </c>
      <c r="C184" s="3" t="s">
        <v>91</v>
      </c>
      <c r="D184" s="3" t="s">
        <v>841</v>
      </c>
      <c r="E184" s="3" t="s">
        <v>842</v>
      </c>
      <c r="F184" s="3" t="s">
        <v>54</v>
      </c>
      <c r="G184" s="3"/>
      <c r="H184" s="3"/>
      <c r="I184" s="3" t="s">
        <v>139</v>
      </c>
      <c r="J184" s="3" t="s">
        <v>65</v>
      </c>
      <c r="K184" s="3" t="s">
        <v>82</v>
      </c>
      <c r="L184" s="3" t="n">
        <v>2</v>
      </c>
      <c r="M184" s="3" t="n">
        <v>31.5</v>
      </c>
      <c r="N184" s="3" t="s">
        <v>67</v>
      </c>
      <c r="O184" s="3"/>
      <c r="P184" s="10"/>
      <c r="Q184" s="3" t="n">
        <f aca="false">IF(F184="Disposable",1,0)</f>
        <v>0</v>
      </c>
      <c r="R184" s="3" t="n">
        <f aca="false">IF(SUMPRODUCT(--ISNUMBER(SEARCH('Spam Rules'!$A$22:$A$35,K184)))&gt;0,1,0)</f>
        <v>1</v>
      </c>
      <c r="S184" s="3" t="n">
        <f aca="false">IF(AND(F184="Free",G184=""),1,0)</f>
        <v>1</v>
      </c>
      <c r="T184" s="3" t="n">
        <f aca="false">IF(LEN(TRIM(K184))&lt;15,1,0)</f>
        <v>0</v>
      </c>
      <c r="U184" s="3" t="n">
        <f aca="false">IF(COUNTIF($E$2:$E$801,E184)&gt;1,1,0)</f>
        <v>0</v>
      </c>
      <c r="V184" s="3" t="n">
        <f aca="false">Q184*'Spam Rules'!$H$6+R184*'Spam Rules'!$H$7+S184*'Spam Rules'!$H$8+T184*'Spam Rules'!$H$9+U184*'Spam Rules'!$H$10</f>
        <v>1</v>
      </c>
      <c r="W184" s="3" t="str">
        <f aca="false">IF(V184&gt;='Spam Rules'!$B$3,"Likely Spam","Genuine")</f>
        <v>Likely Spam</v>
      </c>
      <c r="X184" s="3" t="n">
        <f aca="false">IFERROR(INDEX('Scoring Model'!$B$5:$B$11,MATCH(C184,'Scoring Model'!$A$5:$A$11,0)),0)</f>
        <v>5</v>
      </c>
      <c r="Y184" s="3" t="n">
        <f aca="false">IFERROR(INDEX('Scoring Model'!$E$5:$E$7,MATCH(F184,'Scoring Model'!$D$5:$D$7,0)),0)</f>
        <v>0</v>
      </c>
      <c r="Z184" s="3" t="n">
        <f aca="false">IFERROR(INDEX('Scoring Model'!$H$5:$H$13,MATCH(J184,'Scoring Model'!$G$5:$G$13,0)),0)</f>
        <v>0</v>
      </c>
      <c r="AA184" s="3" t="n">
        <f aca="false">IF(L184&gt;='Scoring Model'!$B$14,'Scoring Model'!$B$15,IF(L184&gt;='Scoring Model'!$B$16,'Scoring Model'!$B$17,0))</f>
        <v>0</v>
      </c>
      <c r="AB184" s="3" t="n">
        <f aca="false">IF(SUMPRODUCT(--ISNUMBER(SEARCH('Scoring Model'!$D$16:$D$25,K184)))&gt;0,'Scoring Model'!$B$18,0)</f>
        <v>0</v>
      </c>
      <c r="AC184" s="3" t="n">
        <f aca="false">IF(SUMPRODUCT(--ISNUMBER(SEARCH('Scoring Model'!$G$16:$G$23,K184)))&gt;0,'Scoring Model'!$B$19,0)</f>
        <v>0</v>
      </c>
      <c r="AD184" s="3" t="str">
        <f aca="false">IF(W184="Likely Spam","",SUM(X184:AC184))</f>
        <v/>
      </c>
      <c r="AE184" s="3" t="str">
        <f aca="false">IF(W184="Likely Spam","Spam",IF(AD184&gt;='Scoring Model'!$B$21,"Hot",IF(AD184&gt;='Scoring Model'!$B$22,"Warm","Nurture")))</f>
        <v>Spam</v>
      </c>
      <c r="AF184" s="3" t="str">
        <f aca="false">IF(W184="Likely Spam","Flagged by spam rules",TRIM(IF(X184&gt;=20,"Strong source. ","")&amp;IF(Y184&gt;0,"Company email. ","")&amp;IF(Z184&gt;=15,"High-value product. ","")&amp;IF(AA184&gt;='Scoring Model'!$B$15,"High engagement. ","")&amp;IF(AB184&gt;0,"Buying intent in message. ","")&amp;IF(AC184&lt;0,"Negative intent in message. ","")))</f>
        <v>Flagged by spam rules</v>
      </c>
      <c r="AG184" s="11" t="str">
        <f aca="false">IF(W184="Likely Spam","",1/(1+EXP(-('Conversion Model'!$B$5+IFERROR(INDEX('Conversion Model'!$B$8:$B$14,MATCH(C184,'Conversion Model'!$A$8:$A$14,0)),0)+IFERROR(INDEX('Conversion Model'!$E$8:$E$9,MATCH(F184,'Conversion Model'!$D$8:$D$9,0)),0)+IFERROR(INDEX('Conversion Model'!$H$8:$H$12,MATCH(IF(LEFT(J184,8)="Payments","Payments",IF(LEFT(J184,7)="Lending","Lending",J184)),'Conversion Model'!$G$8:$G$12,0)),0)+MIN(L184,15)*'Conversion Model'!$B$17+IF(SUMPRODUCT(--ISNUMBER(SEARCH('Scoring Model'!$D$16:$D$25,K184)))&gt;0,'Conversion Model'!$B$18,0)+IF(SUMPRODUCT(--ISNUMBER(SEARCH('Scoring Model'!$G$16:$G$23,K184)))&gt;0,'Conversion Model'!$B$19,0)))))</f>
        <v/>
      </c>
      <c r="AH184" s="3" t="str">
        <f aca="false">IF(OR(O184="Qualified",O184="Won",O184="Lost"),1,IF(O184="Unqualified",0,""))</f>
        <v/>
      </c>
    </row>
    <row r="185" customFormat="false" ht="15" hidden="false" customHeight="true" outlineLevel="0" collapsed="false">
      <c r="A185" s="3" t="s">
        <v>843</v>
      </c>
      <c r="B185" s="9" t="n">
        <v>46015.3465277778</v>
      </c>
      <c r="C185" s="3" t="s">
        <v>160</v>
      </c>
      <c r="D185" s="3" t="s">
        <v>844</v>
      </c>
      <c r="E185" s="3" t="s">
        <v>845</v>
      </c>
      <c r="F185" s="3" t="s">
        <v>54</v>
      </c>
      <c r="G185" s="3" t="s">
        <v>237</v>
      </c>
      <c r="H185" s="3"/>
      <c r="I185" s="3" t="s">
        <v>260</v>
      </c>
      <c r="J185" s="3" t="s">
        <v>65</v>
      </c>
      <c r="K185" s="3" t="s">
        <v>170</v>
      </c>
      <c r="L185" s="3" t="n">
        <v>1</v>
      </c>
      <c r="M185" s="3"/>
      <c r="N185" s="3" t="s">
        <v>67</v>
      </c>
      <c r="O185" s="3" t="s">
        <v>68</v>
      </c>
      <c r="P185" s="10"/>
      <c r="Q185" s="3" t="n">
        <f aca="false">IF(F185="Disposable",1,0)</f>
        <v>0</v>
      </c>
      <c r="R185" s="3" t="n">
        <f aca="false">IF(SUMPRODUCT(--ISNUMBER(SEARCH('Spam Rules'!$A$22:$A$35,K185)))&gt;0,1,0)</f>
        <v>0</v>
      </c>
      <c r="S185" s="3" t="n">
        <f aca="false">IF(AND(F185="Free",G185=""),1,0)</f>
        <v>0</v>
      </c>
      <c r="T185" s="3" t="n">
        <f aca="false">IF(LEN(TRIM(K185))&lt;15,1,0)</f>
        <v>1</v>
      </c>
      <c r="U185" s="3" t="n">
        <f aca="false">IF(COUNTIF($E$2:$E$801,E185)&gt;1,1,0)</f>
        <v>1</v>
      </c>
      <c r="V185" s="3" t="n">
        <f aca="false">Q185*'Spam Rules'!$H$6+R185*'Spam Rules'!$H$7+S185*'Spam Rules'!$H$8+T185*'Spam Rules'!$H$9+U185*'Spam Rules'!$H$10</f>
        <v>1</v>
      </c>
      <c r="W185" s="3" t="str">
        <f aca="false">IF(V185&gt;='Spam Rules'!$B$3,"Likely Spam","Genuine")</f>
        <v>Likely Spam</v>
      </c>
      <c r="X185" s="3" t="n">
        <f aca="false">IFERROR(INDEX('Scoring Model'!$B$5:$B$11,MATCH(C185,'Scoring Model'!$A$5:$A$11,0)),0)</f>
        <v>25</v>
      </c>
      <c r="Y185" s="3" t="n">
        <f aca="false">IFERROR(INDEX('Scoring Model'!$E$5:$E$7,MATCH(F185,'Scoring Model'!$D$5:$D$7,0)),0)</f>
        <v>0</v>
      </c>
      <c r="Z185" s="3" t="n">
        <f aca="false">IFERROR(INDEX('Scoring Model'!$H$5:$H$13,MATCH(J185,'Scoring Model'!$G$5:$G$13,0)),0)</f>
        <v>0</v>
      </c>
      <c r="AA185" s="3" t="n">
        <f aca="false">IF(L185&gt;='Scoring Model'!$B$14,'Scoring Model'!$B$15,IF(L185&gt;='Scoring Model'!$B$16,'Scoring Model'!$B$17,0))</f>
        <v>0</v>
      </c>
      <c r="AB185" s="3" t="n">
        <f aca="false">IF(SUMPRODUCT(--ISNUMBER(SEARCH('Scoring Model'!$D$16:$D$25,K185)))&gt;0,'Scoring Model'!$B$18,0)</f>
        <v>0</v>
      </c>
      <c r="AC185" s="3" t="n">
        <f aca="false">IF(SUMPRODUCT(--ISNUMBER(SEARCH('Scoring Model'!$G$16:$G$23,K185)))&gt;0,'Scoring Model'!$B$19,0)</f>
        <v>0</v>
      </c>
      <c r="AD185" s="3" t="str">
        <f aca="false">IF(W185="Likely Spam","",SUM(X185:AC185))</f>
        <v/>
      </c>
      <c r="AE185" s="3" t="str">
        <f aca="false">IF(W185="Likely Spam","Spam",IF(AD185&gt;='Scoring Model'!$B$21,"Hot",IF(AD185&gt;='Scoring Model'!$B$22,"Warm","Nurture")))</f>
        <v>Spam</v>
      </c>
      <c r="AF185" s="3" t="str">
        <f aca="false">IF(W185="Likely Spam","Flagged by spam rules",TRIM(IF(X185&gt;=20,"Strong source. ","")&amp;IF(Y185&gt;0,"Company email. ","")&amp;IF(Z185&gt;=15,"High-value product. ","")&amp;IF(AA185&gt;='Scoring Model'!$B$15,"High engagement. ","")&amp;IF(AB185&gt;0,"Buying intent in message. ","")&amp;IF(AC185&lt;0,"Negative intent in message. ","")))</f>
        <v>Flagged by spam rules</v>
      </c>
      <c r="AG185" s="11" t="str">
        <f aca="false">IF(W185="Likely Spam","",1/(1+EXP(-('Conversion Model'!$B$5+IFERROR(INDEX('Conversion Model'!$B$8:$B$14,MATCH(C185,'Conversion Model'!$A$8:$A$14,0)),0)+IFERROR(INDEX('Conversion Model'!$E$8:$E$9,MATCH(F185,'Conversion Model'!$D$8:$D$9,0)),0)+IFERROR(INDEX('Conversion Model'!$H$8:$H$12,MATCH(IF(LEFT(J185,8)="Payments","Payments",IF(LEFT(J185,7)="Lending","Lending",J185)),'Conversion Model'!$G$8:$G$12,0)),0)+MIN(L185,15)*'Conversion Model'!$B$17+IF(SUMPRODUCT(--ISNUMBER(SEARCH('Scoring Model'!$D$16:$D$25,K185)))&gt;0,'Conversion Model'!$B$18,0)+IF(SUMPRODUCT(--ISNUMBER(SEARCH('Scoring Model'!$G$16:$G$23,K185)))&gt;0,'Conversion Model'!$B$19,0)))))</f>
        <v/>
      </c>
      <c r="AH185" s="3" t="str">
        <f aca="false">IF(OR(O185="Qualified",O185="Won",O185="Lost"),1,IF(O185="Unqualified",0,""))</f>
        <v/>
      </c>
    </row>
    <row r="186" customFormat="false" ht="15" hidden="false" customHeight="true" outlineLevel="0" collapsed="false">
      <c r="A186" s="3" t="s">
        <v>846</v>
      </c>
      <c r="B186" s="9" t="n">
        <v>46015.8270833333</v>
      </c>
      <c r="C186" s="3" t="s">
        <v>135</v>
      </c>
      <c r="D186" s="3" t="s">
        <v>847</v>
      </c>
      <c r="E186" s="3" t="s">
        <v>848</v>
      </c>
      <c r="F186" s="3" t="s">
        <v>22</v>
      </c>
      <c r="G186" s="3" t="s">
        <v>539</v>
      </c>
      <c r="H186" s="3" t="s">
        <v>540</v>
      </c>
      <c r="I186" s="3" t="s">
        <v>64</v>
      </c>
      <c r="J186" s="3" t="s">
        <v>57</v>
      </c>
      <c r="K186" s="3" t="s">
        <v>189</v>
      </c>
      <c r="L186" s="3" t="n">
        <v>11</v>
      </c>
      <c r="M186" s="3" t="n">
        <v>6.2</v>
      </c>
      <c r="N186" s="3" t="s">
        <v>59</v>
      </c>
      <c r="O186" s="3" t="s">
        <v>331</v>
      </c>
      <c r="P186" s="10"/>
      <c r="Q186" s="3" t="n">
        <f aca="false">IF(F186="Disposable",1,0)</f>
        <v>0</v>
      </c>
      <c r="R186" s="3" t="n">
        <f aca="false">IF(SUMPRODUCT(--ISNUMBER(SEARCH('Spam Rules'!$A$22:$A$35,K186)))&gt;0,1,0)</f>
        <v>0</v>
      </c>
      <c r="S186" s="3" t="n">
        <f aca="false">IF(AND(F186="Free",G186=""),1,0)</f>
        <v>0</v>
      </c>
      <c r="T186" s="3" t="n">
        <f aca="false">IF(LEN(TRIM(K186))&lt;15,1,0)</f>
        <v>0</v>
      </c>
      <c r="U186" s="3" t="n">
        <f aca="false">IF(COUNTIF($E$2:$E$801,E186)&gt;1,1,0)</f>
        <v>0</v>
      </c>
      <c r="V186" s="3" t="n">
        <f aca="false">Q186*'Spam Rules'!$H$6+R186*'Spam Rules'!$H$7+S186*'Spam Rules'!$H$8+T186*'Spam Rules'!$H$9+U186*'Spam Rules'!$H$10</f>
        <v>0</v>
      </c>
      <c r="W186" s="3" t="str">
        <f aca="false">IF(V186&gt;='Spam Rules'!$B$3,"Likely Spam","Genuine")</f>
        <v>Genuine</v>
      </c>
      <c r="X186" s="3" t="n">
        <f aca="false">IFERROR(INDEX('Scoring Model'!$B$5:$B$11,MATCH(C186,'Scoring Model'!$A$5:$A$11,0)),0)</f>
        <v>20</v>
      </c>
      <c r="Y186" s="3" t="n">
        <f aca="false">IFERROR(INDEX('Scoring Model'!$E$5:$E$7,MATCH(F186,'Scoring Model'!$D$5:$D$7,0)),0)</f>
        <v>20</v>
      </c>
      <c r="Z186" s="3" t="n">
        <f aca="false">IFERROR(INDEX('Scoring Model'!$H$5:$H$13,MATCH(J186,'Scoring Model'!$G$5:$G$13,0)),0)</f>
        <v>15</v>
      </c>
      <c r="AA186" s="3" t="n">
        <f aca="false">IF(L186&gt;='Scoring Model'!$B$14,'Scoring Model'!$B$15,IF(L186&gt;='Scoring Model'!$B$16,'Scoring Model'!$B$17,0))</f>
        <v>15</v>
      </c>
      <c r="AB186" s="3" t="n">
        <f aca="false">IF(SUMPRODUCT(--ISNUMBER(SEARCH('Scoring Model'!$D$16:$D$25,K186)))&gt;0,'Scoring Model'!$B$18,0)</f>
        <v>15</v>
      </c>
      <c r="AC186" s="3" t="n">
        <f aca="false">IF(SUMPRODUCT(--ISNUMBER(SEARCH('Scoring Model'!$G$16:$G$23,K186)))&gt;0,'Scoring Model'!$B$19,0)</f>
        <v>0</v>
      </c>
      <c r="AD186" s="3" t="n">
        <f aca="false">IF(W186="Likely Spam","",SUM(X186:AC186))</f>
        <v>85</v>
      </c>
      <c r="AE186" s="3" t="str">
        <f aca="false">IF(W186="Likely Spam","Spam",IF(AD186&gt;='Scoring Model'!$B$21,"Hot",IF(AD186&gt;='Scoring Model'!$B$22,"Warm","Nurture")))</f>
        <v>Hot</v>
      </c>
      <c r="AF186" s="3" t="str">
        <f aca="false">IF(W186="Likely Spam","Flagged by spam rules",TRIM(IF(X186&gt;=20,"Strong source. ","")&amp;IF(Y186&gt;0,"Company email. ","")&amp;IF(Z186&gt;=15,"High-value product. ","")&amp;IF(AA186&gt;='Scoring Model'!$B$15,"High engagement. ","")&amp;IF(AB186&gt;0,"Buying intent in message. ","")&amp;IF(AC186&lt;0,"Negative intent in message. ","")))</f>
        <v>Strong source. Company email. High-value product. High engagement. Buying intent in message.</v>
      </c>
      <c r="AG186" s="11" t="n">
        <f aca="false">IF(W186="Likely Spam","",1/(1+EXP(-('Conversion Model'!$B$5+IFERROR(INDEX('Conversion Model'!$B$8:$B$14,MATCH(C186,'Conversion Model'!$A$8:$A$14,0)),0)+IFERROR(INDEX('Conversion Model'!$E$8:$E$9,MATCH(F186,'Conversion Model'!$D$8:$D$9,0)),0)+IFERROR(INDEX('Conversion Model'!$H$8:$H$12,MATCH(IF(LEFT(J186,8)="Payments","Payments",IF(LEFT(J186,7)="Lending","Lending",J186)),'Conversion Model'!$G$8:$G$12,0)),0)+MIN(L186,15)*'Conversion Model'!$B$17+IF(SUMPRODUCT(--ISNUMBER(SEARCH('Scoring Model'!$D$16:$D$25,K186)))&gt;0,'Conversion Model'!$B$18,0)+IF(SUMPRODUCT(--ISNUMBER(SEARCH('Scoring Model'!$G$16:$G$23,K186)))&gt;0,'Conversion Model'!$B$19,0)))))</f>
        <v>0.998457797043307</v>
      </c>
      <c r="AH186" s="3" t="n">
        <f aca="false">IF(OR(O186="Qualified",O186="Won",O186="Lost"),1,IF(O186="Unqualified",0,""))</f>
        <v>1</v>
      </c>
    </row>
    <row r="187" customFormat="false" ht="15" hidden="false" customHeight="true" outlineLevel="0" collapsed="false">
      <c r="A187" s="3" t="s">
        <v>849</v>
      </c>
      <c r="B187" s="9" t="n">
        <v>46015.8930555556</v>
      </c>
      <c r="C187" s="3" t="s">
        <v>51</v>
      </c>
      <c r="D187" s="3" t="s">
        <v>850</v>
      </c>
      <c r="E187" s="3" t="s">
        <v>851</v>
      </c>
      <c r="F187" s="3" t="s">
        <v>22</v>
      </c>
      <c r="G187" s="3" t="s">
        <v>852</v>
      </c>
      <c r="H187" s="3" t="s">
        <v>853</v>
      </c>
      <c r="I187" s="3" t="s">
        <v>227</v>
      </c>
      <c r="J187" s="3" t="s">
        <v>57</v>
      </c>
      <c r="K187" s="3" t="s">
        <v>854</v>
      </c>
      <c r="L187" s="3" t="n">
        <v>5</v>
      </c>
      <c r="M187" s="3" t="n">
        <v>7.5</v>
      </c>
      <c r="N187" s="3" t="s">
        <v>59</v>
      </c>
      <c r="O187" s="3" t="s">
        <v>110</v>
      </c>
      <c r="P187" s="10"/>
      <c r="Q187" s="3" t="n">
        <f aca="false">IF(F187="Disposable",1,0)</f>
        <v>0</v>
      </c>
      <c r="R187" s="3" t="n">
        <f aca="false">IF(SUMPRODUCT(--ISNUMBER(SEARCH('Spam Rules'!$A$22:$A$35,K187)))&gt;0,1,0)</f>
        <v>0</v>
      </c>
      <c r="S187" s="3" t="n">
        <f aca="false">IF(AND(F187="Free",G187=""),1,0)</f>
        <v>0</v>
      </c>
      <c r="T187" s="3" t="n">
        <f aca="false">IF(LEN(TRIM(K187))&lt;15,1,0)</f>
        <v>0</v>
      </c>
      <c r="U187" s="3" t="n">
        <f aca="false">IF(COUNTIF($E$2:$E$801,E187)&gt;1,1,0)</f>
        <v>0</v>
      </c>
      <c r="V187" s="3" t="n">
        <f aca="false">Q187*'Spam Rules'!$H$6+R187*'Spam Rules'!$H$7+S187*'Spam Rules'!$H$8+T187*'Spam Rules'!$H$9+U187*'Spam Rules'!$H$10</f>
        <v>0</v>
      </c>
      <c r="W187" s="3" t="str">
        <f aca="false">IF(V187&gt;='Spam Rules'!$B$3,"Likely Spam","Genuine")</f>
        <v>Genuine</v>
      </c>
      <c r="X187" s="3" t="n">
        <f aca="false">IFERROR(INDEX('Scoring Model'!$B$5:$B$11,MATCH(C187,'Scoring Model'!$A$5:$A$11,0)),0)</f>
        <v>10</v>
      </c>
      <c r="Y187" s="3" t="n">
        <f aca="false">IFERROR(INDEX('Scoring Model'!$E$5:$E$7,MATCH(F187,'Scoring Model'!$D$5:$D$7,0)),0)</f>
        <v>20</v>
      </c>
      <c r="Z187" s="3" t="n">
        <f aca="false">IFERROR(INDEX('Scoring Model'!$H$5:$H$13,MATCH(J187,'Scoring Model'!$G$5:$G$13,0)),0)</f>
        <v>15</v>
      </c>
      <c r="AA187" s="3" t="n">
        <f aca="false">IF(L187&gt;='Scoring Model'!$B$14,'Scoring Model'!$B$15,IF(L187&gt;='Scoring Model'!$B$16,'Scoring Model'!$B$17,0))</f>
        <v>8</v>
      </c>
      <c r="AB187" s="3" t="n">
        <f aca="false">IF(SUMPRODUCT(--ISNUMBER(SEARCH('Scoring Model'!$D$16:$D$25,K187)))&gt;0,'Scoring Model'!$B$18,0)</f>
        <v>15</v>
      </c>
      <c r="AC187" s="3" t="n">
        <f aca="false">IF(SUMPRODUCT(--ISNUMBER(SEARCH('Scoring Model'!$G$16:$G$23,K187)))&gt;0,'Scoring Model'!$B$19,0)</f>
        <v>0</v>
      </c>
      <c r="AD187" s="3" t="n">
        <f aca="false">IF(W187="Likely Spam","",SUM(X187:AC187))</f>
        <v>68</v>
      </c>
      <c r="AE187" s="3" t="str">
        <f aca="false">IF(W187="Likely Spam","Spam",IF(AD187&gt;='Scoring Model'!$B$21,"Hot",IF(AD187&gt;='Scoring Model'!$B$22,"Warm","Nurture")))</f>
        <v>Warm</v>
      </c>
      <c r="AF187" s="3" t="str">
        <f aca="false">IF(W187="Likely Spam","Flagged by spam rules",TRIM(IF(X187&gt;=20,"Strong source. ","")&amp;IF(Y187&gt;0,"Company email. ","")&amp;IF(Z187&gt;=15,"High-value product. ","")&amp;IF(AA187&gt;='Scoring Model'!$B$15,"High engagement. ","")&amp;IF(AB187&gt;0,"Buying intent in message. ","")&amp;IF(AC187&lt;0,"Negative intent in message. ","")))</f>
        <v>Company email. High-value product. Buying intent in message.</v>
      </c>
      <c r="AG187" s="11" t="n">
        <f aca="false">IF(W187="Likely Spam","",1/(1+EXP(-('Conversion Model'!$B$5+IFERROR(INDEX('Conversion Model'!$B$8:$B$14,MATCH(C187,'Conversion Model'!$A$8:$A$14,0)),0)+IFERROR(INDEX('Conversion Model'!$E$8:$E$9,MATCH(F187,'Conversion Model'!$D$8:$D$9,0)),0)+IFERROR(INDEX('Conversion Model'!$H$8:$H$12,MATCH(IF(LEFT(J187,8)="Payments","Payments",IF(LEFT(J187,7)="Lending","Lending",J187)),'Conversion Model'!$G$8:$G$12,0)),0)+MIN(L187,15)*'Conversion Model'!$B$17+IF(SUMPRODUCT(--ISNUMBER(SEARCH('Scoring Model'!$D$16:$D$25,K187)))&gt;0,'Conversion Model'!$B$18,0)+IF(SUMPRODUCT(--ISNUMBER(SEARCH('Scoring Model'!$G$16:$G$23,K187)))&gt;0,'Conversion Model'!$B$19,0)))))</f>
        <v>0.686756726643902</v>
      </c>
      <c r="AH187" s="3" t="n">
        <f aca="false">IF(OR(O187="Qualified",O187="Won",O187="Lost"),1,IF(O187="Unqualified",0,""))</f>
        <v>1</v>
      </c>
    </row>
    <row r="188" customFormat="false" ht="15" hidden="false" customHeight="true" outlineLevel="0" collapsed="false">
      <c r="A188" s="3" t="s">
        <v>855</v>
      </c>
      <c r="B188" s="9" t="n">
        <v>46016.3611111111</v>
      </c>
      <c r="C188" s="3" t="s">
        <v>51</v>
      </c>
      <c r="D188" s="3" t="s">
        <v>856</v>
      </c>
      <c r="E188" s="3" t="s">
        <v>857</v>
      </c>
      <c r="F188" s="3" t="s">
        <v>22</v>
      </c>
      <c r="G188" s="3" t="s">
        <v>521</v>
      </c>
      <c r="H188" s="3" t="s">
        <v>522</v>
      </c>
      <c r="I188" s="3" t="s">
        <v>139</v>
      </c>
      <c r="J188" s="3" t="s">
        <v>57</v>
      </c>
      <c r="K188" s="3" t="s">
        <v>58</v>
      </c>
      <c r="L188" s="3" t="n">
        <v>12</v>
      </c>
      <c r="M188" s="3" t="n">
        <v>10</v>
      </c>
      <c r="N188" s="3" t="s">
        <v>67</v>
      </c>
      <c r="O188" s="3"/>
      <c r="P188" s="10"/>
      <c r="Q188" s="3" t="n">
        <f aca="false">IF(F188="Disposable",1,0)</f>
        <v>0</v>
      </c>
      <c r="R188" s="3" t="n">
        <f aca="false">IF(SUMPRODUCT(--ISNUMBER(SEARCH('Spam Rules'!$A$22:$A$35,K188)))&gt;0,1,0)</f>
        <v>0</v>
      </c>
      <c r="S188" s="3" t="n">
        <f aca="false">IF(AND(F188="Free",G188=""),1,0)</f>
        <v>0</v>
      </c>
      <c r="T188" s="3" t="n">
        <f aca="false">IF(LEN(TRIM(K188))&lt;15,1,0)</f>
        <v>0</v>
      </c>
      <c r="U188" s="3" t="n">
        <f aca="false">IF(COUNTIF($E$2:$E$801,E188)&gt;1,1,0)</f>
        <v>0</v>
      </c>
      <c r="V188" s="3" t="n">
        <f aca="false">Q188*'Spam Rules'!$H$6+R188*'Spam Rules'!$H$7+S188*'Spam Rules'!$H$8+T188*'Spam Rules'!$H$9+U188*'Spam Rules'!$H$10</f>
        <v>0</v>
      </c>
      <c r="W188" s="3" t="str">
        <f aca="false">IF(V188&gt;='Spam Rules'!$B$3,"Likely Spam","Genuine")</f>
        <v>Genuine</v>
      </c>
      <c r="X188" s="3" t="n">
        <f aca="false">IFERROR(INDEX('Scoring Model'!$B$5:$B$11,MATCH(C188,'Scoring Model'!$A$5:$A$11,0)),0)</f>
        <v>10</v>
      </c>
      <c r="Y188" s="3" t="n">
        <f aca="false">IFERROR(INDEX('Scoring Model'!$E$5:$E$7,MATCH(F188,'Scoring Model'!$D$5:$D$7,0)),0)</f>
        <v>20</v>
      </c>
      <c r="Z188" s="3" t="n">
        <f aca="false">IFERROR(INDEX('Scoring Model'!$H$5:$H$13,MATCH(J188,'Scoring Model'!$G$5:$G$13,0)),0)</f>
        <v>15</v>
      </c>
      <c r="AA188" s="3" t="n">
        <f aca="false">IF(L188&gt;='Scoring Model'!$B$14,'Scoring Model'!$B$15,IF(L188&gt;='Scoring Model'!$B$16,'Scoring Model'!$B$17,0))</f>
        <v>15</v>
      </c>
      <c r="AB188" s="3" t="n">
        <f aca="false">IF(SUMPRODUCT(--ISNUMBER(SEARCH('Scoring Model'!$D$16:$D$25,K188)))&gt;0,'Scoring Model'!$B$18,0)</f>
        <v>15</v>
      </c>
      <c r="AC188" s="3" t="n">
        <f aca="false">IF(SUMPRODUCT(--ISNUMBER(SEARCH('Scoring Model'!$G$16:$G$23,K188)))&gt;0,'Scoring Model'!$B$19,0)</f>
        <v>0</v>
      </c>
      <c r="AD188" s="3" t="n">
        <f aca="false">IF(W188="Likely Spam","",SUM(X188:AC188))</f>
        <v>75</v>
      </c>
      <c r="AE188" s="3" t="str">
        <f aca="false">IF(W188="Likely Spam","Spam",IF(AD188&gt;='Scoring Model'!$B$21,"Hot",IF(AD188&gt;='Scoring Model'!$B$22,"Warm","Nurture")))</f>
        <v>Hot</v>
      </c>
      <c r="AF188" s="3" t="str">
        <f aca="false">IF(W188="Likely Spam","Flagged by spam rules",TRIM(IF(X188&gt;=20,"Strong source. ","")&amp;IF(Y188&gt;0,"Company email. ","")&amp;IF(Z188&gt;=15,"High-value product. ","")&amp;IF(AA188&gt;='Scoring Model'!$B$15,"High engagement. ","")&amp;IF(AB188&gt;0,"Buying intent in message. ","")&amp;IF(AC188&lt;0,"Negative intent in message. ","")))</f>
        <v>Company email. High-value product. High engagement. Buying intent in message.</v>
      </c>
      <c r="AG188" s="11" t="n">
        <f aca="false">IF(W188="Likely Spam","",1/(1+EXP(-('Conversion Model'!$B$5+IFERROR(INDEX('Conversion Model'!$B$8:$B$14,MATCH(C188,'Conversion Model'!$A$8:$A$14,0)),0)+IFERROR(INDEX('Conversion Model'!$E$8:$E$9,MATCH(F188,'Conversion Model'!$D$8:$D$9,0)),0)+IFERROR(INDEX('Conversion Model'!$H$8:$H$12,MATCH(IF(LEFT(J188,8)="Payments","Payments",IF(LEFT(J188,7)="Lending","Lending",J188)),'Conversion Model'!$G$8:$G$12,0)),0)+MIN(L188,15)*'Conversion Model'!$B$17+IF(SUMPRODUCT(--ISNUMBER(SEARCH('Scoring Model'!$D$16:$D$25,K188)))&gt;0,'Conversion Model'!$B$18,0)+IF(SUMPRODUCT(--ISNUMBER(SEARCH('Scoring Model'!$G$16:$G$23,K188)))&gt;0,'Conversion Model'!$B$19,0)))))</f>
        <v>0.998339542044816</v>
      </c>
      <c r="AH188" s="3" t="str">
        <f aca="false">IF(OR(O188="Qualified",O188="Won",O188="Lost"),1,IF(O188="Unqualified",0,""))</f>
        <v/>
      </c>
    </row>
    <row r="189" customFormat="false" ht="15" hidden="false" customHeight="true" outlineLevel="0" collapsed="false">
      <c r="A189" s="3" t="s">
        <v>858</v>
      </c>
      <c r="B189" s="9" t="n">
        <v>46016.3958333333</v>
      </c>
      <c r="C189" s="3" t="s">
        <v>91</v>
      </c>
      <c r="D189" s="3" t="s">
        <v>859</v>
      </c>
      <c r="E189" s="3" t="s">
        <v>860</v>
      </c>
      <c r="F189" s="3" t="s">
        <v>22</v>
      </c>
      <c r="G189" s="3" t="s">
        <v>763</v>
      </c>
      <c r="H189" s="3" t="s">
        <v>764</v>
      </c>
      <c r="I189" s="3" t="s">
        <v>64</v>
      </c>
      <c r="J189" s="3" t="s">
        <v>165</v>
      </c>
      <c r="K189" s="3" t="s">
        <v>189</v>
      </c>
      <c r="L189" s="3" t="n">
        <v>3</v>
      </c>
      <c r="M189" s="3" t="n">
        <v>7.4</v>
      </c>
      <c r="N189" s="3" t="s">
        <v>67</v>
      </c>
      <c r="O189" s="3" t="s">
        <v>110</v>
      </c>
      <c r="P189" s="10"/>
      <c r="Q189" s="3" t="n">
        <f aca="false">IF(F189="Disposable",1,0)</f>
        <v>0</v>
      </c>
      <c r="R189" s="3" t="n">
        <f aca="false">IF(SUMPRODUCT(--ISNUMBER(SEARCH('Spam Rules'!$A$22:$A$35,K189)))&gt;0,1,0)</f>
        <v>0</v>
      </c>
      <c r="S189" s="3" t="n">
        <f aca="false">IF(AND(F189="Free",G189=""),1,0)</f>
        <v>0</v>
      </c>
      <c r="T189" s="3" t="n">
        <f aca="false">IF(LEN(TRIM(K189))&lt;15,1,0)</f>
        <v>0</v>
      </c>
      <c r="U189" s="3" t="n">
        <f aca="false">IF(COUNTIF($E$2:$E$801,E189)&gt;1,1,0)</f>
        <v>0</v>
      </c>
      <c r="V189" s="3" t="n">
        <f aca="false">Q189*'Spam Rules'!$H$6+R189*'Spam Rules'!$H$7+S189*'Spam Rules'!$H$8+T189*'Spam Rules'!$H$9+U189*'Spam Rules'!$H$10</f>
        <v>0</v>
      </c>
      <c r="W189" s="3" t="str">
        <f aca="false">IF(V189&gt;='Spam Rules'!$B$3,"Likely Spam","Genuine")</f>
        <v>Genuine</v>
      </c>
      <c r="X189" s="3" t="n">
        <f aca="false">IFERROR(INDEX('Scoring Model'!$B$5:$B$11,MATCH(C189,'Scoring Model'!$A$5:$A$11,0)),0)</f>
        <v>5</v>
      </c>
      <c r="Y189" s="3" t="n">
        <f aca="false">IFERROR(INDEX('Scoring Model'!$E$5:$E$7,MATCH(F189,'Scoring Model'!$D$5:$D$7,0)),0)</f>
        <v>20</v>
      </c>
      <c r="Z189" s="3" t="n">
        <f aca="false">IFERROR(INDEX('Scoring Model'!$H$5:$H$13,MATCH(J189,'Scoring Model'!$G$5:$G$13,0)),0)</f>
        <v>15</v>
      </c>
      <c r="AA189" s="3" t="n">
        <f aca="false">IF(L189&gt;='Scoring Model'!$B$14,'Scoring Model'!$B$15,IF(L189&gt;='Scoring Model'!$B$16,'Scoring Model'!$B$17,0))</f>
        <v>0</v>
      </c>
      <c r="AB189" s="3" t="n">
        <f aca="false">IF(SUMPRODUCT(--ISNUMBER(SEARCH('Scoring Model'!$D$16:$D$25,K189)))&gt;0,'Scoring Model'!$B$18,0)</f>
        <v>15</v>
      </c>
      <c r="AC189" s="3" t="n">
        <f aca="false">IF(SUMPRODUCT(--ISNUMBER(SEARCH('Scoring Model'!$G$16:$G$23,K189)))&gt;0,'Scoring Model'!$B$19,0)</f>
        <v>0</v>
      </c>
      <c r="AD189" s="3" t="n">
        <f aca="false">IF(W189="Likely Spam","",SUM(X189:AC189))</f>
        <v>55</v>
      </c>
      <c r="AE189" s="3" t="str">
        <f aca="false">IF(W189="Likely Spam","Spam",IF(AD189&gt;='Scoring Model'!$B$21,"Hot",IF(AD189&gt;='Scoring Model'!$B$22,"Warm","Nurture")))</f>
        <v>Warm</v>
      </c>
      <c r="AF189" s="3" t="str">
        <f aca="false">IF(W189="Likely Spam","Flagged by spam rules",TRIM(IF(X189&gt;=20,"Strong source. ","")&amp;IF(Y189&gt;0,"Company email. ","")&amp;IF(Z189&gt;=15,"High-value product. ","")&amp;IF(AA189&gt;='Scoring Model'!$B$15,"High engagement. ","")&amp;IF(AB189&gt;0,"Buying intent in message. ","")&amp;IF(AC189&lt;0,"Negative intent in message. ","")))</f>
        <v>Company email. High-value product. Buying intent in message.</v>
      </c>
      <c r="AG189" s="11" t="n">
        <f aca="false">IF(W189="Likely Spam","",1/(1+EXP(-('Conversion Model'!$B$5+IFERROR(INDEX('Conversion Model'!$B$8:$B$14,MATCH(C189,'Conversion Model'!$A$8:$A$14,0)),0)+IFERROR(INDEX('Conversion Model'!$E$8:$E$9,MATCH(F189,'Conversion Model'!$D$8:$D$9,0)),0)+IFERROR(INDEX('Conversion Model'!$H$8:$H$12,MATCH(IF(LEFT(J189,8)="Payments","Payments",IF(LEFT(J189,7)="Lending","Lending",J189)),'Conversion Model'!$G$8:$G$12,0)),0)+MIN(L189,15)*'Conversion Model'!$B$17+IF(SUMPRODUCT(--ISNUMBER(SEARCH('Scoring Model'!$D$16:$D$25,K189)))&gt;0,'Conversion Model'!$B$18,0)+IF(SUMPRODUCT(--ISNUMBER(SEARCH('Scoring Model'!$G$16:$G$23,K189)))&gt;0,'Conversion Model'!$B$19,0)))))</f>
        <v>0.24397660166495</v>
      </c>
      <c r="AH189" s="3" t="n">
        <f aca="false">IF(OR(O189="Qualified",O189="Won",O189="Lost"),1,IF(O189="Unqualified",0,""))</f>
        <v>1</v>
      </c>
    </row>
    <row r="190" customFormat="false" ht="15" hidden="false" customHeight="true" outlineLevel="0" collapsed="false">
      <c r="A190" s="3" t="s">
        <v>861</v>
      </c>
      <c r="B190" s="9" t="n">
        <v>46016.7763888889</v>
      </c>
      <c r="C190" s="3" t="s">
        <v>51</v>
      </c>
      <c r="D190" s="3" t="s">
        <v>862</v>
      </c>
      <c r="E190" s="3" t="s">
        <v>863</v>
      </c>
      <c r="F190" s="3" t="s">
        <v>54</v>
      </c>
      <c r="G190" s="3" t="s">
        <v>626</v>
      </c>
      <c r="H190" s="3"/>
      <c r="I190" s="3" t="s">
        <v>227</v>
      </c>
      <c r="J190" s="3" t="s">
        <v>145</v>
      </c>
      <c r="K190" s="3" t="s">
        <v>74</v>
      </c>
      <c r="L190" s="3" t="n">
        <v>4</v>
      </c>
      <c r="M190" s="3" t="n">
        <v>15.6</v>
      </c>
      <c r="N190" s="3" t="s">
        <v>171</v>
      </c>
      <c r="O190" s="3"/>
      <c r="P190" s="10"/>
      <c r="Q190" s="3" t="n">
        <f aca="false">IF(F190="Disposable",1,0)</f>
        <v>0</v>
      </c>
      <c r="R190" s="3" t="n">
        <f aca="false">IF(SUMPRODUCT(--ISNUMBER(SEARCH('Spam Rules'!$A$22:$A$35,K190)))&gt;0,1,0)</f>
        <v>0</v>
      </c>
      <c r="S190" s="3" t="n">
        <f aca="false">IF(AND(F190="Free",G190=""),1,0)</f>
        <v>0</v>
      </c>
      <c r="T190" s="3" t="n">
        <f aca="false">IF(LEN(TRIM(K190))&lt;15,1,0)</f>
        <v>0</v>
      </c>
      <c r="U190" s="3" t="n">
        <f aca="false">IF(COUNTIF($E$2:$E$801,E190)&gt;1,1,0)</f>
        <v>0</v>
      </c>
      <c r="V190" s="3" t="n">
        <f aca="false">Q190*'Spam Rules'!$H$6+R190*'Spam Rules'!$H$7+S190*'Spam Rules'!$H$8+T190*'Spam Rules'!$H$9+U190*'Spam Rules'!$H$10</f>
        <v>0</v>
      </c>
      <c r="W190" s="3" t="str">
        <f aca="false">IF(V190&gt;='Spam Rules'!$B$3,"Likely Spam","Genuine")</f>
        <v>Genuine</v>
      </c>
      <c r="X190" s="3" t="n">
        <f aca="false">IFERROR(INDEX('Scoring Model'!$B$5:$B$11,MATCH(C190,'Scoring Model'!$A$5:$A$11,0)),0)</f>
        <v>10</v>
      </c>
      <c r="Y190" s="3" t="n">
        <f aca="false">IFERROR(INDEX('Scoring Model'!$E$5:$E$7,MATCH(F190,'Scoring Model'!$D$5:$D$7,0)),0)</f>
        <v>0</v>
      </c>
      <c r="Z190" s="3" t="n">
        <f aca="false">IFERROR(INDEX('Scoring Model'!$H$5:$H$13,MATCH(J190,'Scoring Model'!$G$5:$G$13,0)),0)</f>
        <v>5</v>
      </c>
      <c r="AA190" s="3" t="n">
        <f aca="false">IF(L190&gt;='Scoring Model'!$B$14,'Scoring Model'!$B$15,IF(L190&gt;='Scoring Model'!$B$16,'Scoring Model'!$B$17,0))</f>
        <v>8</v>
      </c>
      <c r="AB190" s="3" t="n">
        <f aca="false">IF(SUMPRODUCT(--ISNUMBER(SEARCH('Scoring Model'!$D$16:$D$25,K190)))&gt;0,'Scoring Model'!$B$18,0)</f>
        <v>0</v>
      </c>
      <c r="AC190" s="3" t="n">
        <f aca="false">IF(SUMPRODUCT(--ISNUMBER(SEARCH('Scoring Model'!$G$16:$G$23,K190)))&gt;0,'Scoring Model'!$B$19,0)</f>
        <v>-30</v>
      </c>
      <c r="AD190" s="3" t="n">
        <f aca="false">IF(W190="Likely Spam","",SUM(X190:AC190))</f>
        <v>-7</v>
      </c>
      <c r="AE190" s="3" t="str">
        <f aca="false">IF(W190="Likely Spam","Spam",IF(AD190&gt;='Scoring Model'!$B$21,"Hot",IF(AD190&gt;='Scoring Model'!$B$22,"Warm","Nurture")))</f>
        <v>Nurture</v>
      </c>
      <c r="AF190" s="3" t="str">
        <f aca="false">IF(W190="Likely Spam","Flagged by spam rules",TRIM(IF(X190&gt;=20,"Strong source. ","")&amp;IF(Y190&gt;0,"Company email. ","")&amp;IF(Z190&gt;=15,"High-value product. ","")&amp;IF(AA190&gt;='Scoring Model'!$B$15,"High engagement. ","")&amp;IF(AB190&gt;0,"Buying intent in message. ","")&amp;IF(AC190&lt;0,"Negative intent in message. ","")))</f>
        <v>Negative intent in message.</v>
      </c>
      <c r="AG190" s="11" t="n">
        <f aca="false">IF(W190="Likely Spam","",1/(1+EXP(-('Conversion Model'!$B$5+IFERROR(INDEX('Conversion Model'!$B$8:$B$14,MATCH(C190,'Conversion Model'!$A$8:$A$14,0)),0)+IFERROR(INDEX('Conversion Model'!$E$8:$E$9,MATCH(F190,'Conversion Model'!$D$8:$D$9,0)),0)+IFERROR(INDEX('Conversion Model'!$H$8:$H$12,MATCH(IF(LEFT(J190,8)="Payments","Payments",IF(LEFT(J190,7)="Lending","Lending",J190)),'Conversion Model'!$G$8:$G$12,0)),0)+MIN(L190,15)*'Conversion Model'!$B$17+IF(SUMPRODUCT(--ISNUMBER(SEARCH('Scoring Model'!$D$16:$D$25,K190)))&gt;0,'Conversion Model'!$B$18,0)+IF(SUMPRODUCT(--ISNUMBER(SEARCH('Scoring Model'!$G$16:$G$23,K190)))&gt;0,'Conversion Model'!$B$19,0)))))</f>
        <v>0.0141470651151213</v>
      </c>
      <c r="AH190" s="3" t="str">
        <f aca="false">IF(OR(O190="Qualified",O190="Won",O190="Lost"),1,IF(O190="Unqualified",0,""))</f>
        <v/>
      </c>
    </row>
    <row r="191" customFormat="false" ht="15" hidden="false" customHeight="true" outlineLevel="0" collapsed="false">
      <c r="A191" s="3" t="s">
        <v>864</v>
      </c>
      <c r="B191" s="9" t="n">
        <v>46017.1076388889</v>
      </c>
      <c r="C191" s="3" t="s">
        <v>160</v>
      </c>
      <c r="D191" s="3" t="s">
        <v>865</v>
      </c>
      <c r="E191" s="3" t="s">
        <v>866</v>
      </c>
      <c r="F191" s="3" t="s">
        <v>54</v>
      </c>
      <c r="G191" s="3" t="s">
        <v>547</v>
      </c>
      <c r="H191" s="3"/>
      <c r="I191" s="3" t="s">
        <v>227</v>
      </c>
      <c r="J191" s="3" t="s">
        <v>122</v>
      </c>
      <c r="K191" s="3" t="s">
        <v>867</v>
      </c>
      <c r="L191" s="3" t="n">
        <v>12</v>
      </c>
      <c r="M191" s="3" t="n">
        <v>40.4</v>
      </c>
      <c r="N191" s="3" t="s">
        <v>67</v>
      </c>
      <c r="O191" s="3" t="s">
        <v>331</v>
      </c>
      <c r="P191" s="10"/>
      <c r="Q191" s="3" t="n">
        <f aca="false">IF(F191="Disposable",1,0)</f>
        <v>0</v>
      </c>
      <c r="R191" s="3" t="n">
        <f aca="false">IF(SUMPRODUCT(--ISNUMBER(SEARCH('Spam Rules'!$A$22:$A$35,K191)))&gt;0,1,0)</f>
        <v>0</v>
      </c>
      <c r="S191" s="3" t="n">
        <f aca="false">IF(AND(F191="Free",G191=""),1,0)</f>
        <v>0</v>
      </c>
      <c r="T191" s="3" t="n">
        <f aca="false">IF(LEN(TRIM(K191))&lt;15,1,0)</f>
        <v>0</v>
      </c>
      <c r="U191" s="3" t="n">
        <f aca="false">IF(COUNTIF($E$2:$E$801,E191)&gt;1,1,0)</f>
        <v>0</v>
      </c>
      <c r="V191" s="3" t="n">
        <f aca="false">Q191*'Spam Rules'!$H$6+R191*'Spam Rules'!$H$7+S191*'Spam Rules'!$H$8+T191*'Spam Rules'!$H$9+U191*'Spam Rules'!$H$10</f>
        <v>0</v>
      </c>
      <c r="W191" s="3" t="str">
        <f aca="false">IF(V191&gt;='Spam Rules'!$B$3,"Likely Spam","Genuine")</f>
        <v>Genuine</v>
      </c>
      <c r="X191" s="3" t="n">
        <f aca="false">IFERROR(INDEX('Scoring Model'!$B$5:$B$11,MATCH(C191,'Scoring Model'!$A$5:$A$11,0)),0)</f>
        <v>25</v>
      </c>
      <c r="Y191" s="3" t="n">
        <f aca="false">IFERROR(INDEX('Scoring Model'!$E$5:$E$7,MATCH(F191,'Scoring Model'!$D$5:$D$7,0)),0)</f>
        <v>0</v>
      </c>
      <c r="Z191" s="3" t="n">
        <f aca="false">IFERROR(INDEX('Scoring Model'!$H$5:$H$13,MATCH(J191,'Scoring Model'!$G$5:$G$13,0)),0)</f>
        <v>15</v>
      </c>
      <c r="AA191" s="3" t="n">
        <f aca="false">IF(L191&gt;='Scoring Model'!$B$14,'Scoring Model'!$B$15,IF(L191&gt;='Scoring Model'!$B$16,'Scoring Model'!$B$17,0))</f>
        <v>15</v>
      </c>
      <c r="AB191" s="3" t="n">
        <f aca="false">IF(SUMPRODUCT(--ISNUMBER(SEARCH('Scoring Model'!$D$16:$D$25,K191)))&gt;0,'Scoring Model'!$B$18,0)</f>
        <v>15</v>
      </c>
      <c r="AC191" s="3" t="n">
        <f aca="false">IF(SUMPRODUCT(--ISNUMBER(SEARCH('Scoring Model'!$G$16:$G$23,K191)))&gt;0,'Scoring Model'!$B$19,0)</f>
        <v>0</v>
      </c>
      <c r="AD191" s="3" t="n">
        <f aca="false">IF(W191="Likely Spam","",SUM(X191:AC191))</f>
        <v>70</v>
      </c>
      <c r="AE191" s="3" t="str">
        <f aca="false">IF(W191="Likely Spam","Spam",IF(AD191&gt;='Scoring Model'!$B$21,"Hot",IF(AD191&gt;='Scoring Model'!$B$22,"Warm","Nurture")))</f>
        <v>Hot</v>
      </c>
      <c r="AF191" s="3" t="str">
        <f aca="false">IF(W191="Likely Spam","Flagged by spam rules",TRIM(IF(X191&gt;=20,"Strong source. ","")&amp;IF(Y191&gt;0,"Company email. ","")&amp;IF(Z191&gt;=15,"High-value product. ","")&amp;IF(AA191&gt;='Scoring Model'!$B$15,"High engagement. ","")&amp;IF(AB191&gt;0,"Buying intent in message. ","")&amp;IF(AC191&lt;0,"Negative intent in message. ","")))</f>
        <v>Strong source. High-value product. High engagement. Buying intent in message.</v>
      </c>
      <c r="AG191" s="11" t="n">
        <f aca="false">IF(W191="Likely Spam","",1/(1+EXP(-('Conversion Model'!$B$5+IFERROR(INDEX('Conversion Model'!$B$8:$B$14,MATCH(C191,'Conversion Model'!$A$8:$A$14,0)),0)+IFERROR(INDEX('Conversion Model'!$E$8:$E$9,MATCH(F191,'Conversion Model'!$D$8:$D$9,0)),0)+IFERROR(INDEX('Conversion Model'!$H$8:$H$12,MATCH(IF(LEFT(J191,8)="Payments","Payments",IF(LEFT(J191,7)="Lending","Lending",J191)),'Conversion Model'!$G$8:$G$12,0)),0)+MIN(L191,15)*'Conversion Model'!$B$17+IF(SUMPRODUCT(--ISNUMBER(SEARCH('Scoring Model'!$D$16:$D$25,K191)))&gt;0,'Conversion Model'!$B$18,0)+IF(SUMPRODUCT(--ISNUMBER(SEARCH('Scoring Model'!$G$16:$G$23,K191)))&gt;0,'Conversion Model'!$B$19,0)))))</f>
        <v>0.997612218619094</v>
      </c>
      <c r="AH191" s="3" t="n">
        <f aca="false">IF(OR(O191="Qualified",O191="Won",O191="Lost"),1,IF(O191="Unqualified",0,""))</f>
        <v>1</v>
      </c>
    </row>
    <row r="192" customFormat="false" ht="15" hidden="false" customHeight="true" outlineLevel="0" collapsed="false">
      <c r="A192" s="3" t="s">
        <v>868</v>
      </c>
      <c r="B192" s="9" t="n">
        <v>46018.6458333333</v>
      </c>
      <c r="C192" s="3" t="s">
        <v>51</v>
      </c>
      <c r="D192" s="3" t="s">
        <v>869</v>
      </c>
      <c r="E192" s="3" t="s">
        <v>870</v>
      </c>
      <c r="F192" s="3" t="s">
        <v>54</v>
      </c>
      <c r="G192" s="3" t="s">
        <v>871</v>
      </c>
      <c r="H192" s="3"/>
      <c r="I192" s="3" t="s">
        <v>56</v>
      </c>
      <c r="J192" s="3" t="s">
        <v>117</v>
      </c>
      <c r="K192" s="3" t="s">
        <v>872</v>
      </c>
      <c r="L192" s="3" t="n">
        <v>1</v>
      </c>
      <c r="M192" s="3" t="n">
        <v>10.7</v>
      </c>
      <c r="N192" s="3" t="s">
        <v>67</v>
      </c>
      <c r="O192" s="3"/>
      <c r="P192" s="10"/>
      <c r="Q192" s="3" t="n">
        <f aca="false">IF(F192="Disposable",1,0)</f>
        <v>0</v>
      </c>
      <c r="R192" s="3" t="n">
        <f aca="false">IF(SUMPRODUCT(--ISNUMBER(SEARCH('Spam Rules'!$A$22:$A$35,K192)))&gt;0,1,0)</f>
        <v>0</v>
      </c>
      <c r="S192" s="3" t="n">
        <f aca="false">IF(AND(F192="Free",G192=""),1,0)</f>
        <v>0</v>
      </c>
      <c r="T192" s="3" t="n">
        <f aca="false">IF(LEN(TRIM(K192))&lt;15,1,0)</f>
        <v>0</v>
      </c>
      <c r="U192" s="3" t="n">
        <f aca="false">IF(COUNTIF($E$2:$E$801,E192)&gt;1,1,0)</f>
        <v>0</v>
      </c>
      <c r="V192" s="3" t="n">
        <f aca="false">Q192*'Spam Rules'!$H$6+R192*'Spam Rules'!$H$7+S192*'Spam Rules'!$H$8+T192*'Spam Rules'!$H$9+U192*'Spam Rules'!$H$10</f>
        <v>0</v>
      </c>
      <c r="W192" s="3" t="str">
        <f aca="false">IF(V192&gt;='Spam Rules'!$B$3,"Likely Spam","Genuine")</f>
        <v>Genuine</v>
      </c>
      <c r="X192" s="3" t="n">
        <f aca="false">IFERROR(INDEX('Scoring Model'!$B$5:$B$11,MATCH(C192,'Scoring Model'!$A$5:$A$11,0)),0)</f>
        <v>10</v>
      </c>
      <c r="Y192" s="3" t="n">
        <f aca="false">IFERROR(INDEX('Scoring Model'!$E$5:$E$7,MATCH(F192,'Scoring Model'!$D$5:$D$7,0)),0)</f>
        <v>0</v>
      </c>
      <c r="Z192" s="3" t="n">
        <f aca="false">IFERROR(INDEX('Scoring Model'!$H$5:$H$13,MATCH(J192,'Scoring Model'!$G$5:$G$13,0)),0)</f>
        <v>15</v>
      </c>
      <c r="AA192" s="3" t="n">
        <f aca="false">IF(L192&gt;='Scoring Model'!$B$14,'Scoring Model'!$B$15,IF(L192&gt;='Scoring Model'!$B$16,'Scoring Model'!$B$17,0))</f>
        <v>0</v>
      </c>
      <c r="AB192" s="3" t="n">
        <f aca="false">IF(SUMPRODUCT(--ISNUMBER(SEARCH('Scoring Model'!$D$16:$D$25,K192)))&gt;0,'Scoring Model'!$B$18,0)</f>
        <v>15</v>
      </c>
      <c r="AC192" s="3" t="n">
        <f aca="false">IF(SUMPRODUCT(--ISNUMBER(SEARCH('Scoring Model'!$G$16:$G$23,K192)))&gt;0,'Scoring Model'!$B$19,0)</f>
        <v>0</v>
      </c>
      <c r="AD192" s="3" t="n">
        <f aca="false">IF(W192="Likely Spam","",SUM(X192:AC192))</f>
        <v>40</v>
      </c>
      <c r="AE192" s="3" t="str">
        <f aca="false">IF(W192="Likely Spam","Spam",IF(AD192&gt;='Scoring Model'!$B$21,"Hot",IF(AD192&gt;='Scoring Model'!$B$22,"Warm","Nurture")))</f>
        <v>Nurture</v>
      </c>
      <c r="AF192" s="3" t="str">
        <f aca="false">IF(W192="Likely Spam","Flagged by spam rules",TRIM(IF(X192&gt;=20,"Strong source. ","")&amp;IF(Y192&gt;0,"Company email. ","")&amp;IF(Z192&gt;=15,"High-value product. ","")&amp;IF(AA192&gt;='Scoring Model'!$B$15,"High engagement. ","")&amp;IF(AB192&gt;0,"Buying intent in message. ","")&amp;IF(AC192&lt;0,"Negative intent in message. ","")))</f>
        <v>High-value product. Buying intent in message.</v>
      </c>
      <c r="AG192" s="11" t="n">
        <f aca="false">IF(W192="Likely Spam","",1/(1+EXP(-('Conversion Model'!$B$5+IFERROR(INDEX('Conversion Model'!$B$8:$B$14,MATCH(C192,'Conversion Model'!$A$8:$A$14,0)),0)+IFERROR(INDEX('Conversion Model'!$E$8:$E$9,MATCH(F192,'Conversion Model'!$D$8:$D$9,0)),0)+IFERROR(INDEX('Conversion Model'!$H$8:$H$12,MATCH(IF(LEFT(J192,8)="Payments","Payments",IF(LEFT(J192,7)="Lending","Lending",J192)),'Conversion Model'!$G$8:$G$12,0)),0)+MIN(L192,15)*'Conversion Model'!$B$17+IF(SUMPRODUCT(--ISNUMBER(SEARCH('Scoring Model'!$D$16:$D$25,K192)))&gt;0,'Conversion Model'!$B$18,0)+IF(SUMPRODUCT(--ISNUMBER(SEARCH('Scoring Model'!$G$16:$G$23,K192)))&gt;0,'Conversion Model'!$B$19,0)))))</f>
        <v>0.0855673525949666</v>
      </c>
      <c r="AH192" s="3" t="str">
        <f aca="false">IF(OR(O192="Qualified",O192="Won",O192="Lost"),1,IF(O192="Unqualified",0,""))</f>
        <v/>
      </c>
    </row>
    <row r="193" customFormat="false" ht="15" hidden="false" customHeight="true" outlineLevel="0" collapsed="false">
      <c r="A193" s="3" t="s">
        <v>873</v>
      </c>
      <c r="B193" s="9" t="n">
        <v>46018.6611111111</v>
      </c>
      <c r="C193" s="3" t="s">
        <v>135</v>
      </c>
      <c r="D193" s="3" t="s">
        <v>168</v>
      </c>
      <c r="E193" s="3" t="s">
        <v>874</v>
      </c>
      <c r="F193" s="3" t="s">
        <v>22</v>
      </c>
      <c r="G193" s="3" t="s">
        <v>279</v>
      </c>
      <c r="H193" s="3" t="s">
        <v>588</v>
      </c>
      <c r="I193" s="3" t="s">
        <v>107</v>
      </c>
      <c r="J193" s="3" t="s">
        <v>81</v>
      </c>
      <c r="K193" s="3" t="s">
        <v>349</v>
      </c>
      <c r="L193" s="3" t="n">
        <v>4</v>
      </c>
      <c r="M193" s="3" t="n">
        <v>4.6</v>
      </c>
      <c r="N193" s="3" t="s">
        <v>96</v>
      </c>
      <c r="O193" s="3" t="s">
        <v>194</v>
      </c>
      <c r="P193" s="10"/>
      <c r="Q193" s="3" t="n">
        <f aca="false">IF(F193="Disposable",1,0)</f>
        <v>0</v>
      </c>
      <c r="R193" s="3" t="n">
        <f aca="false">IF(SUMPRODUCT(--ISNUMBER(SEARCH('Spam Rules'!$A$22:$A$35,K193)))&gt;0,1,0)</f>
        <v>0</v>
      </c>
      <c r="S193" s="3" t="n">
        <f aca="false">IF(AND(F193="Free",G193=""),1,0)</f>
        <v>0</v>
      </c>
      <c r="T193" s="3" t="n">
        <f aca="false">IF(LEN(TRIM(K193))&lt;15,1,0)</f>
        <v>0</v>
      </c>
      <c r="U193" s="3" t="n">
        <f aca="false">IF(COUNTIF($E$2:$E$801,E193)&gt;1,1,0)</f>
        <v>0</v>
      </c>
      <c r="V193" s="3" t="n">
        <f aca="false">Q193*'Spam Rules'!$H$6+R193*'Spam Rules'!$H$7+S193*'Spam Rules'!$H$8+T193*'Spam Rules'!$H$9+U193*'Spam Rules'!$H$10</f>
        <v>0</v>
      </c>
      <c r="W193" s="3" t="str">
        <f aca="false">IF(V193&gt;='Spam Rules'!$B$3,"Likely Spam","Genuine")</f>
        <v>Genuine</v>
      </c>
      <c r="X193" s="3" t="n">
        <f aca="false">IFERROR(INDEX('Scoring Model'!$B$5:$B$11,MATCH(C193,'Scoring Model'!$A$5:$A$11,0)),0)</f>
        <v>20</v>
      </c>
      <c r="Y193" s="3" t="n">
        <f aca="false">IFERROR(INDEX('Scoring Model'!$E$5:$E$7,MATCH(F193,'Scoring Model'!$D$5:$D$7,0)),0)</f>
        <v>20</v>
      </c>
      <c r="Z193" s="3" t="n">
        <f aca="false">IFERROR(INDEX('Scoring Model'!$H$5:$H$13,MATCH(J193,'Scoring Model'!$G$5:$G$13,0)),0)</f>
        <v>5</v>
      </c>
      <c r="AA193" s="3" t="n">
        <f aca="false">IF(L193&gt;='Scoring Model'!$B$14,'Scoring Model'!$B$15,IF(L193&gt;='Scoring Model'!$B$16,'Scoring Model'!$B$17,0))</f>
        <v>8</v>
      </c>
      <c r="AB193" s="3" t="n">
        <f aca="false">IF(SUMPRODUCT(--ISNUMBER(SEARCH('Scoring Model'!$D$16:$D$25,K193)))&gt;0,'Scoring Model'!$B$18,0)</f>
        <v>0</v>
      </c>
      <c r="AC193" s="3" t="n">
        <f aca="false">IF(SUMPRODUCT(--ISNUMBER(SEARCH('Scoring Model'!$G$16:$G$23,K193)))&gt;0,'Scoring Model'!$B$19,0)</f>
        <v>-30</v>
      </c>
      <c r="AD193" s="3" t="n">
        <f aca="false">IF(W193="Likely Spam","",SUM(X193:AC193))</f>
        <v>23</v>
      </c>
      <c r="AE193" s="3" t="str">
        <f aca="false">IF(W193="Likely Spam","Spam",IF(AD193&gt;='Scoring Model'!$B$21,"Hot",IF(AD193&gt;='Scoring Model'!$B$22,"Warm","Nurture")))</f>
        <v>Nurture</v>
      </c>
      <c r="AF193" s="3" t="str">
        <f aca="false">IF(W193="Likely Spam","Flagged by spam rules",TRIM(IF(X193&gt;=20,"Strong source. ","")&amp;IF(Y193&gt;0,"Company email. ","")&amp;IF(Z193&gt;=15,"High-value product. ","")&amp;IF(AA193&gt;='Scoring Model'!$B$15,"High engagement. ","")&amp;IF(AB193&gt;0,"Buying intent in message. ","")&amp;IF(AC193&lt;0,"Negative intent in message. ","")))</f>
        <v>Strong source. Company email. Negative intent in message.</v>
      </c>
      <c r="AG193" s="11" t="n">
        <f aca="false">IF(W193="Likely Spam","",1/(1+EXP(-('Conversion Model'!$B$5+IFERROR(INDEX('Conversion Model'!$B$8:$B$14,MATCH(C193,'Conversion Model'!$A$8:$A$14,0)),0)+IFERROR(INDEX('Conversion Model'!$E$8:$E$9,MATCH(F193,'Conversion Model'!$D$8:$D$9,0)),0)+IFERROR(INDEX('Conversion Model'!$H$8:$H$12,MATCH(IF(LEFT(J193,8)="Payments","Payments",IF(LEFT(J193,7)="Lending","Lending",J193)),'Conversion Model'!$G$8:$G$12,0)),0)+MIN(L193,15)*'Conversion Model'!$B$17+IF(SUMPRODUCT(--ISNUMBER(SEARCH('Scoring Model'!$D$16:$D$25,K193)))&gt;0,'Conversion Model'!$B$18,0)+IF(SUMPRODUCT(--ISNUMBER(SEARCH('Scoring Model'!$G$16:$G$23,K193)))&gt;0,'Conversion Model'!$B$19,0)))))</f>
        <v>0.04582575640832</v>
      </c>
      <c r="AH193" s="3" t="n">
        <f aca="false">IF(OR(O193="Qualified",O193="Won",O193="Lost"),1,IF(O193="Unqualified",0,""))</f>
        <v>0</v>
      </c>
    </row>
    <row r="194" customFormat="false" ht="15" hidden="false" customHeight="true" outlineLevel="0" collapsed="false">
      <c r="A194" s="3" t="s">
        <v>875</v>
      </c>
      <c r="B194" s="9" t="n">
        <v>46020.0722222222</v>
      </c>
      <c r="C194" s="3" t="s">
        <v>91</v>
      </c>
      <c r="D194" s="3" t="s">
        <v>771</v>
      </c>
      <c r="E194" s="3" t="s">
        <v>876</v>
      </c>
      <c r="F194" s="3" t="s">
        <v>54</v>
      </c>
      <c r="G194" s="3" t="s">
        <v>877</v>
      </c>
      <c r="H194" s="3"/>
      <c r="I194" s="3" t="s">
        <v>94</v>
      </c>
      <c r="J194" s="3" t="s">
        <v>65</v>
      </c>
      <c r="K194" s="3" t="s">
        <v>101</v>
      </c>
      <c r="L194" s="3" t="n">
        <v>3</v>
      </c>
      <c r="M194" s="3" t="n">
        <v>10.3</v>
      </c>
      <c r="N194" s="3" t="s">
        <v>59</v>
      </c>
      <c r="O194" s="3" t="s">
        <v>194</v>
      </c>
      <c r="P194" s="10"/>
      <c r="Q194" s="3" t="n">
        <f aca="false">IF(F194="Disposable",1,0)</f>
        <v>0</v>
      </c>
      <c r="R194" s="3" t="n">
        <f aca="false">IF(SUMPRODUCT(--ISNUMBER(SEARCH('Spam Rules'!$A$22:$A$35,K194)))&gt;0,1,0)</f>
        <v>0</v>
      </c>
      <c r="S194" s="3" t="n">
        <f aca="false">IF(AND(F194="Free",G194=""),1,0)</f>
        <v>0</v>
      </c>
      <c r="T194" s="3" t="n">
        <f aca="false">IF(LEN(TRIM(K194))&lt;15,1,0)</f>
        <v>0</v>
      </c>
      <c r="U194" s="3" t="n">
        <f aca="false">IF(COUNTIF($E$2:$E$801,E194)&gt;1,1,0)</f>
        <v>0</v>
      </c>
      <c r="V194" s="3" t="n">
        <f aca="false">Q194*'Spam Rules'!$H$6+R194*'Spam Rules'!$H$7+S194*'Spam Rules'!$H$8+T194*'Spam Rules'!$H$9+U194*'Spam Rules'!$H$10</f>
        <v>0</v>
      </c>
      <c r="W194" s="3" t="str">
        <f aca="false">IF(V194&gt;='Spam Rules'!$B$3,"Likely Spam","Genuine")</f>
        <v>Genuine</v>
      </c>
      <c r="X194" s="3" t="n">
        <f aca="false">IFERROR(INDEX('Scoring Model'!$B$5:$B$11,MATCH(C194,'Scoring Model'!$A$5:$A$11,0)),0)</f>
        <v>5</v>
      </c>
      <c r="Y194" s="3" t="n">
        <f aca="false">IFERROR(INDEX('Scoring Model'!$E$5:$E$7,MATCH(F194,'Scoring Model'!$D$5:$D$7,0)),0)</f>
        <v>0</v>
      </c>
      <c r="Z194" s="3" t="n">
        <f aca="false">IFERROR(INDEX('Scoring Model'!$H$5:$H$13,MATCH(J194,'Scoring Model'!$G$5:$G$13,0)),0)</f>
        <v>0</v>
      </c>
      <c r="AA194" s="3" t="n">
        <f aca="false">IF(L194&gt;='Scoring Model'!$B$14,'Scoring Model'!$B$15,IF(L194&gt;='Scoring Model'!$B$16,'Scoring Model'!$B$17,0))</f>
        <v>0</v>
      </c>
      <c r="AB194" s="3" t="n">
        <f aca="false">IF(SUMPRODUCT(--ISNUMBER(SEARCH('Scoring Model'!$D$16:$D$25,K194)))&gt;0,'Scoring Model'!$B$18,0)</f>
        <v>0</v>
      </c>
      <c r="AC194" s="3" t="n">
        <f aca="false">IF(SUMPRODUCT(--ISNUMBER(SEARCH('Scoring Model'!$G$16:$G$23,K194)))&gt;0,'Scoring Model'!$B$19,0)</f>
        <v>-30</v>
      </c>
      <c r="AD194" s="3" t="n">
        <f aca="false">IF(W194="Likely Spam","",SUM(X194:AC194))</f>
        <v>-25</v>
      </c>
      <c r="AE194" s="3" t="str">
        <f aca="false">IF(W194="Likely Spam","Spam",IF(AD194&gt;='Scoring Model'!$B$21,"Hot",IF(AD194&gt;='Scoring Model'!$B$22,"Warm","Nurture")))</f>
        <v>Nurture</v>
      </c>
      <c r="AF194" s="3" t="str">
        <f aca="false">IF(W194="Likely Spam","Flagged by spam rules",TRIM(IF(X194&gt;=20,"Strong source. ","")&amp;IF(Y194&gt;0,"Company email. ","")&amp;IF(Z194&gt;=15,"High-value product. ","")&amp;IF(AA194&gt;='Scoring Model'!$B$15,"High engagement. ","")&amp;IF(AB194&gt;0,"Buying intent in message. ","")&amp;IF(AC194&lt;0,"Negative intent in message. ","")))</f>
        <v>Negative intent in message.</v>
      </c>
      <c r="AG194" s="11" t="n">
        <f aca="false">IF(W194="Likely Spam","",1/(1+EXP(-('Conversion Model'!$B$5+IFERROR(INDEX('Conversion Model'!$B$8:$B$14,MATCH(C194,'Conversion Model'!$A$8:$A$14,0)),0)+IFERROR(INDEX('Conversion Model'!$E$8:$E$9,MATCH(F194,'Conversion Model'!$D$8:$D$9,0)),0)+IFERROR(INDEX('Conversion Model'!$H$8:$H$12,MATCH(IF(LEFT(J194,8)="Payments","Payments",IF(LEFT(J194,7)="Lending","Lending",J194)),'Conversion Model'!$G$8:$G$12,0)),0)+MIN(L194,15)*'Conversion Model'!$B$17+IF(SUMPRODUCT(--ISNUMBER(SEARCH('Scoring Model'!$D$16:$D$25,K194)))&gt;0,'Conversion Model'!$B$18,0)+IF(SUMPRODUCT(--ISNUMBER(SEARCH('Scoring Model'!$G$16:$G$23,K194)))&gt;0,'Conversion Model'!$B$19,0)))))</f>
        <v>0.00336820979124683</v>
      </c>
      <c r="AH194" s="3" t="n">
        <f aca="false">IF(OR(O194="Qualified",O194="Won",O194="Lost"),1,IF(O194="Unqualified",0,""))</f>
        <v>0</v>
      </c>
    </row>
    <row r="195" customFormat="false" ht="15" hidden="false" customHeight="true" outlineLevel="0" collapsed="false">
      <c r="A195" s="3" t="s">
        <v>878</v>
      </c>
      <c r="B195" s="9" t="n">
        <v>46020.15</v>
      </c>
      <c r="C195" s="3" t="s">
        <v>51</v>
      </c>
      <c r="D195" s="3" t="s">
        <v>879</v>
      </c>
      <c r="E195" s="3" t="s">
        <v>880</v>
      </c>
      <c r="F195" s="3" t="s">
        <v>63</v>
      </c>
      <c r="G195" s="3"/>
      <c r="H195" s="3"/>
      <c r="I195" s="3" t="s">
        <v>107</v>
      </c>
      <c r="J195" s="3" t="s">
        <v>65</v>
      </c>
      <c r="K195" s="3" t="s">
        <v>363</v>
      </c>
      <c r="L195" s="3" t="n">
        <v>1</v>
      </c>
      <c r="M195" s="3" t="n">
        <v>16.3</v>
      </c>
      <c r="N195" s="3" t="s">
        <v>171</v>
      </c>
      <c r="O195" s="3"/>
      <c r="P195" s="10"/>
      <c r="Q195" s="3" t="n">
        <f aca="false">IF(F195="Disposable",1,0)</f>
        <v>1</v>
      </c>
      <c r="R195" s="3" t="n">
        <f aca="false">IF(SUMPRODUCT(--ISNUMBER(SEARCH('Spam Rules'!$A$22:$A$35,K195)))&gt;0,1,0)</f>
        <v>1</v>
      </c>
      <c r="S195" s="3" t="n">
        <f aca="false">IF(AND(F195="Free",G195=""),1,0)</f>
        <v>0</v>
      </c>
      <c r="T195" s="3" t="n">
        <f aca="false">IF(LEN(TRIM(K195))&lt;15,1,0)</f>
        <v>0</v>
      </c>
      <c r="U195" s="3" t="n">
        <f aca="false">IF(COUNTIF($E$2:$E$801,E195)&gt;1,1,0)</f>
        <v>0</v>
      </c>
      <c r="V195" s="3" t="n">
        <f aca="false">Q195*'Spam Rules'!$H$6+R195*'Spam Rules'!$H$7+S195*'Spam Rules'!$H$8+T195*'Spam Rules'!$H$9+U195*'Spam Rules'!$H$10</f>
        <v>2</v>
      </c>
      <c r="W195" s="3" t="str">
        <f aca="false">IF(V195&gt;='Spam Rules'!$B$3,"Likely Spam","Genuine")</f>
        <v>Likely Spam</v>
      </c>
      <c r="X195" s="3" t="n">
        <f aca="false">IFERROR(INDEX('Scoring Model'!$B$5:$B$11,MATCH(C195,'Scoring Model'!$A$5:$A$11,0)),0)</f>
        <v>10</v>
      </c>
      <c r="Y195" s="3" t="n">
        <f aca="false">IFERROR(INDEX('Scoring Model'!$E$5:$E$7,MATCH(F195,'Scoring Model'!$D$5:$D$7,0)),0)</f>
        <v>0</v>
      </c>
      <c r="Z195" s="3" t="n">
        <f aca="false">IFERROR(INDEX('Scoring Model'!$H$5:$H$13,MATCH(J195,'Scoring Model'!$G$5:$G$13,0)),0)</f>
        <v>0</v>
      </c>
      <c r="AA195" s="3" t="n">
        <f aca="false">IF(L195&gt;='Scoring Model'!$B$14,'Scoring Model'!$B$15,IF(L195&gt;='Scoring Model'!$B$16,'Scoring Model'!$B$17,0))</f>
        <v>0</v>
      </c>
      <c r="AB195" s="3" t="n">
        <f aca="false">IF(SUMPRODUCT(--ISNUMBER(SEARCH('Scoring Model'!$D$16:$D$25,K195)))&gt;0,'Scoring Model'!$B$18,0)</f>
        <v>0</v>
      </c>
      <c r="AC195" s="3" t="n">
        <f aca="false">IF(SUMPRODUCT(--ISNUMBER(SEARCH('Scoring Model'!$G$16:$G$23,K195)))&gt;0,'Scoring Model'!$B$19,0)</f>
        <v>0</v>
      </c>
      <c r="AD195" s="3" t="str">
        <f aca="false">IF(W195="Likely Spam","",SUM(X195:AC195))</f>
        <v/>
      </c>
      <c r="AE195" s="3" t="str">
        <f aca="false">IF(W195="Likely Spam","Spam",IF(AD195&gt;='Scoring Model'!$B$21,"Hot",IF(AD195&gt;='Scoring Model'!$B$22,"Warm","Nurture")))</f>
        <v>Spam</v>
      </c>
      <c r="AF195" s="3" t="str">
        <f aca="false">IF(W195="Likely Spam","Flagged by spam rules",TRIM(IF(X195&gt;=20,"Strong source. ","")&amp;IF(Y195&gt;0,"Company email. ","")&amp;IF(Z195&gt;=15,"High-value product. ","")&amp;IF(AA195&gt;='Scoring Model'!$B$15,"High engagement. ","")&amp;IF(AB195&gt;0,"Buying intent in message. ","")&amp;IF(AC195&lt;0,"Negative intent in message. ","")))</f>
        <v>Flagged by spam rules</v>
      </c>
      <c r="AG195" s="11" t="str">
        <f aca="false">IF(W195="Likely Spam","",1/(1+EXP(-('Conversion Model'!$B$5+IFERROR(INDEX('Conversion Model'!$B$8:$B$14,MATCH(C195,'Conversion Model'!$A$8:$A$14,0)),0)+IFERROR(INDEX('Conversion Model'!$E$8:$E$9,MATCH(F195,'Conversion Model'!$D$8:$D$9,0)),0)+IFERROR(INDEX('Conversion Model'!$H$8:$H$12,MATCH(IF(LEFT(J195,8)="Payments","Payments",IF(LEFT(J195,7)="Lending","Lending",J195)),'Conversion Model'!$G$8:$G$12,0)),0)+MIN(L195,15)*'Conversion Model'!$B$17+IF(SUMPRODUCT(--ISNUMBER(SEARCH('Scoring Model'!$D$16:$D$25,K195)))&gt;0,'Conversion Model'!$B$18,0)+IF(SUMPRODUCT(--ISNUMBER(SEARCH('Scoring Model'!$G$16:$G$23,K195)))&gt;0,'Conversion Model'!$B$19,0)))))</f>
        <v/>
      </c>
      <c r="AH195" s="3" t="str">
        <f aca="false">IF(OR(O195="Qualified",O195="Won",O195="Lost"),1,IF(O195="Unqualified",0,""))</f>
        <v/>
      </c>
    </row>
    <row r="196" customFormat="false" ht="15" hidden="false" customHeight="true" outlineLevel="0" collapsed="false">
      <c r="A196" s="3" t="s">
        <v>881</v>
      </c>
      <c r="B196" s="9" t="n">
        <v>46020.2458333333</v>
      </c>
      <c r="C196" s="3" t="s">
        <v>51</v>
      </c>
      <c r="D196" s="3" t="s">
        <v>882</v>
      </c>
      <c r="E196" s="3" t="s">
        <v>883</v>
      </c>
      <c r="F196" s="3" t="s">
        <v>54</v>
      </c>
      <c r="G196" s="3" t="s">
        <v>237</v>
      </c>
      <c r="H196" s="3"/>
      <c r="I196" s="3" t="s">
        <v>107</v>
      </c>
      <c r="J196" s="3" t="s">
        <v>81</v>
      </c>
      <c r="K196" s="3" t="s">
        <v>322</v>
      </c>
      <c r="L196" s="3" t="n">
        <v>2</v>
      </c>
      <c r="M196" s="3" t="n">
        <v>25.9</v>
      </c>
      <c r="N196" s="3" t="s">
        <v>96</v>
      </c>
      <c r="O196" s="3" t="s">
        <v>68</v>
      </c>
      <c r="P196" s="10"/>
      <c r="Q196" s="3" t="n">
        <f aca="false">IF(F196="Disposable",1,0)</f>
        <v>0</v>
      </c>
      <c r="R196" s="3" t="n">
        <f aca="false">IF(SUMPRODUCT(--ISNUMBER(SEARCH('Spam Rules'!$A$22:$A$35,K196)))&gt;0,1,0)</f>
        <v>0</v>
      </c>
      <c r="S196" s="3" t="n">
        <f aca="false">IF(AND(F196="Free",G196=""),1,0)</f>
        <v>0</v>
      </c>
      <c r="T196" s="3" t="n">
        <f aca="false">IF(LEN(TRIM(K196))&lt;15,1,0)</f>
        <v>1</v>
      </c>
      <c r="U196" s="3" t="n">
        <f aca="false">IF(COUNTIF($E$2:$E$801,E196)&gt;1,1,0)</f>
        <v>0</v>
      </c>
      <c r="V196" s="3" t="n">
        <f aca="false">Q196*'Spam Rules'!$H$6+R196*'Spam Rules'!$H$7+S196*'Spam Rules'!$H$8+T196*'Spam Rules'!$H$9+U196*'Spam Rules'!$H$10</f>
        <v>1</v>
      </c>
      <c r="W196" s="3" t="str">
        <f aca="false">IF(V196&gt;='Spam Rules'!$B$3,"Likely Spam","Genuine")</f>
        <v>Likely Spam</v>
      </c>
      <c r="X196" s="3" t="n">
        <f aca="false">IFERROR(INDEX('Scoring Model'!$B$5:$B$11,MATCH(C196,'Scoring Model'!$A$5:$A$11,0)),0)</f>
        <v>10</v>
      </c>
      <c r="Y196" s="3" t="n">
        <f aca="false">IFERROR(INDEX('Scoring Model'!$E$5:$E$7,MATCH(F196,'Scoring Model'!$D$5:$D$7,0)),0)</f>
        <v>0</v>
      </c>
      <c r="Z196" s="3" t="n">
        <f aca="false">IFERROR(INDEX('Scoring Model'!$H$5:$H$13,MATCH(J196,'Scoring Model'!$G$5:$G$13,0)),0)</f>
        <v>5</v>
      </c>
      <c r="AA196" s="3" t="n">
        <f aca="false">IF(L196&gt;='Scoring Model'!$B$14,'Scoring Model'!$B$15,IF(L196&gt;='Scoring Model'!$B$16,'Scoring Model'!$B$17,0))</f>
        <v>0</v>
      </c>
      <c r="AB196" s="3" t="n">
        <f aca="false">IF(SUMPRODUCT(--ISNUMBER(SEARCH('Scoring Model'!$D$16:$D$25,K196)))&gt;0,'Scoring Model'!$B$18,0)</f>
        <v>0</v>
      </c>
      <c r="AC196" s="3" t="n">
        <f aca="false">IF(SUMPRODUCT(--ISNUMBER(SEARCH('Scoring Model'!$G$16:$G$23,K196)))&gt;0,'Scoring Model'!$B$19,0)</f>
        <v>0</v>
      </c>
      <c r="AD196" s="3" t="str">
        <f aca="false">IF(W196="Likely Spam","",SUM(X196:AC196))</f>
        <v/>
      </c>
      <c r="AE196" s="3" t="str">
        <f aca="false">IF(W196="Likely Spam","Spam",IF(AD196&gt;='Scoring Model'!$B$21,"Hot",IF(AD196&gt;='Scoring Model'!$B$22,"Warm","Nurture")))</f>
        <v>Spam</v>
      </c>
      <c r="AF196" s="3" t="str">
        <f aca="false">IF(W196="Likely Spam","Flagged by spam rules",TRIM(IF(X196&gt;=20,"Strong source. ","")&amp;IF(Y196&gt;0,"Company email. ","")&amp;IF(Z196&gt;=15,"High-value product. ","")&amp;IF(AA196&gt;='Scoring Model'!$B$15,"High engagement. ","")&amp;IF(AB196&gt;0,"Buying intent in message. ","")&amp;IF(AC196&lt;0,"Negative intent in message. ","")))</f>
        <v>Flagged by spam rules</v>
      </c>
      <c r="AG196" s="11" t="str">
        <f aca="false">IF(W196="Likely Spam","",1/(1+EXP(-('Conversion Model'!$B$5+IFERROR(INDEX('Conversion Model'!$B$8:$B$14,MATCH(C196,'Conversion Model'!$A$8:$A$14,0)),0)+IFERROR(INDEX('Conversion Model'!$E$8:$E$9,MATCH(F196,'Conversion Model'!$D$8:$D$9,0)),0)+IFERROR(INDEX('Conversion Model'!$H$8:$H$12,MATCH(IF(LEFT(J196,8)="Payments","Payments",IF(LEFT(J196,7)="Lending","Lending",J196)),'Conversion Model'!$G$8:$G$12,0)),0)+MIN(L196,15)*'Conversion Model'!$B$17+IF(SUMPRODUCT(--ISNUMBER(SEARCH('Scoring Model'!$D$16:$D$25,K196)))&gt;0,'Conversion Model'!$B$18,0)+IF(SUMPRODUCT(--ISNUMBER(SEARCH('Scoring Model'!$G$16:$G$23,K196)))&gt;0,'Conversion Model'!$B$19,0)))))</f>
        <v/>
      </c>
      <c r="AH196" s="3" t="str">
        <f aca="false">IF(OR(O196="Qualified",O196="Won",O196="Lost"),1,IF(O196="Unqualified",0,""))</f>
        <v/>
      </c>
    </row>
    <row r="197" customFormat="false" ht="15" hidden="false" customHeight="true" outlineLevel="0" collapsed="false">
      <c r="A197" s="3" t="s">
        <v>884</v>
      </c>
      <c r="B197" s="9" t="n">
        <v>46020.2958333333</v>
      </c>
      <c r="C197" s="3" t="s">
        <v>51</v>
      </c>
      <c r="D197" s="3" t="s">
        <v>885</v>
      </c>
      <c r="E197" s="3" t="s">
        <v>486</v>
      </c>
      <c r="F197" s="3" t="s">
        <v>22</v>
      </c>
      <c r="G197" s="3" t="s">
        <v>79</v>
      </c>
      <c r="H197" s="3" t="s">
        <v>886</v>
      </c>
      <c r="I197" s="3" t="s">
        <v>334</v>
      </c>
      <c r="J197" s="3" t="s">
        <v>65</v>
      </c>
      <c r="K197" s="3" t="s">
        <v>657</v>
      </c>
      <c r="L197" s="3" t="n">
        <v>1</v>
      </c>
      <c r="M197" s="3"/>
      <c r="N197" s="3" t="s">
        <v>171</v>
      </c>
      <c r="O197" s="3"/>
      <c r="P197" s="10"/>
      <c r="Q197" s="3" t="n">
        <f aca="false">IF(F197="Disposable",1,0)</f>
        <v>0</v>
      </c>
      <c r="R197" s="3" t="n">
        <f aca="false">IF(SUMPRODUCT(--ISNUMBER(SEARCH('Spam Rules'!$A$22:$A$35,K197)))&gt;0,1,0)</f>
        <v>1</v>
      </c>
      <c r="S197" s="3" t="n">
        <f aca="false">IF(AND(F197="Free",G197=""),1,0)</f>
        <v>0</v>
      </c>
      <c r="T197" s="3" t="n">
        <f aca="false">IF(LEN(TRIM(K197))&lt;15,1,0)</f>
        <v>0</v>
      </c>
      <c r="U197" s="3" t="n">
        <f aca="false">IF(COUNTIF($E$2:$E$801,E197)&gt;1,1,0)</f>
        <v>1</v>
      </c>
      <c r="V197" s="3" t="n">
        <f aca="false">Q197*'Spam Rules'!$H$6+R197*'Spam Rules'!$H$7+S197*'Spam Rules'!$H$8+T197*'Spam Rules'!$H$9+U197*'Spam Rules'!$H$10</f>
        <v>1</v>
      </c>
      <c r="W197" s="3" t="str">
        <f aca="false">IF(V197&gt;='Spam Rules'!$B$3,"Likely Spam","Genuine")</f>
        <v>Likely Spam</v>
      </c>
      <c r="X197" s="3" t="n">
        <f aca="false">IFERROR(INDEX('Scoring Model'!$B$5:$B$11,MATCH(C197,'Scoring Model'!$A$5:$A$11,0)),0)</f>
        <v>10</v>
      </c>
      <c r="Y197" s="3" t="n">
        <f aca="false">IFERROR(INDEX('Scoring Model'!$E$5:$E$7,MATCH(F197,'Scoring Model'!$D$5:$D$7,0)),0)</f>
        <v>20</v>
      </c>
      <c r="Z197" s="3" t="n">
        <f aca="false">IFERROR(INDEX('Scoring Model'!$H$5:$H$13,MATCH(J197,'Scoring Model'!$G$5:$G$13,0)),0)</f>
        <v>0</v>
      </c>
      <c r="AA197" s="3" t="n">
        <f aca="false">IF(L197&gt;='Scoring Model'!$B$14,'Scoring Model'!$B$15,IF(L197&gt;='Scoring Model'!$B$16,'Scoring Model'!$B$17,0))</f>
        <v>0</v>
      </c>
      <c r="AB197" s="3" t="n">
        <f aca="false">IF(SUMPRODUCT(--ISNUMBER(SEARCH('Scoring Model'!$D$16:$D$25,K197)))&gt;0,'Scoring Model'!$B$18,0)</f>
        <v>0</v>
      </c>
      <c r="AC197" s="3" t="n">
        <f aca="false">IF(SUMPRODUCT(--ISNUMBER(SEARCH('Scoring Model'!$G$16:$G$23,K197)))&gt;0,'Scoring Model'!$B$19,0)</f>
        <v>0</v>
      </c>
      <c r="AD197" s="3" t="str">
        <f aca="false">IF(W197="Likely Spam","",SUM(X197:AC197))</f>
        <v/>
      </c>
      <c r="AE197" s="3" t="str">
        <f aca="false">IF(W197="Likely Spam","Spam",IF(AD197&gt;='Scoring Model'!$B$21,"Hot",IF(AD197&gt;='Scoring Model'!$B$22,"Warm","Nurture")))</f>
        <v>Spam</v>
      </c>
      <c r="AF197" s="3" t="str">
        <f aca="false">IF(W197="Likely Spam","Flagged by spam rules",TRIM(IF(X197&gt;=20,"Strong source. ","")&amp;IF(Y197&gt;0,"Company email. ","")&amp;IF(Z197&gt;=15,"High-value product. ","")&amp;IF(AA197&gt;='Scoring Model'!$B$15,"High engagement. ","")&amp;IF(AB197&gt;0,"Buying intent in message. ","")&amp;IF(AC197&lt;0,"Negative intent in message. ","")))</f>
        <v>Flagged by spam rules</v>
      </c>
      <c r="AG197" s="11" t="str">
        <f aca="false">IF(W197="Likely Spam","",1/(1+EXP(-('Conversion Model'!$B$5+IFERROR(INDEX('Conversion Model'!$B$8:$B$14,MATCH(C197,'Conversion Model'!$A$8:$A$14,0)),0)+IFERROR(INDEX('Conversion Model'!$E$8:$E$9,MATCH(F197,'Conversion Model'!$D$8:$D$9,0)),0)+IFERROR(INDEX('Conversion Model'!$H$8:$H$12,MATCH(IF(LEFT(J197,8)="Payments","Payments",IF(LEFT(J197,7)="Lending","Lending",J197)),'Conversion Model'!$G$8:$G$12,0)),0)+MIN(L197,15)*'Conversion Model'!$B$17+IF(SUMPRODUCT(--ISNUMBER(SEARCH('Scoring Model'!$D$16:$D$25,K197)))&gt;0,'Conversion Model'!$B$18,0)+IF(SUMPRODUCT(--ISNUMBER(SEARCH('Scoring Model'!$G$16:$G$23,K197)))&gt;0,'Conversion Model'!$B$19,0)))))</f>
        <v/>
      </c>
      <c r="AH197" s="3" t="str">
        <f aca="false">IF(OR(O197="Qualified",O197="Won",O197="Lost"),1,IF(O197="Unqualified",0,""))</f>
        <v/>
      </c>
    </row>
    <row r="198" customFormat="false" ht="15" hidden="false" customHeight="true" outlineLevel="0" collapsed="false">
      <c r="A198" s="3" t="s">
        <v>887</v>
      </c>
      <c r="B198" s="9" t="n">
        <v>46020.4604166667</v>
      </c>
      <c r="C198" s="3" t="s">
        <v>112</v>
      </c>
      <c r="D198" s="3" t="s">
        <v>882</v>
      </c>
      <c r="E198" s="3" t="s">
        <v>888</v>
      </c>
      <c r="F198" s="3" t="s">
        <v>63</v>
      </c>
      <c r="G198" s="3"/>
      <c r="H198" s="3"/>
      <c r="I198" s="3" t="s">
        <v>64</v>
      </c>
      <c r="J198" s="3" t="s">
        <v>122</v>
      </c>
      <c r="K198" s="3" t="s">
        <v>322</v>
      </c>
      <c r="L198" s="3" t="n">
        <v>1</v>
      </c>
      <c r="M198" s="3" t="n">
        <v>47.9</v>
      </c>
      <c r="N198" s="3" t="s">
        <v>59</v>
      </c>
      <c r="O198" s="3"/>
      <c r="P198" s="10"/>
      <c r="Q198" s="3" t="n">
        <f aca="false">IF(F198="Disposable",1,0)</f>
        <v>1</v>
      </c>
      <c r="R198" s="3" t="n">
        <f aca="false">IF(SUMPRODUCT(--ISNUMBER(SEARCH('Spam Rules'!$A$22:$A$35,K198)))&gt;0,1,0)</f>
        <v>0</v>
      </c>
      <c r="S198" s="3" t="n">
        <f aca="false">IF(AND(F198="Free",G198=""),1,0)</f>
        <v>0</v>
      </c>
      <c r="T198" s="3" t="n">
        <f aca="false">IF(LEN(TRIM(K198))&lt;15,1,0)</f>
        <v>1</v>
      </c>
      <c r="U198" s="3" t="n">
        <f aca="false">IF(COUNTIF($E$2:$E$801,E198)&gt;1,1,0)</f>
        <v>1</v>
      </c>
      <c r="V198" s="3" t="n">
        <f aca="false">Q198*'Spam Rules'!$H$6+R198*'Spam Rules'!$H$7+S198*'Spam Rules'!$H$8+T198*'Spam Rules'!$H$9+U198*'Spam Rules'!$H$10</f>
        <v>2</v>
      </c>
      <c r="W198" s="3" t="str">
        <f aca="false">IF(V198&gt;='Spam Rules'!$B$3,"Likely Spam","Genuine")</f>
        <v>Likely Spam</v>
      </c>
      <c r="X198" s="3" t="n">
        <f aca="false">IFERROR(INDEX('Scoring Model'!$B$5:$B$11,MATCH(C198,'Scoring Model'!$A$5:$A$11,0)),0)</f>
        <v>15</v>
      </c>
      <c r="Y198" s="3" t="n">
        <f aca="false">IFERROR(INDEX('Scoring Model'!$E$5:$E$7,MATCH(F198,'Scoring Model'!$D$5:$D$7,0)),0)</f>
        <v>0</v>
      </c>
      <c r="Z198" s="3" t="n">
        <f aca="false">IFERROR(INDEX('Scoring Model'!$H$5:$H$13,MATCH(J198,'Scoring Model'!$G$5:$G$13,0)),0)</f>
        <v>15</v>
      </c>
      <c r="AA198" s="3" t="n">
        <f aca="false">IF(L198&gt;='Scoring Model'!$B$14,'Scoring Model'!$B$15,IF(L198&gt;='Scoring Model'!$B$16,'Scoring Model'!$B$17,0))</f>
        <v>0</v>
      </c>
      <c r="AB198" s="3" t="n">
        <f aca="false">IF(SUMPRODUCT(--ISNUMBER(SEARCH('Scoring Model'!$D$16:$D$25,K198)))&gt;0,'Scoring Model'!$B$18,0)</f>
        <v>0</v>
      </c>
      <c r="AC198" s="3" t="n">
        <f aca="false">IF(SUMPRODUCT(--ISNUMBER(SEARCH('Scoring Model'!$G$16:$G$23,K198)))&gt;0,'Scoring Model'!$B$19,0)</f>
        <v>0</v>
      </c>
      <c r="AD198" s="3" t="str">
        <f aca="false">IF(W198="Likely Spam","",SUM(X198:AC198))</f>
        <v/>
      </c>
      <c r="AE198" s="3" t="str">
        <f aca="false">IF(W198="Likely Spam","Spam",IF(AD198&gt;='Scoring Model'!$B$21,"Hot",IF(AD198&gt;='Scoring Model'!$B$22,"Warm","Nurture")))</f>
        <v>Spam</v>
      </c>
      <c r="AF198" s="3" t="str">
        <f aca="false">IF(W198="Likely Spam","Flagged by spam rules",TRIM(IF(X198&gt;=20,"Strong source. ","")&amp;IF(Y198&gt;0,"Company email. ","")&amp;IF(Z198&gt;=15,"High-value product. ","")&amp;IF(AA198&gt;='Scoring Model'!$B$15,"High engagement. ","")&amp;IF(AB198&gt;0,"Buying intent in message. ","")&amp;IF(AC198&lt;0,"Negative intent in message. ","")))</f>
        <v>Flagged by spam rules</v>
      </c>
      <c r="AG198" s="11" t="str">
        <f aca="false">IF(W198="Likely Spam","",1/(1+EXP(-('Conversion Model'!$B$5+IFERROR(INDEX('Conversion Model'!$B$8:$B$14,MATCH(C198,'Conversion Model'!$A$8:$A$14,0)),0)+IFERROR(INDEX('Conversion Model'!$E$8:$E$9,MATCH(F198,'Conversion Model'!$D$8:$D$9,0)),0)+IFERROR(INDEX('Conversion Model'!$H$8:$H$12,MATCH(IF(LEFT(J198,8)="Payments","Payments",IF(LEFT(J198,7)="Lending","Lending",J198)),'Conversion Model'!$G$8:$G$12,0)),0)+MIN(L198,15)*'Conversion Model'!$B$17+IF(SUMPRODUCT(--ISNUMBER(SEARCH('Scoring Model'!$D$16:$D$25,K198)))&gt;0,'Conversion Model'!$B$18,0)+IF(SUMPRODUCT(--ISNUMBER(SEARCH('Scoring Model'!$G$16:$G$23,K198)))&gt;0,'Conversion Model'!$B$19,0)))))</f>
        <v/>
      </c>
      <c r="AH198" s="3" t="str">
        <f aca="false">IF(OR(O198="Qualified",O198="Won",O198="Lost"),1,IF(O198="Unqualified",0,""))</f>
        <v/>
      </c>
    </row>
    <row r="199" customFormat="false" ht="15" hidden="false" customHeight="true" outlineLevel="0" collapsed="false">
      <c r="A199" s="3" t="s">
        <v>889</v>
      </c>
      <c r="B199" s="9" t="n">
        <v>46020.5083333333</v>
      </c>
      <c r="C199" s="3" t="s">
        <v>112</v>
      </c>
      <c r="D199" s="3" t="s">
        <v>230</v>
      </c>
      <c r="E199" s="3" t="s">
        <v>890</v>
      </c>
      <c r="F199" s="3" t="s">
        <v>22</v>
      </c>
      <c r="G199" s="3" t="s">
        <v>891</v>
      </c>
      <c r="H199" s="3" t="s">
        <v>892</v>
      </c>
      <c r="I199" s="3" t="s">
        <v>94</v>
      </c>
      <c r="J199" s="3" t="s">
        <v>57</v>
      </c>
      <c r="K199" s="3" t="s">
        <v>58</v>
      </c>
      <c r="L199" s="3" t="n">
        <v>5</v>
      </c>
      <c r="M199" s="3" t="n">
        <v>7</v>
      </c>
      <c r="N199" s="3" t="s">
        <v>59</v>
      </c>
      <c r="O199" s="3"/>
      <c r="P199" s="10"/>
      <c r="Q199" s="3" t="n">
        <f aca="false">IF(F199="Disposable",1,0)</f>
        <v>0</v>
      </c>
      <c r="R199" s="3" t="n">
        <f aca="false">IF(SUMPRODUCT(--ISNUMBER(SEARCH('Spam Rules'!$A$22:$A$35,K199)))&gt;0,1,0)</f>
        <v>0</v>
      </c>
      <c r="S199" s="3" t="n">
        <f aca="false">IF(AND(F199="Free",G199=""),1,0)</f>
        <v>0</v>
      </c>
      <c r="T199" s="3" t="n">
        <f aca="false">IF(LEN(TRIM(K199))&lt;15,1,0)</f>
        <v>0</v>
      </c>
      <c r="U199" s="3" t="n">
        <f aca="false">IF(COUNTIF($E$2:$E$801,E199)&gt;1,1,0)</f>
        <v>0</v>
      </c>
      <c r="V199" s="3" t="n">
        <f aca="false">Q199*'Spam Rules'!$H$6+R199*'Spam Rules'!$H$7+S199*'Spam Rules'!$H$8+T199*'Spam Rules'!$H$9+U199*'Spam Rules'!$H$10</f>
        <v>0</v>
      </c>
      <c r="W199" s="3" t="str">
        <f aca="false">IF(V199&gt;='Spam Rules'!$B$3,"Likely Spam","Genuine")</f>
        <v>Genuine</v>
      </c>
      <c r="X199" s="3" t="n">
        <f aca="false">IFERROR(INDEX('Scoring Model'!$B$5:$B$11,MATCH(C199,'Scoring Model'!$A$5:$A$11,0)),0)</f>
        <v>15</v>
      </c>
      <c r="Y199" s="3" t="n">
        <f aca="false">IFERROR(INDEX('Scoring Model'!$E$5:$E$7,MATCH(F199,'Scoring Model'!$D$5:$D$7,0)),0)</f>
        <v>20</v>
      </c>
      <c r="Z199" s="3" t="n">
        <f aca="false">IFERROR(INDEX('Scoring Model'!$H$5:$H$13,MATCH(J199,'Scoring Model'!$G$5:$G$13,0)),0)</f>
        <v>15</v>
      </c>
      <c r="AA199" s="3" t="n">
        <f aca="false">IF(L199&gt;='Scoring Model'!$B$14,'Scoring Model'!$B$15,IF(L199&gt;='Scoring Model'!$B$16,'Scoring Model'!$B$17,0))</f>
        <v>8</v>
      </c>
      <c r="AB199" s="3" t="n">
        <f aca="false">IF(SUMPRODUCT(--ISNUMBER(SEARCH('Scoring Model'!$D$16:$D$25,K199)))&gt;0,'Scoring Model'!$B$18,0)</f>
        <v>15</v>
      </c>
      <c r="AC199" s="3" t="n">
        <f aca="false">IF(SUMPRODUCT(--ISNUMBER(SEARCH('Scoring Model'!$G$16:$G$23,K199)))&gt;0,'Scoring Model'!$B$19,0)</f>
        <v>0</v>
      </c>
      <c r="AD199" s="3" t="n">
        <f aca="false">IF(W199="Likely Spam","",SUM(X199:AC199))</f>
        <v>73</v>
      </c>
      <c r="AE199" s="3" t="str">
        <f aca="false">IF(W199="Likely Spam","Spam",IF(AD199&gt;='Scoring Model'!$B$21,"Hot",IF(AD199&gt;='Scoring Model'!$B$22,"Warm","Nurture")))</f>
        <v>Hot</v>
      </c>
      <c r="AF199" s="3" t="str">
        <f aca="false">IF(W199="Likely Spam","Flagged by spam rules",TRIM(IF(X199&gt;=20,"Strong source. ","")&amp;IF(Y199&gt;0,"Company email. ","")&amp;IF(Z199&gt;=15,"High-value product. ","")&amp;IF(AA199&gt;='Scoring Model'!$B$15,"High engagement. ","")&amp;IF(AB199&gt;0,"Buying intent in message. ","")&amp;IF(AC199&lt;0,"Negative intent in message. ","")))</f>
        <v>Company email. High-value product. Buying intent in message.</v>
      </c>
      <c r="AG199" s="11" t="n">
        <f aca="false">IF(W199="Likely Spam","",1/(1+EXP(-('Conversion Model'!$B$5+IFERROR(INDEX('Conversion Model'!$B$8:$B$14,MATCH(C199,'Conversion Model'!$A$8:$A$14,0)),0)+IFERROR(INDEX('Conversion Model'!$E$8:$E$9,MATCH(F199,'Conversion Model'!$D$8:$D$9,0)),0)+IFERROR(INDEX('Conversion Model'!$H$8:$H$12,MATCH(IF(LEFT(J199,8)="Payments","Payments",IF(LEFT(J199,7)="Lending","Lending",J199)),'Conversion Model'!$G$8:$G$12,0)),0)+MIN(L199,15)*'Conversion Model'!$B$17+IF(SUMPRODUCT(--ISNUMBER(SEARCH('Scoring Model'!$D$16:$D$25,K199)))&gt;0,'Conversion Model'!$B$18,0)+IF(SUMPRODUCT(--ISNUMBER(SEARCH('Scoring Model'!$G$16:$G$23,K199)))&gt;0,'Conversion Model'!$B$19,0)))))</f>
        <v>0.693386592056496</v>
      </c>
      <c r="AH199" s="3" t="str">
        <f aca="false">IF(OR(O199="Qualified",O199="Won",O199="Lost"),1,IF(O199="Unqualified",0,""))</f>
        <v/>
      </c>
    </row>
    <row r="200" customFormat="false" ht="15" hidden="false" customHeight="true" outlineLevel="0" collapsed="false">
      <c r="A200" s="3" t="s">
        <v>893</v>
      </c>
      <c r="B200" s="9" t="n">
        <v>46021.1694444444</v>
      </c>
      <c r="C200" s="3" t="s">
        <v>51</v>
      </c>
      <c r="D200" s="3" t="s">
        <v>262</v>
      </c>
      <c r="E200" s="3" t="s">
        <v>894</v>
      </c>
      <c r="F200" s="3" t="s">
        <v>54</v>
      </c>
      <c r="G200" s="3"/>
      <c r="H200" s="3"/>
      <c r="I200" s="3" t="s">
        <v>88</v>
      </c>
      <c r="J200" s="3" t="s">
        <v>65</v>
      </c>
      <c r="K200" s="3" t="s">
        <v>349</v>
      </c>
      <c r="L200" s="3" t="n">
        <v>4</v>
      </c>
      <c r="M200" s="3" t="n">
        <v>19.3</v>
      </c>
      <c r="N200" s="3" t="s">
        <v>96</v>
      </c>
      <c r="O200" s="3" t="s">
        <v>194</v>
      </c>
      <c r="P200" s="10"/>
      <c r="Q200" s="3" t="n">
        <f aca="false">IF(F200="Disposable",1,0)</f>
        <v>0</v>
      </c>
      <c r="R200" s="3" t="n">
        <f aca="false">IF(SUMPRODUCT(--ISNUMBER(SEARCH('Spam Rules'!$A$22:$A$35,K200)))&gt;0,1,0)</f>
        <v>0</v>
      </c>
      <c r="S200" s="3" t="n">
        <f aca="false">IF(AND(F200="Free",G200=""),1,0)</f>
        <v>1</v>
      </c>
      <c r="T200" s="3" t="n">
        <f aca="false">IF(LEN(TRIM(K200))&lt;15,1,0)</f>
        <v>0</v>
      </c>
      <c r="U200" s="3" t="n">
        <f aca="false">IF(COUNTIF($E$2:$E$801,E200)&gt;1,1,0)</f>
        <v>0</v>
      </c>
      <c r="V200" s="3" t="n">
        <f aca="false">Q200*'Spam Rules'!$H$6+R200*'Spam Rules'!$H$7+S200*'Spam Rules'!$H$8+T200*'Spam Rules'!$H$9+U200*'Spam Rules'!$H$10</f>
        <v>0</v>
      </c>
      <c r="W200" s="3" t="str">
        <f aca="false">IF(V200&gt;='Spam Rules'!$B$3,"Likely Spam","Genuine")</f>
        <v>Genuine</v>
      </c>
      <c r="X200" s="3" t="n">
        <f aca="false">IFERROR(INDEX('Scoring Model'!$B$5:$B$11,MATCH(C200,'Scoring Model'!$A$5:$A$11,0)),0)</f>
        <v>10</v>
      </c>
      <c r="Y200" s="3" t="n">
        <f aca="false">IFERROR(INDEX('Scoring Model'!$E$5:$E$7,MATCH(F200,'Scoring Model'!$D$5:$D$7,0)),0)</f>
        <v>0</v>
      </c>
      <c r="Z200" s="3" t="n">
        <f aca="false">IFERROR(INDEX('Scoring Model'!$H$5:$H$13,MATCH(J200,'Scoring Model'!$G$5:$G$13,0)),0)</f>
        <v>0</v>
      </c>
      <c r="AA200" s="3" t="n">
        <f aca="false">IF(L200&gt;='Scoring Model'!$B$14,'Scoring Model'!$B$15,IF(L200&gt;='Scoring Model'!$B$16,'Scoring Model'!$B$17,0))</f>
        <v>8</v>
      </c>
      <c r="AB200" s="3" t="n">
        <f aca="false">IF(SUMPRODUCT(--ISNUMBER(SEARCH('Scoring Model'!$D$16:$D$25,K200)))&gt;0,'Scoring Model'!$B$18,0)</f>
        <v>0</v>
      </c>
      <c r="AC200" s="3" t="n">
        <f aca="false">IF(SUMPRODUCT(--ISNUMBER(SEARCH('Scoring Model'!$G$16:$G$23,K200)))&gt;0,'Scoring Model'!$B$19,0)</f>
        <v>-30</v>
      </c>
      <c r="AD200" s="3" t="n">
        <f aca="false">IF(W200="Likely Spam","",SUM(X200:AC200))</f>
        <v>-12</v>
      </c>
      <c r="AE200" s="3" t="str">
        <f aca="false">IF(W200="Likely Spam","Spam",IF(AD200&gt;='Scoring Model'!$B$21,"Hot",IF(AD200&gt;='Scoring Model'!$B$22,"Warm","Nurture")))</f>
        <v>Nurture</v>
      </c>
      <c r="AF200" s="3" t="str">
        <f aca="false">IF(W200="Likely Spam","Flagged by spam rules",TRIM(IF(X200&gt;=20,"Strong source. ","")&amp;IF(Y200&gt;0,"Company email. ","")&amp;IF(Z200&gt;=15,"High-value product. ","")&amp;IF(AA200&gt;='Scoring Model'!$B$15,"High engagement. ","")&amp;IF(AB200&gt;0,"Buying intent in message. ","")&amp;IF(AC200&lt;0,"Negative intent in message. ","")))</f>
        <v>Negative intent in message.</v>
      </c>
      <c r="AG200" s="11" t="n">
        <f aca="false">IF(W200="Likely Spam","",1/(1+EXP(-('Conversion Model'!$B$5+IFERROR(INDEX('Conversion Model'!$B$8:$B$14,MATCH(C200,'Conversion Model'!$A$8:$A$14,0)),0)+IFERROR(INDEX('Conversion Model'!$E$8:$E$9,MATCH(F200,'Conversion Model'!$D$8:$D$9,0)),0)+IFERROR(INDEX('Conversion Model'!$H$8:$H$12,MATCH(IF(LEFT(J200,8)="Payments","Payments",IF(LEFT(J200,7)="Lending","Lending",J200)),'Conversion Model'!$G$8:$G$12,0)),0)+MIN(L200,15)*'Conversion Model'!$B$17+IF(SUMPRODUCT(--ISNUMBER(SEARCH('Scoring Model'!$D$16:$D$25,K200)))&gt;0,'Conversion Model'!$B$18,0)+IF(SUMPRODUCT(--ISNUMBER(SEARCH('Scoring Model'!$G$16:$G$23,K200)))&gt;0,'Conversion Model'!$B$19,0)))))</f>
        <v>0.0101910707855211</v>
      </c>
      <c r="AH200" s="3" t="n">
        <f aca="false">IF(OR(O200="Qualified",O200="Won",O200="Lost"),1,IF(O200="Unqualified",0,""))</f>
        <v>0</v>
      </c>
    </row>
    <row r="201" customFormat="false" ht="15" hidden="false" customHeight="true" outlineLevel="0" collapsed="false">
      <c r="A201" s="3" t="s">
        <v>895</v>
      </c>
      <c r="B201" s="9" t="n">
        <v>46021.4805555556</v>
      </c>
      <c r="C201" s="3" t="s">
        <v>160</v>
      </c>
      <c r="D201" s="3" t="s">
        <v>896</v>
      </c>
      <c r="E201" s="3" t="s">
        <v>845</v>
      </c>
      <c r="F201" s="3" t="s">
        <v>54</v>
      </c>
      <c r="G201" s="3" t="s">
        <v>79</v>
      </c>
      <c r="H201" s="3"/>
      <c r="I201" s="3" t="s">
        <v>334</v>
      </c>
      <c r="J201" s="3" t="s">
        <v>81</v>
      </c>
      <c r="K201" s="3" t="s">
        <v>322</v>
      </c>
      <c r="L201" s="3" t="n">
        <v>1</v>
      </c>
      <c r="M201" s="3" t="n">
        <v>25.9</v>
      </c>
      <c r="N201" s="3" t="s">
        <v>96</v>
      </c>
      <c r="O201" s="3" t="s">
        <v>68</v>
      </c>
      <c r="P201" s="10"/>
      <c r="Q201" s="3" t="n">
        <f aca="false">IF(F201="Disposable",1,0)</f>
        <v>0</v>
      </c>
      <c r="R201" s="3" t="n">
        <f aca="false">IF(SUMPRODUCT(--ISNUMBER(SEARCH('Spam Rules'!$A$22:$A$35,K201)))&gt;0,1,0)</f>
        <v>0</v>
      </c>
      <c r="S201" s="3" t="n">
        <f aca="false">IF(AND(F201="Free",G201=""),1,0)</f>
        <v>0</v>
      </c>
      <c r="T201" s="3" t="n">
        <f aca="false">IF(LEN(TRIM(K201))&lt;15,1,0)</f>
        <v>1</v>
      </c>
      <c r="U201" s="3" t="n">
        <f aca="false">IF(COUNTIF($E$2:$E$801,E201)&gt;1,1,0)</f>
        <v>1</v>
      </c>
      <c r="V201" s="3" t="n">
        <f aca="false">Q201*'Spam Rules'!$H$6+R201*'Spam Rules'!$H$7+S201*'Spam Rules'!$H$8+T201*'Spam Rules'!$H$9+U201*'Spam Rules'!$H$10</f>
        <v>1</v>
      </c>
      <c r="W201" s="3" t="str">
        <f aca="false">IF(V201&gt;='Spam Rules'!$B$3,"Likely Spam","Genuine")</f>
        <v>Likely Spam</v>
      </c>
      <c r="X201" s="3" t="n">
        <f aca="false">IFERROR(INDEX('Scoring Model'!$B$5:$B$11,MATCH(C201,'Scoring Model'!$A$5:$A$11,0)),0)</f>
        <v>25</v>
      </c>
      <c r="Y201" s="3" t="n">
        <f aca="false">IFERROR(INDEX('Scoring Model'!$E$5:$E$7,MATCH(F201,'Scoring Model'!$D$5:$D$7,0)),0)</f>
        <v>0</v>
      </c>
      <c r="Z201" s="3" t="n">
        <f aca="false">IFERROR(INDEX('Scoring Model'!$H$5:$H$13,MATCH(J201,'Scoring Model'!$G$5:$G$13,0)),0)</f>
        <v>5</v>
      </c>
      <c r="AA201" s="3" t="n">
        <f aca="false">IF(L201&gt;='Scoring Model'!$B$14,'Scoring Model'!$B$15,IF(L201&gt;='Scoring Model'!$B$16,'Scoring Model'!$B$17,0))</f>
        <v>0</v>
      </c>
      <c r="AB201" s="3" t="n">
        <f aca="false">IF(SUMPRODUCT(--ISNUMBER(SEARCH('Scoring Model'!$D$16:$D$25,K201)))&gt;0,'Scoring Model'!$B$18,0)</f>
        <v>0</v>
      </c>
      <c r="AC201" s="3" t="n">
        <f aca="false">IF(SUMPRODUCT(--ISNUMBER(SEARCH('Scoring Model'!$G$16:$G$23,K201)))&gt;0,'Scoring Model'!$B$19,0)</f>
        <v>0</v>
      </c>
      <c r="AD201" s="3" t="str">
        <f aca="false">IF(W201="Likely Spam","",SUM(X201:AC201))</f>
        <v/>
      </c>
      <c r="AE201" s="3" t="str">
        <f aca="false">IF(W201="Likely Spam","Spam",IF(AD201&gt;='Scoring Model'!$B$21,"Hot",IF(AD201&gt;='Scoring Model'!$B$22,"Warm","Nurture")))</f>
        <v>Spam</v>
      </c>
      <c r="AF201" s="3" t="str">
        <f aca="false">IF(W201="Likely Spam","Flagged by spam rules",TRIM(IF(X201&gt;=20,"Strong source. ","")&amp;IF(Y201&gt;0,"Company email. ","")&amp;IF(Z201&gt;=15,"High-value product. ","")&amp;IF(AA201&gt;='Scoring Model'!$B$15,"High engagement. ","")&amp;IF(AB201&gt;0,"Buying intent in message. ","")&amp;IF(AC201&lt;0,"Negative intent in message. ","")))</f>
        <v>Flagged by spam rules</v>
      </c>
      <c r="AG201" s="11" t="str">
        <f aca="false">IF(W201="Likely Spam","",1/(1+EXP(-('Conversion Model'!$B$5+IFERROR(INDEX('Conversion Model'!$B$8:$B$14,MATCH(C201,'Conversion Model'!$A$8:$A$14,0)),0)+IFERROR(INDEX('Conversion Model'!$E$8:$E$9,MATCH(F201,'Conversion Model'!$D$8:$D$9,0)),0)+IFERROR(INDEX('Conversion Model'!$H$8:$H$12,MATCH(IF(LEFT(J201,8)="Payments","Payments",IF(LEFT(J201,7)="Lending","Lending",J201)),'Conversion Model'!$G$8:$G$12,0)),0)+MIN(L201,15)*'Conversion Model'!$B$17+IF(SUMPRODUCT(--ISNUMBER(SEARCH('Scoring Model'!$D$16:$D$25,K201)))&gt;0,'Conversion Model'!$B$18,0)+IF(SUMPRODUCT(--ISNUMBER(SEARCH('Scoring Model'!$G$16:$G$23,K201)))&gt;0,'Conversion Model'!$B$19,0)))))</f>
        <v/>
      </c>
      <c r="AH201" s="3" t="str">
        <f aca="false">IF(OR(O201="Qualified",O201="Won",O201="Lost"),1,IF(O201="Unqualified",0,""))</f>
        <v/>
      </c>
    </row>
    <row r="202" customFormat="false" ht="15" hidden="false" customHeight="true" outlineLevel="0" collapsed="false">
      <c r="A202" s="3" t="s">
        <v>897</v>
      </c>
      <c r="B202" s="9" t="n">
        <v>46022.1173611111</v>
      </c>
      <c r="C202" s="3" t="s">
        <v>76</v>
      </c>
      <c r="D202" s="3" t="s">
        <v>898</v>
      </c>
      <c r="E202" s="3" t="s">
        <v>899</v>
      </c>
      <c r="F202" s="3" t="s">
        <v>63</v>
      </c>
      <c r="G202" s="3"/>
      <c r="H202" s="3"/>
      <c r="I202" s="3" t="s">
        <v>88</v>
      </c>
      <c r="J202" s="3" t="s">
        <v>122</v>
      </c>
      <c r="K202" s="3" t="s">
        <v>126</v>
      </c>
      <c r="L202" s="3" t="n">
        <v>1</v>
      </c>
      <c r="M202" s="3" t="n">
        <v>19.1</v>
      </c>
      <c r="N202" s="3" t="s">
        <v>67</v>
      </c>
      <c r="O202" s="3"/>
      <c r="P202" s="10"/>
      <c r="Q202" s="3" t="n">
        <f aca="false">IF(F202="Disposable",1,0)</f>
        <v>1</v>
      </c>
      <c r="R202" s="3" t="n">
        <f aca="false">IF(SUMPRODUCT(--ISNUMBER(SEARCH('Spam Rules'!$A$22:$A$35,K202)))&gt;0,1,0)</f>
        <v>0</v>
      </c>
      <c r="S202" s="3" t="n">
        <f aca="false">IF(AND(F202="Free",G202=""),1,0)</f>
        <v>0</v>
      </c>
      <c r="T202" s="3" t="n">
        <f aca="false">IF(LEN(TRIM(K202))&lt;15,1,0)</f>
        <v>1</v>
      </c>
      <c r="U202" s="3" t="n">
        <f aca="false">IF(COUNTIF($E$2:$E$801,E202)&gt;1,1,0)</f>
        <v>0</v>
      </c>
      <c r="V202" s="3" t="n">
        <f aca="false">Q202*'Spam Rules'!$H$6+R202*'Spam Rules'!$H$7+S202*'Spam Rules'!$H$8+T202*'Spam Rules'!$H$9+U202*'Spam Rules'!$H$10</f>
        <v>2</v>
      </c>
      <c r="W202" s="3" t="str">
        <f aca="false">IF(V202&gt;='Spam Rules'!$B$3,"Likely Spam","Genuine")</f>
        <v>Likely Spam</v>
      </c>
      <c r="X202" s="3" t="n">
        <f aca="false">IFERROR(INDEX('Scoring Model'!$B$5:$B$11,MATCH(C202,'Scoring Model'!$A$5:$A$11,0)),0)</f>
        <v>0</v>
      </c>
      <c r="Y202" s="3" t="n">
        <f aca="false">IFERROR(INDEX('Scoring Model'!$E$5:$E$7,MATCH(F202,'Scoring Model'!$D$5:$D$7,0)),0)</f>
        <v>0</v>
      </c>
      <c r="Z202" s="3" t="n">
        <f aca="false">IFERROR(INDEX('Scoring Model'!$H$5:$H$13,MATCH(J202,'Scoring Model'!$G$5:$G$13,0)),0)</f>
        <v>15</v>
      </c>
      <c r="AA202" s="3" t="n">
        <f aca="false">IF(L202&gt;='Scoring Model'!$B$14,'Scoring Model'!$B$15,IF(L202&gt;='Scoring Model'!$B$16,'Scoring Model'!$B$17,0))</f>
        <v>0</v>
      </c>
      <c r="AB202" s="3" t="n">
        <f aca="false">IF(SUMPRODUCT(--ISNUMBER(SEARCH('Scoring Model'!$D$16:$D$25,K202)))&gt;0,'Scoring Model'!$B$18,0)</f>
        <v>0</v>
      </c>
      <c r="AC202" s="3" t="n">
        <f aca="false">IF(SUMPRODUCT(--ISNUMBER(SEARCH('Scoring Model'!$G$16:$G$23,K202)))&gt;0,'Scoring Model'!$B$19,0)</f>
        <v>0</v>
      </c>
      <c r="AD202" s="3" t="str">
        <f aca="false">IF(W202="Likely Spam","",SUM(X202:AC202))</f>
        <v/>
      </c>
      <c r="AE202" s="3" t="str">
        <f aca="false">IF(W202="Likely Spam","Spam",IF(AD202&gt;='Scoring Model'!$B$21,"Hot",IF(AD202&gt;='Scoring Model'!$B$22,"Warm","Nurture")))</f>
        <v>Spam</v>
      </c>
      <c r="AF202" s="3" t="str">
        <f aca="false">IF(W202="Likely Spam","Flagged by spam rules",TRIM(IF(X202&gt;=20,"Strong source. ","")&amp;IF(Y202&gt;0,"Company email. ","")&amp;IF(Z202&gt;=15,"High-value product. ","")&amp;IF(AA202&gt;='Scoring Model'!$B$15,"High engagement. ","")&amp;IF(AB202&gt;0,"Buying intent in message. ","")&amp;IF(AC202&lt;0,"Negative intent in message. ","")))</f>
        <v>Flagged by spam rules</v>
      </c>
      <c r="AG202" s="11" t="str">
        <f aca="false">IF(W202="Likely Spam","",1/(1+EXP(-('Conversion Model'!$B$5+IFERROR(INDEX('Conversion Model'!$B$8:$B$14,MATCH(C202,'Conversion Model'!$A$8:$A$14,0)),0)+IFERROR(INDEX('Conversion Model'!$E$8:$E$9,MATCH(F202,'Conversion Model'!$D$8:$D$9,0)),0)+IFERROR(INDEX('Conversion Model'!$H$8:$H$12,MATCH(IF(LEFT(J202,8)="Payments","Payments",IF(LEFT(J202,7)="Lending","Lending",J202)),'Conversion Model'!$G$8:$G$12,0)),0)+MIN(L202,15)*'Conversion Model'!$B$17+IF(SUMPRODUCT(--ISNUMBER(SEARCH('Scoring Model'!$D$16:$D$25,K202)))&gt;0,'Conversion Model'!$B$18,0)+IF(SUMPRODUCT(--ISNUMBER(SEARCH('Scoring Model'!$G$16:$G$23,K202)))&gt;0,'Conversion Model'!$B$19,0)))))</f>
        <v/>
      </c>
      <c r="AH202" s="3" t="str">
        <f aca="false">IF(OR(O202="Qualified",O202="Won",O202="Lost"),1,IF(O202="Unqualified",0,""))</f>
        <v/>
      </c>
    </row>
    <row r="203" customFormat="false" ht="15" hidden="false" customHeight="true" outlineLevel="0" collapsed="false">
      <c r="A203" s="3" t="s">
        <v>900</v>
      </c>
      <c r="B203" s="9" t="n">
        <v>46022.25625</v>
      </c>
      <c r="C203" s="3" t="s">
        <v>76</v>
      </c>
      <c r="D203" s="3" t="s">
        <v>901</v>
      </c>
      <c r="E203" s="3" t="s">
        <v>902</v>
      </c>
      <c r="F203" s="3" t="s">
        <v>54</v>
      </c>
      <c r="G203" s="3"/>
      <c r="H203" s="3"/>
      <c r="I203" s="3" t="s">
        <v>188</v>
      </c>
      <c r="J203" s="3" t="s">
        <v>145</v>
      </c>
      <c r="K203" s="3" t="s">
        <v>74</v>
      </c>
      <c r="L203" s="3" t="n">
        <v>2</v>
      </c>
      <c r="M203" s="3" t="n">
        <v>8.3</v>
      </c>
      <c r="N203" s="3" t="s">
        <v>96</v>
      </c>
      <c r="O203" s="3" t="s">
        <v>194</v>
      </c>
      <c r="P203" s="10"/>
      <c r="Q203" s="3" t="n">
        <f aca="false">IF(F203="Disposable",1,0)</f>
        <v>0</v>
      </c>
      <c r="R203" s="3" t="n">
        <f aca="false">IF(SUMPRODUCT(--ISNUMBER(SEARCH('Spam Rules'!$A$22:$A$35,K203)))&gt;0,1,0)</f>
        <v>0</v>
      </c>
      <c r="S203" s="3" t="n">
        <f aca="false">IF(AND(F203="Free",G203=""),1,0)</f>
        <v>1</v>
      </c>
      <c r="T203" s="3" t="n">
        <f aca="false">IF(LEN(TRIM(K203))&lt;15,1,0)</f>
        <v>0</v>
      </c>
      <c r="U203" s="3" t="n">
        <f aca="false">IF(COUNTIF($E$2:$E$801,E203)&gt;1,1,0)</f>
        <v>0</v>
      </c>
      <c r="V203" s="3" t="n">
        <f aca="false">Q203*'Spam Rules'!$H$6+R203*'Spam Rules'!$H$7+S203*'Spam Rules'!$H$8+T203*'Spam Rules'!$H$9+U203*'Spam Rules'!$H$10</f>
        <v>0</v>
      </c>
      <c r="W203" s="3" t="str">
        <f aca="false">IF(V203&gt;='Spam Rules'!$B$3,"Likely Spam","Genuine")</f>
        <v>Genuine</v>
      </c>
      <c r="X203" s="3" t="n">
        <f aca="false">IFERROR(INDEX('Scoring Model'!$B$5:$B$11,MATCH(C203,'Scoring Model'!$A$5:$A$11,0)),0)</f>
        <v>0</v>
      </c>
      <c r="Y203" s="3" t="n">
        <f aca="false">IFERROR(INDEX('Scoring Model'!$E$5:$E$7,MATCH(F203,'Scoring Model'!$D$5:$D$7,0)),0)</f>
        <v>0</v>
      </c>
      <c r="Z203" s="3" t="n">
        <f aca="false">IFERROR(INDEX('Scoring Model'!$H$5:$H$13,MATCH(J203,'Scoring Model'!$G$5:$G$13,0)),0)</f>
        <v>5</v>
      </c>
      <c r="AA203" s="3" t="n">
        <f aca="false">IF(L203&gt;='Scoring Model'!$B$14,'Scoring Model'!$B$15,IF(L203&gt;='Scoring Model'!$B$16,'Scoring Model'!$B$17,0))</f>
        <v>0</v>
      </c>
      <c r="AB203" s="3" t="n">
        <f aca="false">IF(SUMPRODUCT(--ISNUMBER(SEARCH('Scoring Model'!$D$16:$D$25,K203)))&gt;0,'Scoring Model'!$B$18,0)</f>
        <v>0</v>
      </c>
      <c r="AC203" s="3" t="n">
        <f aca="false">IF(SUMPRODUCT(--ISNUMBER(SEARCH('Scoring Model'!$G$16:$G$23,K203)))&gt;0,'Scoring Model'!$B$19,0)</f>
        <v>-30</v>
      </c>
      <c r="AD203" s="3" t="n">
        <f aca="false">IF(W203="Likely Spam","",SUM(X203:AC203))</f>
        <v>-25</v>
      </c>
      <c r="AE203" s="3" t="str">
        <f aca="false">IF(W203="Likely Spam","Spam",IF(AD203&gt;='Scoring Model'!$B$21,"Hot",IF(AD203&gt;='Scoring Model'!$B$22,"Warm","Nurture")))</f>
        <v>Nurture</v>
      </c>
      <c r="AF203" s="3" t="str">
        <f aca="false">IF(W203="Likely Spam","Flagged by spam rules",TRIM(IF(X203&gt;=20,"Strong source. ","")&amp;IF(Y203&gt;0,"Company email. ","")&amp;IF(Z203&gt;=15,"High-value product. ","")&amp;IF(AA203&gt;='Scoring Model'!$B$15,"High engagement. ","")&amp;IF(AB203&gt;0,"Buying intent in message. ","")&amp;IF(AC203&lt;0,"Negative intent in message. ","")))</f>
        <v>Negative intent in message.</v>
      </c>
      <c r="AG203" s="11" t="n">
        <f aca="false">IF(W203="Likely Spam","",1/(1+EXP(-('Conversion Model'!$B$5+IFERROR(INDEX('Conversion Model'!$B$8:$B$14,MATCH(C203,'Conversion Model'!$A$8:$A$14,0)),0)+IFERROR(INDEX('Conversion Model'!$E$8:$E$9,MATCH(F203,'Conversion Model'!$D$8:$D$9,0)),0)+IFERROR(INDEX('Conversion Model'!$H$8:$H$12,MATCH(IF(LEFT(J203,8)="Payments","Payments",IF(LEFT(J203,7)="Lending","Lending",J203)),'Conversion Model'!$G$8:$G$12,0)),0)+MIN(L203,15)*'Conversion Model'!$B$17+IF(SUMPRODUCT(--ISNUMBER(SEARCH('Scoring Model'!$D$16:$D$25,K203)))&gt;0,'Conversion Model'!$B$18,0)+IF(SUMPRODUCT(--ISNUMBER(SEARCH('Scoring Model'!$G$16:$G$23,K203)))&gt;0,'Conversion Model'!$B$19,0)))))</f>
        <v>0.00210990546787186</v>
      </c>
      <c r="AH203" s="3" t="n">
        <f aca="false">IF(OR(O203="Qualified",O203="Won",O203="Lost"),1,IF(O203="Unqualified",0,""))</f>
        <v>0</v>
      </c>
    </row>
    <row r="204" customFormat="false" ht="15" hidden="false" customHeight="true" outlineLevel="0" collapsed="false">
      <c r="A204" s="3" t="s">
        <v>903</v>
      </c>
      <c r="B204" s="9" t="n">
        <v>46022.4444444445</v>
      </c>
      <c r="C204" s="3" t="s">
        <v>135</v>
      </c>
      <c r="D204" s="3" t="s">
        <v>904</v>
      </c>
      <c r="E204" s="3" t="s">
        <v>905</v>
      </c>
      <c r="F204" s="3" t="s">
        <v>22</v>
      </c>
      <c r="G204" s="3" t="s">
        <v>478</v>
      </c>
      <c r="H204" s="3" t="s">
        <v>479</v>
      </c>
      <c r="I204" s="3" t="s">
        <v>107</v>
      </c>
      <c r="J204" s="3" t="s">
        <v>245</v>
      </c>
      <c r="K204" s="3" t="s">
        <v>118</v>
      </c>
      <c r="L204" s="3" t="n">
        <v>4</v>
      </c>
      <c r="M204" s="3" t="n">
        <v>30.7</v>
      </c>
      <c r="N204" s="3" t="s">
        <v>59</v>
      </c>
      <c r="O204" s="3" t="s">
        <v>110</v>
      </c>
      <c r="P204" s="10"/>
      <c r="Q204" s="3" t="n">
        <f aca="false">IF(F204="Disposable",1,0)</f>
        <v>0</v>
      </c>
      <c r="R204" s="3" t="n">
        <f aca="false">IF(SUMPRODUCT(--ISNUMBER(SEARCH('Spam Rules'!$A$22:$A$35,K204)))&gt;0,1,0)</f>
        <v>0</v>
      </c>
      <c r="S204" s="3" t="n">
        <f aca="false">IF(AND(F204="Free",G204=""),1,0)</f>
        <v>0</v>
      </c>
      <c r="T204" s="3" t="n">
        <f aca="false">IF(LEN(TRIM(K204))&lt;15,1,0)</f>
        <v>0</v>
      </c>
      <c r="U204" s="3" t="n">
        <f aca="false">IF(COUNTIF($E$2:$E$801,E204)&gt;1,1,0)</f>
        <v>0</v>
      </c>
      <c r="V204" s="3" t="n">
        <f aca="false">Q204*'Spam Rules'!$H$6+R204*'Spam Rules'!$H$7+S204*'Spam Rules'!$H$8+T204*'Spam Rules'!$H$9+U204*'Spam Rules'!$H$10</f>
        <v>0</v>
      </c>
      <c r="W204" s="3" t="str">
        <f aca="false">IF(V204&gt;='Spam Rules'!$B$3,"Likely Spam","Genuine")</f>
        <v>Genuine</v>
      </c>
      <c r="X204" s="3" t="n">
        <f aca="false">IFERROR(INDEX('Scoring Model'!$B$5:$B$11,MATCH(C204,'Scoring Model'!$A$5:$A$11,0)),0)</f>
        <v>20</v>
      </c>
      <c r="Y204" s="3" t="n">
        <f aca="false">IFERROR(INDEX('Scoring Model'!$E$5:$E$7,MATCH(F204,'Scoring Model'!$D$5:$D$7,0)),0)</f>
        <v>20</v>
      </c>
      <c r="Z204" s="3" t="n">
        <f aca="false">IFERROR(INDEX('Scoring Model'!$H$5:$H$13,MATCH(J204,'Scoring Model'!$G$5:$G$13,0)),0)</f>
        <v>15</v>
      </c>
      <c r="AA204" s="3" t="n">
        <f aca="false">IF(L204&gt;='Scoring Model'!$B$14,'Scoring Model'!$B$15,IF(L204&gt;='Scoring Model'!$B$16,'Scoring Model'!$B$17,0))</f>
        <v>8</v>
      </c>
      <c r="AB204" s="3" t="n">
        <f aca="false">IF(SUMPRODUCT(--ISNUMBER(SEARCH('Scoring Model'!$D$16:$D$25,K204)))&gt;0,'Scoring Model'!$B$18,0)</f>
        <v>15</v>
      </c>
      <c r="AC204" s="3" t="n">
        <f aca="false">IF(SUMPRODUCT(--ISNUMBER(SEARCH('Scoring Model'!$G$16:$G$23,K204)))&gt;0,'Scoring Model'!$B$19,0)</f>
        <v>0</v>
      </c>
      <c r="AD204" s="3" t="n">
        <f aca="false">IF(W204="Likely Spam","",SUM(X204:AC204))</f>
        <v>78</v>
      </c>
      <c r="AE204" s="3" t="str">
        <f aca="false">IF(W204="Likely Spam","Spam",IF(AD204&gt;='Scoring Model'!$B$21,"Hot",IF(AD204&gt;='Scoring Model'!$B$22,"Warm","Nurture")))</f>
        <v>Hot</v>
      </c>
      <c r="AF204" s="3" t="str">
        <f aca="false">IF(W204="Likely Spam","Flagged by spam rules",TRIM(IF(X204&gt;=20,"Strong source. ","")&amp;IF(Y204&gt;0,"Company email. ","")&amp;IF(Z204&gt;=15,"High-value product. ","")&amp;IF(AA204&gt;='Scoring Model'!$B$15,"High engagement. ","")&amp;IF(AB204&gt;0,"Buying intent in message. ","")&amp;IF(AC204&lt;0,"Negative intent in message. ","")))</f>
        <v>Strong source. Company email. High-value product. Buying intent in message.</v>
      </c>
      <c r="AG204" s="11" t="n">
        <f aca="false">IF(W204="Likely Spam","",1/(1+EXP(-('Conversion Model'!$B$5+IFERROR(INDEX('Conversion Model'!$B$8:$B$14,MATCH(C204,'Conversion Model'!$A$8:$A$14,0)),0)+IFERROR(INDEX('Conversion Model'!$E$8:$E$9,MATCH(F204,'Conversion Model'!$D$8:$D$9,0)),0)+IFERROR(INDEX('Conversion Model'!$H$8:$H$12,MATCH(IF(LEFT(J204,8)="Payments","Payments",IF(LEFT(J204,7)="Lending","Lending",J204)),'Conversion Model'!$G$8:$G$12,0)),0)+MIN(L204,15)*'Conversion Model'!$B$17+IF(SUMPRODUCT(--ISNUMBER(SEARCH('Scoring Model'!$D$16:$D$25,K204)))&gt;0,'Conversion Model'!$B$18,0)+IF(SUMPRODUCT(--ISNUMBER(SEARCH('Scoring Model'!$G$16:$G$23,K204)))&gt;0,'Conversion Model'!$B$19,0)))))</f>
        <v>0.857416988377995</v>
      </c>
      <c r="AH204" s="3" t="n">
        <f aca="false">IF(OR(O204="Qualified",O204="Won",O204="Lost"),1,IF(O204="Unqualified",0,""))</f>
        <v>1</v>
      </c>
    </row>
    <row r="205" customFormat="false" ht="15" hidden="false" customHeight="true" outlineLevel="0" collapsed="false">
      <c r="A205" s="3" t="s">
        <v>906</v>
      </c>
      <c r="B205" s="9" t="n">
        <v>46022.5013888889</v>
      </c>
      <c r="C205" s="3" t="s">
        <v>91</v>
      </c>
      <c r="D205" s="3" t="s">
        <v>907</v>
      </c>
      <c r="E205" s="3" t="s">
        <v>908</v>
      </c>
      <c r="F205" s="3" t="s">
        <v>54</v>
      </c>
      <c r="G205" s="3" t="s">
        <v>909</v>
      </c>
      <c r="H205" s="3"/>
      <c r="I205" s="3" t="s">
        <v>227</v>
      </c>
      <c r="J205" s="3" t="s">
        <v>145</v>
      </c>
      <c r="K205" s="3" t="s">
        <v>101</v>
      </c>
      <c r="L205" s="3" t="n">
        <v>3</v>
      </c>
      <c r="M205" s="3" t="n">
        <v>10.3</v>
      </c>
      <c r="N205" s="3" t="s">
        <v>96</v>
      </c>
      <c r="O205" s="3" t="s">
        <v>194</v>
      </c>
      <c r="P205" s="10"/>
      <c r="Q205" s="3" t="n">
        <f aca="false">IF(F205="Disposable",1,0)</f>
        <v>0</v>
      </c>
      <c r="R205" s="3" t="n">
        <f aca="false">IF(SUMPRODUCT(--ISNUMBER(SEARCH('Spam Rules'!$A$22:$A$35,K205)))&gt;0,1,0)</f>
        <v>0</v>
      </c>
      <c r="S205" s="3" t="n">
        <f aca="false">IF(AND(F205="Free",G205=""),1,0)</f>
        <v>0</v>
      </c>
      <c r="T205" s="3" t="n">
        <f aca="false">IF(LEN(TRIM(K205))&lt;15,1,0)</f>
        <v>0</v>
      </c>
      <c r="U205" s="3" t="n">
        <f aca="false">IF(COUNTIF($E$2:$E$801,E205)&gt;1,1,0)</f>
        <v>0</v>
      </c>
      <c r="V205" s="3" t="n">
        <f aca="false">Q205*'Spam Rules'!$H$6+R205*'Spam Rules'!$H$7+S205*'Spam Rules'!$H$8+T205*'Spam Rules'!$H$9+U205*'Spam Rules'!$H$10</f>
        <v>0</v>
      </c>
      <c r="W205" s="3" t="str">
        <f aca="false">IF(V205&gt;='Spam Rules'!$B$3,"Likely Spam","Genuine")</f>
        <v>Genuine</v>
      </c>
      <c r="X205" s="3" t="n">
        <f aca="false">IFERROR(INDEX('Scoring Model'!$B$5:$B$11,MATCH(C205,'Scoring Model'!$A$5:$A$11,0)),0)</f>
        <v>5</v>
      </c>
      <c r="Y205" s="3" t="n">
        <f aca="false">IFERROR(INDEX('Scoring Model'!$E$5:$E$7,MATCH(F205,'Scoring Model'!$D$5:$D$7,0)),0)</f>
        <v>0</v>
      </c>
      <c r="Z205" s="3" t="n">
        <f aca="false">IFERROR(INDEX('Scoring Model'!$H$5:$H$13,MATCH(J205,'Scoring Model'!$G$5:$G$13,0)),0)</f>
        <v>5</v>
      </c>
      <c r="AA205" s="3" t="n">
        <f aca="false">IF(L205&gt;='Scoring Model'!$B$14,'Scoring Model'!$B$15,IF(L205&gt;='Scoring Model'!$B$16,'Scoring Model'!$B$17,0))</f>
        <v>0</v>
      </c>
      <c r="AB205" s="3" t="n">
        <f aca="false">IF(SUMPRODUCT(--ISNUMBER(SEARCH('Scoring Model'!$D$16:$D$25,K205)))&gt;0,'Scoring Model'!$B$18,0)</f>
        <v>0</v>
      </c>
      <c r="AC205" s="3" t="n">
        <f aca="false">IF(SUMPRODUCT(--ISNUMBER(SEARCH('Scoring Model'!$G$16:$G$23,K205)))&gt;0,'Scoring Model'!$B$19,0)</f>
        <v>-30</v>
      </c>
      <c r="AD205" s="3" t="n">
        <f aca="false">IF(W205="Likely Spam","",SUM(X205:AC205))</f>
        <v>-20</v>
      </c>
      <c r="AE205" s="3" t="str">
        <f aca="false">IF(W205="Likely Spam","Spam",IF(AD205&gt;='Scoring Model'!$B$21,"Hot",IF(AD205&gt;='Scoring Model'!$B$22,"Warm","Nurture")))</f>
        <v>Nurture</v>
      </c>
      <c r="AF205" s="3" t="str">
        <f aca="false">IF(W205="Likely Spam","Flagged by spam rules",TRIM(IF(X205&gt;=20,"Strong source. ","")&amp;IF(Y205&gt;0,"Company email. ","")&amp;IF(Z205&gt;=15,"High-value product. ","")&amp;IF(AA205&gt;='Scoring Model'!$B$15,"High engagement. ","")&amp;IF(AB205&gt;0,"Buying intent in message. ","")&amp;IF(AC205&lt;0,"Negative intent in message. ","")))</f>
        <v>Negative intent in message.</v>
      </c>
      <c r="AG205" s="11" t="n">
        <f aca="false">IF(W205="Likely Spam","",1/(1+EXP(-('Conversion Model'!$B$5+IFERROR(INDEX('Conversion Model'!$B$8:$B$14,MATCH(C205,'Conversion Model'!$A$8:$A$14,0)),0)+IFERROR(INDEX('Conversion Model'!$E$8:$E$9,MATCH(F205,'Conversion Model'!$D$8:$D$9,0)),0)+IFERROR(INDEX('Conversion Model'!$H$8:$H$12,MATCH(IF(LEFT(J205,8)="Payments","Payments",IF(LEFT(J205,7)="Lending","Lending",J205)),'Conversion Model'!$G$8:$G$12,0)),0)+MIN(L205,15)*'Conversion Model'!$B$17+IF(SUMPRODUCT(--ISNUMBER(SEARCH('Scoring Model'!$D$16:$D$25,K205)))&gt;0,'Conversion Model'!$B$18,0)+IF(SUMPRODUCT(--ISNUMBER(SEARCH('Scoring Model'!$G$16:$G$23,K205)))&gt;0,'Conversion Model'!$B$19,0)))))</f>
        <v>0.00468823425682458</v>
      </c>
      <c r="AH205" s="3" t="n">
        <f aca="false">IF(OR(O205="Qualified",O205="Won",O205="Lost"),1,IF(O205="Unqualified",0,""))</f>
        <v>0</v>
      </c>
    </row>
    <row r="206" customFormat="false" ht="15" hidden="false" customHeight="true" outlineLevel="0" collapsed="false">
      <c r="A206" s="3" t="s">
        <v>910</v>
      </c>
      <c r="B206" s="9" t="n">
        <v>46023.7381944444</v>
      </c>
      <c r="C206" s="3" t="s">
        <v>91</v>
      </c>
      <c r="D206" s="3" t="s">
        <v>911</v>
      </c>
      <c r="E206" s="3" t="s">
        <v>912</v>
      </c>
      <c r="F206" s="3" t="s">
        <v>54</v>
      </c>
      <c r="G206" s="3" t="s">
        <v>913</v>
      </c>
      <c r="H206" s="3"/>
      <c r="I206" s="3" t="s">
        <v>80</v>
      </c>
      <c r="J206" s="3" t="s">
        <v>145</v>
      </c>
      <c r="K206" s="3" t="s">
        <v>101</v>
      </c>
      <c r="L206" s="3" t="n">
        <v>2</v>
      </c>
      <c r="M206" s="3" t="n">
        <v>5</v>
      </c>
      <c r="N206" s="3" t="s">
        <v>59</v>
      </c>
      <c r="O206" s="3" t="s">
        <v>194</v>
      </c>
      <c r="P206" s="10"/>
      <c r="Q206" s="3" t="n">
        <f aca="false">IF(F206="Disposable",1,0)</f>
        <v>0</v>
      </c>
      <c r="R206" s="3" t="n">
        <f aca="false">IF(SUMPRODUCT(--ISNUMBER(SEARCH('Spam Rules'!$A$22:$A$35,K206)))&gt;0,1,0)</f>
        <v>0</v>
      </c>
      <c r="S206" s="3" t="n">
        <f aca="false">IF(AND(F206="Free",G206=""),1,0)</f>
        <v>0</v>
      </c>
      <c r="T206" s="3" t="n">
        <f aca="false">IF(LEN(TRIM(K206))&lt;15,1,0)</f>
        <v>0</v>
      </c>
      <c r="U206" s="3" t="n">
        <f aca="false">IF(COUNTIF($E$2:$E$801,E206)&gt;1,1,0)</f>
        <v>0</v>
      </c>
      <c r="V206" s="3" t="n">
        <f aca="false">Q206*'Spam Rules'!$H$6+R206*'Spam Rules'!$H$7+S206*'Spam Rules'!$H$8+T206*'Spam Rules'!$H$9+U206*'Spam Rules'!$H$10</f>
        <v>0</v>
      </c>
      <c r="W206" s="3" t="str">
        <f aca="false">IF(V206&gt;='Spam Rules'!$B$3,"Likely Spam","Genuine")</f>
        <v>Genuine</v>
      </c>
      <c r="X206" s="3" t="n">
        <f aca="false">IFERROR(INDEX('Scoring Model'!$B$5:$B$11,MATCH(C206,'Scoring Model'!$A$5:$A$11,0)),0)</f>
        <v>5</v>
      </c>
      <c r="Y206" s="3" t="n">
        <f aca="false">IFERROR(INDEX('Scoring Model'!$E$5:$E$7,MATCH(F206,'Scoring Model'!$D$5:$D$7,0)),0)</f>
        <v>0</v>
      </c>
      <c r="Z206" s="3" t="n">
        <f aca="false">IFERROR(INDEX('Scoring Model'!$H$5:$H$13,MATCH(J206,'Scoring Model'!$G$5:$G$13,0)),0)</f>
        <v>5</v>
      </c>
      <c r="AA206" s="3" t="n">
        <f aca="false">IF(L206&gt;='Scoring Model'!$B$14,'Scoring Model'!$B$15,IF(L206&gt;='Scoring Model'!$B$16,'Scoring Model'!$B$17,0))</f>
        <v>0</v>
      </c>
      <c r="AB206" s="3" t="n">
        <f aca="false">IF(SUMPRODUCT(--ISNUMBER(SEARCH('Scoring Model'!$D$16:$D$25,K206)))&gt;0,'Scoring Model'!$B$18,0)</f>
        <v>0</v>
      </c>
      <c r="AC206" s="3" t="n">
        <f aca="false">IF(SUMPRODUCT(--ISNUMBER(SEARCH('Scoring Model'!$G$16:$G$23,K206)))&gt;0,'Scoring Model'!$B$19,0)</f>
        <v>-30</v>
      </c>
      <c r="AD206" s="3" t="n">
        <f aca="false">IF(W206="Likely Spam","",SUM(X206:AC206))</f>
        <v>-20</v>
      </c>
      <c r="AE206" s="3" t="str">
        <f aca="false">IF(W206="Likely Spam","Spam",IF(AD206&gt;='Scoring Model'!$B$21,"Hot",IF(AD206&gt;='Scoring Model'!$B$22,"Warm","Nurture")))</f>
        <v>Nurture</v>
      </c>
      <c r="AF206" s="3" t="str">
        <f aca="false">IF(W206="Likely Spam","Flagged by spam rules",TRIM(IF(X206&gt;=20,"Strong source. ","")&amp;IF(Y206&gt;0,"Company email. ","")&amp;IF(Z206&gt;=15,"High-value product. ","")&amp;IF(AA206&gt;='Scoring Model'!$B$15,"High engagement. ","")&amp;IF(AB206&gt;0,"Buying intent in message. ","")&amp;IF(AC206&lt;0,"Negative intent in message. ","")))</f>
        <v>Negative intent in message.</v>
      </c>
      <c r="AG206" s="11" t="n">
        <f aca="false">IF(W206="Likely Spam","",1/(1+EXP(-('Conversion Model'!$B$5+IFERROR(INDEX('Conversion Model'!$B$8:$B$14,MATCH(C206,'Conversion Model'!$A$8:$A$14,0)),0)+IFERROR(INDEX('Conversion Model'!$E$8:$E$9,MATCH(F206,'Conversion Model'!$D$8:$D$9,0)),0)+IFERROR(INDEX('Conversion Model'!$H$8:$H$12,MATCH(IF(LEFT(J206,8)="Payments","Payments",IF(LEFT(J206,7)="Lending","Lending",J206)),'Conversion Model'!$G$8:$G$12,0)),0)+MIN(L206,15)*'Conversion Model'!$B$17+IF(SUMPRODUCT(--ISNUMBER(SEARCH('Scoring Model'!$D$16:$D$25,K206)))&gt;0,'Conversion Model'!$B$18,0)+IF(SUMPRODUCT(--ISNUMBER(SEARCH('Scoring Model'!$G$16:$G$23,K206)))&gt;0,'Conversion Model'!$B$19,0)))))</f>
        <v>0.00210780106204325</v>
      </c>
      <c r="AH206" s="3" t="n">
        <f aca="false">IF(OR(O206="Qualified",O206="Won",O206="Lost"),1,IF(O206="Unqualified",0,""))</f>
        <v>0</v>
      </c>
    </row>
    <row r="207" customFormat="false" ht="15" hidden="false" customHeight="true" outlineLevel="0" collapsed="false">
      <c r="A207" s="3" t="s">
        <v>914</v>
      </c>
      <c r="B207" s="9" t="n">
        <v>46025.1854166667</v>
      </c>
      <c r="C207" s="3" t="s">
        <v>91</v>
      </c>
      <c r="D207" s="3" t="s">
        <v>915</v>
      </c>
      <c r="E207" s="3" t="s">
        <v>916</v>
      </c>
      <c r="F207" s="3" t="s">
        <v>54</v>
      </c>
      <c r="G207" s="3" t="s">
        <v>917</v>
      </c>
      <c r="H207" s="3"/>
      <c r="I207" s="3" t="s">
        <v>56</v>
      </c>
      <c r="J207" s="3" t="s">
        <v>65</v>
      </c>
      <c r="K207" s="3" t="s">
        <v>74</v>
      </c>
      <c r="L207" s="3" t="n">
        <v>1</v>
      </c>
      <c r="M207" s="3" t="n">
        <v>1.7</v>
      </c>
      <c r="N207" s="3" t="s">
        <v>67</v>
      </c>
      <c r="O207" s="3" t="s">
        <v>194</v>
      </c>
      <c r="P207" s="10"/>
      <c r="Q207" s="3" t="n">
        <f aca="false">IF(F207="Disposable",1,0)</f>
        <v>0</v>
      </c>
      <c r="R207" s="3" t="n">
        <f aca="false">IF(SUMPRODUCT(--ISNUMBER(SEARCH('Spam Rules'!$A$22:$A$35,K207)))&gt;0,1,0)</f>
        <v>0</v>
      </c>
      <c r="S207" s="3" t="n">
        <f aca="false">IF(AND(F207="Free",G207=""),1,0)</f>
        <v>0</v>
      </c>
      <c r="T207" s="3" t="n">
        <f aca="false">IF(LEN(TRIM(K207))&lt;15,1,0)</f>
        <v>0</v>
      </c>
      <c r="U207" s="3" t="n">
        <f aca="false">IF(COUNTIF($E$2:$E$801,E207)&gt;1,1,0)</f>
        <v>0</v>
      </c>
      <c r="V207" s="3" t="n">
        <f aca="false">Q207*'Spam Rules'!$H$6+R207*'Spam Rules'!$H$7+S207*'Spam Rules'!$H$8+T207*'Spam Rules'!$H$9+U207*'Spam Rules'!$H$10</f>
        <v>0</v>
      </c>
      <c r="W207" s="3" t="str">
        <f aca="false">IF(V207&gt;='Spam Rules'!$B$3,"Likely Spam","Genuine")</f>
        <v>Genuine</v>
      </c>
      <c r="X207" s="3" t="n">
        <f aca="false">IFERROR(INDEX('Scoring Model'!$B$5:$B$11,MATCH(C207,'Scoring Model'!$A$5:$A$11,0)),0)</f>
        <v>5</v>
      </c>
      <c r="Y207" s="3" t="n">
        <f aca="false">IFERROR(INDEX('Scoring Model'!$E$5:$E$7,MATCH(F207,'Scoring Model'!$D$5:$D$7,0)),0)</f>
        <v>0</v>
      </c>
      <c r="Z207" s="3" t="n">
        <f aca="false">IFERROR(INDEX('Scoring Model'!$H$5:$H$13,MATCH(J207,'Scoring Model'!$G$5:$G$13,0)),0)</f>
        <v>0</v>
      </c>
      <c r="AA207" s="3" t="n">
        <f aca="false">IF(L207&gt;='Scoring Model'!$B$14,'Scoring Model'!$B$15,IF(L207&gt;='Scoring Model'!$B$16,'Scoring Model'!$B$17,0))</f>
        <v>0</v>
      </c>
      <c r="AB207" s="3" t="n">
        <f aca="false">IF(SUMPRODUCT(--ISNUMBER(SEARCH('Scoring Model'!$D$16:$D$25,K207)))&gt;0,'Scoring Model'!$B$18,0)</f>
        <v>0</v>
      </c>
      <c r="AC207" s="3" t="n">
        <f aca="false">IF(SUMPRODUCT(--ISNUMBER(SEARCH('Scoring Model'!$G$16:$G$23,K207)))&gt;0,'Scoring Model'!$B$19,0)</f>
        <v>-30</v>
      </c>
      <c r="AD207" s="3" t="n">
        <f aca="false">IF(W207="Likely Spam","",SUM(X207:AC207))</f>
        <v>-25</v>
      </c>
      <c r="AE207" s="3" t="str">
        <f aca="false">IF(W207="Likely Spam","Spam",IF(AD207&gt;='Scoring Model'!$B$21,"Hot",IF(AD207&gt;='Scoring Model'!$B$22,"Warm","Nurture")))</f>
        <v>Nurture</v>
      </c>
      <c r="AF207" s="3" t="str">
        <f aca="false">IF(W207="Likely Spam","Flagged by spam rules",TRIM(IF(X207&gt;=20,"Strong source. ","")&amp;IF(Y207&gt;0,"Company email. ","")&amp;IF(Z207&gt;=15,"High-value product. ","")&amp;IF(AA207&gt;='Scoring Model'!$B$15,"High engagement. ","")&amp;IF(AB207&gt;0,"Buying intent in message. ","")&amp;IF(AC207&lt;0,"Negative intent in message. ","")))</f>
        <v>Negative intent in message.</v>
      </c>
      <c r="AG207" s="11" t="n">
        <f aca="false">IF(W207="Likely Spam","",1/(1+EXP(-('Conversion Model'!$B$5+IFERROR(INDEX('Conversion Model'!$B$8:$B$14,MATCH(C207,'Conversion Model'!$A$8:$A$14,0)),0)+IFERROR(INDEX('Conversion Model'!$E$8:$E$9,MATCH(F207,'Conversion Model'!$D$8:$D$9,0)),0)+IFERROR(INDEX('Conversion Model'!$H$8:$H$12,MATCH(IF(LEFT(J207,8)="Payments","Payments",IF(LEFT(J207,7)="Lending","Lending",J207)),'Conversion Model'!$G$8:$G$12,0)),0)+MIN(L207,15)*'Conversion Model'!$B$17+IF(SUMPRODUCT(--ISNUMBER(SEARCH('Scoring Model'!$D$16:$D$25,K207)))&gt;0,'Conversion Model'!$B$18,0)+IF(SUMPRODUCT(--ISNUMBER(SEARCH('Scoring Model'!$G$16:$G$23,K207)))&gt;0,'Conversion Model'!$B$19,0)))))</f>
        <v>0.000679142643711316</v>
      </c>
      <c r="AH207" s="3" t="n">
        <f aca="false">IF(OR(O207="Qualified",O207="Won",O207="Lost"),1,IF(O207="Unqualified",0,""))</f>
        <v>0</v>
      </c>
    </row>
    <row r="208" customFormat="false" ht="15" hidden="false" customHeight="true" outlineLevel="0" collapsed="false">
      <c r="A208" s="3" t="s">
        <v>918</v>
      </c>
      <c r="B208" s="9" t="n">
        <v>46025.4291666667</v>
      </c>
      <c r="C208" s="3" t="s">
        <v>51</v>
      </c>
      <c r="D208" s="3" t="s">
        <v>919</v>
      </c>
      <c r="E208" s="3" t="s">
        <v>920</v>
      </c>
      <c r="F208" s="3" t="s">
        <v>22</v>
      </c>
      <c r="G208" s="3" t="s">
        <v>921</v>
      </c>
      <c r="H208" s="3" t="s">
        <v>922</v>
      </c>
      <c r="I208" s="3" t="s">
        <v>204</v>
      </c>
      <c r="J208" s="3" t="s">
        <v>57</v>
      </c>
      <c r="K208" s="3" t="s">
        <v>923</v>
      </c>
      <c r="L208" s="3" t="n">
        <v>10</v>
      </c>
      <c r="M208" s="3" t="n">
        <v>10.6</v>
      </c>
      <c r="N208" s="3" t="s">
        <v>59</v>
      </c>
      <c r="O208" s="3"/>
      <c r="P208" s="10"/>
      <c r="Q208" s="3" t="n">
        <f aca="false">IF(F208="Disposable",1,0)</f>
        <v>0</v>
      </c>
      <c r="R208" s="3" t="n">
        <f aca="false">IF(SUMPRODUCT(--ISNUMBER(SEARCH('Spam Rules'!$A$22:$A$35,K208)))&gt;0,1,0)</f>
        <v>0</v>
      </c>
      <c r="S208" s="3" t="n">
        <f aca="false">IF(AND(F208="Free",G208=""),1,0)</f>
        <v>0</v>
      </c>
      <c r="T208" s="3" t="n">
        <f aca="false">IF(LEN(TRIM(K208))&lt;15,1,0)</f>
        <v>0</v>
      </c>
      <c r="U208" s="3" t="n">
        <f aca="false">IF(COUNTIF($E$2:$E$801,E208)&gt;1,1,0)</f>
        <v>0</v>
      </c>
      <c r="V208" s="3" t="n">
        <f aca="false">Q208*'Spam Rules'!$H$6+R208*'Spam Rules'!$H$7+S208*'Spam Rules'!$H$8+T208*'Spam Rules'!$H$9+U208*'Spam Rules'!$H$10</f>
        <v>0</v>
      </c>
      <c r="W208" s="3" t="str">
        <f aca="false">IF(V208&gt;='Spam Rules'!$B$3,"Likely Spam","Genuine")</f>
        <v>Genuine</v>
      </c>
      <c r="X208" s="3" t="n">
        <f aca="false">IFERROR(INDEX('Scoring Model'!$B$5:$B$11,MATCH(C208,'Scoring Model'!$A$5:$A$11,0)),0)</f>
        <v>10</v>
      </c>
      <c r="Y208" s="3" t="n">
        <f aca="false">IFERROR(INDEX('Scoring Model'!$E$5:$E$7,MATCH(F208,'Scoring Model'!$D$5:$D$7,0)),0)</f>
        <v>20</v>
      </c>
      <c r="Z208" s="3" t="n">
        <f aca="false">IFERROR(INDEX('Scoring Model'!$H$5:$H$13,MATCH(J208,'Scoring Model'!$G$5:$G$13,0)),0)</f>
        <v>15</v>
      </c>
      <c r="AA208" s="3" t="n">
        <f aca="false">IF(L208&gt;='Scoring Model'!$B$14,'Scoring Model'!$B$15,IF(L208&gt;='Scoring Model'!$B$16,'Scoring Model'!$B$17,0))</f>
        <v>15</v>
      </c>
      <c r="AB208" s="3" t="n">
        <f aca="false">IF(SUMPRODUCT(--ISNUMBER(SEARCH('Scoring Model'!$D$16:$D$25,K208)))&gt;0,'Scoring Model'!$B$18,0)</f>
        <v>15</v>
      </c>
      <c r="AC208" s="3" t="n">
        <f aca="false">IF(SUMPRODUCT(--ISNUMBER(SEARCH('Scoring Model'!$G$16:$G$23,K208)))&gt;0,'Scoring Model'!$B$19,0)</f>
        <v>0</v>
      </c>
      <c r="AD208" s="3" t="n">
        <f aca="false">IF(W208="Likely Spam","",SUM(X208:AC208))</f>
        <v>75</v>
      </c>
      <c r="AE208" s="3" t="str">
        <f aca="false">IF(W208="Likely Spam","Spam",IF(AD208&gt;='Scoring Model'!$B$21,"Hot",IF(AD208&gt;='Scoring Model'!$B$22,"Warm","Nurture")))</f>
        <v>Hot</v>
      </c>
      <c r="AF208" s="3" t="str">
        <f aca="false">IF(W208="Likely Spam","Flagged by spam rules",TRIM(IF(X208&gt;=20,"Strong source. ","")&amp;IF(Y208&gt;0,"Company email. ","")&amp;IF(Z208&gt;=15,"High-value product. ","")&amp;IF(AA208&gt;='Scoring Model'!$B$15,"High engagement. ","")&amp;IF(AB208&gt;0,"Buying intent in message. ","")&amp;IF(AC208&lt;0,"Negative intent in message. ","")))</f>
        <v>Company email. High-value product. High engagement. Buying intent in message.</v>
      </c>
      <c r="AG208" s="11" t="n">
        <f aca="false">IF(W208="Likely Spam","",1/(1+EXP(-('Conversion Model'!$B$5+IFERROR(INDEX('Conversion Model'!$B$8:$B$14,MATCH(C208,'Conversion Model'!$A$8:$A$14,0)),0)+IFERROR(INDEX('Conversion Model'!$E$8:$E$9,MATCH(F208,'Conversion Model'!$D$8:$D$9,0)),0)+IFERROR(INDEX('Conversion Model'!$H$8:$H$12,MATCH(IF(LEFT(J208,8)="Payments","Payments",IF(LEFT(J208,7)="Lending","Lending",J208)),'Conversion Model'!$G$8:$G$12,0)),0)+MIN(L208,15)*'Conversion Model'!$B$17+IF(SUMPRODUCT(--ISNUMBER(SEARCH('Scoring Model'!$D$16:$D$25,K208)))&gt;0,'Conversion Model'!$B$18,0)+IF(SUMPRODUCT(--ISNUMBER(SEARCH('Scoring Model'!$G$16:$G$23,K208)))&gt;0,'Conversion Model'!$B$19,0)))))</f>
        <v>0.991796849421052</v>
      </c>
      <c r="AH208" s="3" t="str">
        <f aca="false">IF(OR(O208="Qualified",O208="Won",O208="Lost"),1,IF(O208="Unqualified",0,""))</f>
        <v/>
      </c>
    </row>
    <row r="209" customFormat="false" ht="15" hidden="false" customHeight="true" outlineLevel="0" collapsed="false">
      <c r="A209" s="3" t="s">
        <v>924</v>
      </c>
      <c r="B209" s="9" t="n">
        <v>46025.9152777778</v>
      </c>
      <c r="C209" s="3" t="s">
        <v>91</v>
      </c>
      <c r="D209" s="3" t="s">
        <v>925</v>
      </c>
      <c r="E209" s="3" t="s">
        <v>926</v>
      </c>
      <c r="F209" s="3" t="s">
        <v>54</v>
      </c>
      <c r="G209" s="3" t="s">
        <v>927</v>
      </c>
      <c r="H209" s="3"/>
      <c r="I209" s="3" t="s">
        <v>80</v>
      </c>
      <c r="J209" s="3" t="s">
        <v>165</v>
      </c>
      <c r="K209" s="3" t="s">
        <v>928</v>
      </c>
      <c r="L209" s="3" t="n">
        <v>1</v>
      </c>
      <c r="M209" s="3" t="n">
        <v>26.8</v>
      </c>
      <c r="N209" s="3" t="s">
        <v>67</v>
      </c>
      <c r="O209" s="3" t="s">
        <v>133</v>
      </c>
      <c r="P209" s="10"/>
      <c r="Q209" s="3" t="n">
        <f aca="false">IF(F209="Disposable",1,0)</f>
        <v>0</v>
      </c>
      <c r="R209" s="3" t="n">
        <f aca="false">IF(SUMPRODUCT(--ISNUMBER(SEARCH('Spam Rules'!$A$22:$A$35,K209)))&gt;0,1,0)</f>
        <v>0</v>
      </c>
      <c r="S209" s="3" t="n">
        <f aca="false">IF(AND(F209="Free",G209=""),1,0)</f>
        <v>0</v>
      </c>
      <c r="T209" s="3" t="n">
        <f aca="false">IF(LEN(TRIM(K209))&lt;15,1,0)</f>
        <v>0</v>
      </c>
      <c r="U209" s="3" t="n">
        <f aca="false">IF(COUNTIF($E$2:$E$801,E209)&gt;1,1,0)</f>
        <v>0</v>
      </c>
      <c r="V209" s="3" t="n">
        <f aca="false">Q209*'Spam Rules'!$H$6+R209*'Spam Rules'!$H$7+S209*'Spam Rules'!$H$8+T209*'Spam Rules'!$H$9+U209*'Spam Rules'!$H$10</f>
        <v>0</v>
      </c>
      <c r="W209" s="3" t="str">
        <f aca="false">IF(V209&gt;='Spam Rules'!$B$3,"Likely Spam","Genuine")</f>
        <v>Genuine</v>
      </c>
      <c r="X209" s="3" t="n">
        <f aca="false">IFERROR(INDEX('Scoring Model'!$B$5:$B$11,MATCH(C209,'Scoring Model'!$A$5:$A$11,0)),0)</f>
        <v>5</v>
      </c>
      <c r="Y209" s="3" t="n">
        <f aca="false">IFERROR(INDEX('Scoring Model'!$E$5:$E$7,MATCH(F209,'Scoring Model'!$D$5:$D$7,0)),0)</f>
        <v>0</v>
      </c>
      <c r="Z209" s="3" t="n">
        <f aca="false">IFERROR(INDEX('Scoring Model'!$H$5:$H$13,MATCH(J209,'Scoring Model'!$G$5:$G$13,0)),0)</f>
        <v>15</v>
      </c>
      <c r="AA209" s="3" t="n">
        <f aca="false">IF(L209&gt;='Scoring Model'!$B$14,'Scoring Model'!$B$15,IF(L209&gt;='Scoring Model'!$B$16,'Scoring Model'!$B$17,0))</f>
        <v>0</v>
      </c>
      <c r="AB209" s="3" t="n">
        <f aca="false">IF(SUMPRODUCT(--ISNUMBER(SEARCH('Scoring Model'!$D$16:$D$25,K209)))&gt;0,'Scoring Model'!$B$18,0)</f>
        <v>15</v>
      </c>
      <c r="AC209" s="3" t="n">
        <f aca="false">IF(SUMPRODUCT(--ISNUMBER(SEARCH('Scoring Model'!$G$16:$G$23,K209)))&gt;0,'Scoring Model'!$B$19,0)</f>
        <v>0</v>
      </c>
      <c r="AD209" s="3" t="n">
        <f aca="false">IF(W209="Likely Spam","",SUM(X209:AC209))</f>
        <v>35</v>
      </c>
      <c r="AE209" s="3" t="str">
        <f aca="false">IF(W209="Likely Spam","Spam",IF(AD209&gt;='Scoring Model'!$B$21,"Hot",IF(AD209&gt;='Scoring Model'!$B$22,"Warm","Nurture")))</f>
        <v>Nurture</v>
      </c>
      <c r="AF209" s="3" t="str">
        <f aca="false">IF(W209="Likely Spam","Flagged by spam rules",TRIM(IF(X209&gt;=20,"Strong source. ","")&amp;IF(Y209&gt;0,"Company email. ","")&amp;IF(Z209&gt;=15,"High-value product. ","")&amp;IF(AA209&gt;='Scoring Model'!$B$15,"High engagement. ","")&amp;IF(AB209&gt;0,"Buying intent in message. ","")&amp;IF(AC209&lt;0,"Negative intent in message. ","")))</f>
        <v>High-value product. Buying intent in message.</v>
      </c>
      <c r="AG209" s="11" t="n">
        <f aca="false">IF(W209="Likely Spam","",1/(1+EXP(-('Conversion Model'!$B$5+IFERROR(INDEX('Conversion Model'!$B$8:$B$14,MATCH(C209,'Conversion Model'!$A$8:$A$14,0)),0)+IFERROR(INDEX('Conversion Model'!$E$8:$E$9,MATCH(F209,'Conversion Model'!$D$8:$D$9,0)),0)+IFERROR(INDEX('Conversion Model'!$H$8:$H$12,MATCH(IF(LEFT(J209,8)="Payments","Payments",IF(LEFT(J209,7)="Lending","Lending",J209)),'Conversion Model'!$G$8:$G$12,0)),0)+MIN(L209,15)*'Conversion Model'!$B$17+IF(SUMPRODUCT(--ISNUMBER(SEARCH('Scoring Model'!$D$16:$D$25,K209)))&gt;0,'Conversion Model'!$B$18,0)+IF(SUMPRODUCT(--ISNUMBER(SEARCH('Scoring Model'!$G$16:$G$23,K209)))&gt;0,'Conversion Model'!$B$19,0)))))</f>
        <v>0.0261858827883713</v>
      </c>
      <c r="AH209" s="3" t="str">
        <f aca="false">IF(OR(O209="Qualified",O209="Won",O209="Lost"),1,IF(O209="Unqualified",0,""))</f>
        <v/>
      </c>
    </row>
    <row r="210" customFormat="false" ht="15" hidden="false" customHeight="true" outlineLevel="0" collapsed="false">
      <c r="A210" s="3" t="s">
        <v>929</v>
      </c>
      <c r="B210" s="9" t="n">
        <v>46026.0055555556</v>
      </c>
      <c r="C210" s="3" t="s">
        <v>51</v>
      </c>
      <c r="D210" s="3" t="s">
        <v>930</v>
      </c>
      <c r="E210" s="3" t="s">
        <v>931</v>
      </c>
      <c r="F210" s="3" t="s">
        <v>54</v>
      </c>
      <c r="G210" s="3"/>
      <c r="H210" s="3"/>
      <c r="I210" s="3" t="s">
        <v>88</v>
      </c>
      <c r="J210" s="3" t="s">
        <v>65</v>
      </c>
      <c r="K210" s="3" t="s">
        <v>101</v>
      </c>
      <c r="L210" s="3" t="n">
        <v>4</v>
      </c>
      <c r="M210" s="3" t="n">
        <v>9.9</v>
      </c>
      <c r="N210" s="3" t="s">
        <v>59</v>
      </c>
      <c r="O210" s="3" t="s">
        <v>194</v>
      </c>
      <c r="P210" s="10"/>
      <c r="Q210" s="3" t="n">
        <f aca="false">IF(F210="Disposable",1,0)</f>
        <v>0</v>
      </c>
      <c r="R210" s="3" t="n">
        <f aca="false">IF(SUMPRODUCT(--ISNUMBER(SEARCH('Spam Rules'!$A$22:$A$35,K210)))&gt;0,1,0)</f>
        <v>0</v>
      </c>
      <c r="S210" s="3" t="n">
        <f aca="false">IF(AND(F210="Free",G210=""),1,0)</f>
        <v>1</v>
      </c>
      <c r="T210" s="3" t="n">
        <f aca="false">IF(LEN(TRIM(K210))&lt;15,1,0)</f>
        <v>0</v>
      </c>
      <c r="U210" s="3" t="n">
        <f aca="false">IF(COUNTIF($E$2:$E$801,E210)&gt;1,1,0)</f>
        <v>0</v>
      </c>
      <c r="V210" s="3" t="n">
        <f aca="false">Q210*'Spam Rules'!$H$6+R210*'Spam Rules'!$H$7+S210*'Spam Rules'!$H$8+T210*'Spam Rules'!$H$9+U210*'Spam Rules'!$H$10</f>
        <v>0</v>
      </c>
      <c r="W210" s="3" t="str">
        <f aca="false">IF(V210&gt;='Spam Rules'!$B$3,"Likely Spam","Genuine")</f>
        <v>Genuine</v>
      </c>
      <c r="X210" s="3" t="n">
        <f aca="false">IFERROR(INDEX('Scoring Model'!$B$5:$B$11,MATCH(C210,'Scoring Model'!$A$5:$A$11,0)),0)</f>
        <v>10</v>
      </c>
      <c r="Y210" s="3" t="n">
        <f aca="false">IFERROR(INDEX('Scoring Model'!$E$5:$E$7,MATCH(F210,'Scoring Model'!$D$5:$D$7,0)),0)</f>
        <v>0</v>
      </c>
      <c r="Z210" s="3" t="n">
        <f aca="false">IFERROR(INDEX('Scoring Model'!$H$5:$H$13,MATCH(J210,'Scoring Model'!$G$5:$G$13,0)),0)</f>
        <v>0</v>
      </c>
      <c r="AA210" s="3" t="n">
        <f aca="false">IF(L210&gt;='Scoring Model'!$B$14,'Scoring Model'!$B$15,IF(L210&gt;='Scoring Model'!$B$16,'Scoring Model'!$B$17,0))</f>
        <v>8</v>
      </c>
      <c r="AB210" s="3" t="n">
        <f aca="false">IF(SUMPRODUCT(--ISNUMBER(SEARCH('Scoring Model'!$D$16:$D$25,K210)))&gt;0,'Scoring Model'!$B$18,0)</f>
        <v>0</v>
      </c>
      <c r="AC210" s="3" t="n">
        <f aca="false">IF(SUMPRODUCT(--ISNUMBER(SEARCH('Scoring Model'!$G$16:$G$23,K210)))&gt;0,'Scoring Model'!$B$19,0)</f>
        <v>-30</v>
      </c>
      <c r="AD210" s="3" t="n">
        <f aca="false">IF(W210="Likely Spam","",SUM(X210:AC210))</f>
        <v>-12</v>
      </c>
      <c r="AE210" s="3" t="str">
        <f aca="false">IF(W210="Likely Spam","Spam",IF(AD210&gt;='Scoring Model'!$B$21,"Hot",IF(AD210&gt;='Scoring Model'!$B$22,"Warm","Nurture")))</f>
        <v>Nurture</v>
      </c>
      <c r="AF210" s="3" t="str">
        <f aca="false">IF(W210="Likely Spam","Flagged by spam rules",TRIM(IF(X210&gt;=20,"Strong source. ","")&amp;IF(Y210&gt;0,"Company email. ","")&amp;IF(Z210&gt;=15,"High-value product. ","")&amp;IF(AA210&gt;='Scoring Model'!$B$15,"High engagement. ","")&amp;IF(AB210&gt;0,"Buying intent in message. ","")&amp;IF(AC210&lt;0,"Negative intent in message. ","")))</f>
        <v>Negative intent in message.</v>
      </c>
      <c r="AG210" s="11" t="n">
        <f aca="false">IF(W210="Likely Spam","",1/(1+EXP(-('Conversion Model'!$B$5+IFERROR(INDEX('Conversion Model'!$B$8:$B$14,MATCH(C210,'Conversion Model'!$A$8:$A$14,0)),0)+IFERROR(INDEX('Conversion Model'!$E$8:$E$9,MATCH(F210,'Conversion Model'!$D$8:$D$9,0)),0)+IFERROR(INDEX('Conversion Model'!$H$8:$H$12,MATCH(IF(LEFT(J210,8)="Payments","Payments",IF(LEFT(J210,7)="Lending","Lending",J210)),'Conversion Model'!$G$8:$G$12,0)),0)+MIN(L210,15)*'Conversion Model'!$B$17+IF(SUMPRODUCT(--ISNUMBER(SEARCH('Scoring Model'!$D$16:$D$25,K210)))&gt;0,'Conversion Model'!$B$18,0)+IF(SUMPRODUCT(--ISNUMBER(SEARCH('Scoring Model'!$G$16:$G$23,K210)))&gt;0,'Conversion Model'!$B$19,0)))))</f>
        <v>0.0101910707855211</v>
      </c>
      <c r="AH210" s="3" t="n">
        <f aca="false">IF(OR(O210="Qualified",O210="Won",O210="Lost"),1,IF(O210="Unqualified",0,""))</f>
        <v>0</v>
      </c>
    </row>
    <row r="211" customFormat="false" ht="15" hidden="false" customHeight="true" outlineLevel="0" collapsed="false">
      <c r="A211" s="3" t="s">
        <v>932</v>
      </c>
      <c r="B211" s="9" t="n">
        <v>46026.7319444444</v>
      </c>
      <c r="C211" s="3" t="s">
        <v>160</v>
      </c>
      <c r="D211" s="3" t="s">
        <v>933</v>
      </c>
      <c r="E211" s="3" t="s">
        <v>934</v>
      </c>
      <c r="F211" s="3" t="s">
        <v>63</v>
      </c>
      <c r="G211" s="3"/>
      <c r="H211" s="3"/>
      <c r="I211" s="3" t="s">
        <v>88</v>
      </c>
      <c r="J211" s="3" t="s">
        <v>81</v>
      </c>
      <c r="K211" s="3" t="s">
        <v>82</v>
      </c>
      <c r="L211" s="3" t="n">
        <v>1</v>
      </c>
      <c r="M211" s="3" t="n">
        <v>7.3</v>
      </c>
      <c r="N211" s="3" t="s">
        <v>59</v>
      </c>
      <c r="O211" s="3"/>
      <c r="P211" s="10"/>
      <c r="Q211" s="3" t="n">
        <f aca="false">IF(F211="Disposable",1,0)</f>
        <v>1</v>
      </c>
      <c r="R211" s="3" t="n">
        <f aca="false">IF(SUMPRODUCT(--ISNUMBER(SEARCH('Spam Rules'!$A$22:$A$35,K211)))&gt;0,1,0)</f>
        <v>1</v>
      </c>
      <c r="S211" s="3" t="n">
        <f aca="false">IF(AND(F211="Free",G211=""),1,0)</f>
        <v>0</v>
      </c>
      <c r="T211" s="3" t="n">
        <f aca="false">IF(LEN(TRIM(K211))&lt;15,1,0)</f>
        <v>0</v>
      </c>
      <c r="U211" s="3" t="n">
        <f aca="false">IF(COUNTIF($E$2:$E$801,E211)&gt;1,1,0)</f>
        <v>0</v>
      </c>
      <c r="V211" s="3" t="n">
        <f aca="false">Q211*'Spam Rules'!$H$6+R211*'Spam Rules'!$H$7+S211*'Spam Rules'!$H$8+T211*'Spam Rules'!$H$9+U211*'Spam Rules'!$H$10</f>
        <v>2</v>
      </c>
      <c r="W211" s="3" t="str">
        <f aca="false">IF(V211&gt;='Spam Rules'!$B$3,"Likely Spam","Genuine")</f>
        <v>Likely Spam</v>
      </c>
      <c r="X211" s="3" t="n">
        <f aca="false">IFERROR(INDEX('Scoring Model'!$B$5:$B$11,MATCH(C211,'Scoring Model'!$A$5:$A$11,0)),0)</f>
        <v>25</v>
      </c>
      <c r="Y211" s="3" t="n">
        <f aca="false">IFERROR(INDEX('Scoring Model'!$E$5:$E$7,MATCH(F211,'Scoring Model'!$D$5:$D$7,0)),0)</f>
        <v>0</v>
      </c>
      <c r="Z211" s="3" t="n">
        <f aca="false">IFERROR(INDEX('Scoring Model'!$H$5:$H$13,MATCH(J211,'Scoring Model'!$G$5:$G$13,0)),0)</f>
        <v>5</v>
      </c>
      <c r="AA211" s="3" t="n">
        <f aca="false">IF(L211&gt;='Scoring Model'!$B$14,'Scoring Model'!$B$15,IF(L211&gt;='Scoring Model'!$B$16,'Scoring Model'!$B$17,0))</f>
        <v>0</v>
      </c>
      <c r="AB211" s="3" t="n">
        <f aca="false">IF(SUMPRODUCT(--ISNUMBER(SEARCH('Scoring Model'!$D$16:$D$25,K211)))&gt;0,'Scoring Model'!$B$18,0)</f>
        <v>0</v>
      </c>
      <c r="AC211" s="3" t="n">
        <f aca="false">IF(SUMPRODUCT(--ISNUMBER(SEARCH('Scoring Model'!$G$16:$G$23,K211)))&gt;0,'Scoring Model'!$B$19,0)</f>
        <v>0</v>
      </c>
      <c r="AD211" s="3" t="str">
        <f aca="false">IF(W211="Likely Spam","",SUM(X211:AC211))</f>
        <v/>
      </c>
      <c r="AE211" s="3" t="str">
        <f aca="false">IF(W211="Likely Spam","Spam",IF(AD211&gt;='Scoring Model'!$B$21,"Hot",IF(AD211&gt;='Scoring Model'!$B$22,"Warm","Nurture")))</f>
        <v>Spam</v>
      </c>
      <c r="AF211" s="3" t="str">
        <f aca="false">IF(W211="Likely Spam","Flagged by spam rules",TRIM(IF(X211&gt;=20,"Strong source. ","")&amp;IF(Y211&gt;0,"Company email. ","")&amp;IF(Z211&gt;=15,"High-value product. ","")&amp;IF(AA211&gt;='Scoring Model'!$B$15,"High engagement. ","")&amp;IF(AB211&gt;0,"Buying intent in message. ","")&amp;IF(AC211&lt;0,"Negative intent in message. ","")))</f>
        <v>Flagged by spam rules</v>
      </c>
      <c r="AG211" s="11" t="str">
        <f aca="false">IF(W211="Likely Spam","",1/(1+EXP(-('Conversion Model'!$B$5+IFERROR(INDEX('Conversion Model'!$B$8:$B$14,MATCH(C211,'Conversion Model'!$A$8:$A$14,0)),0)+IFERROR(INDEX('Conversion Model'!$E$8:$E$9,MATCH(F211,'Conversion Model'!$D$8:$D$9,0)),0)+IFERROR(INDEX('Conversion Model'!$H$8:$H$12,MATCH(IF(LEFT(J211,8)="Payments","Payments",IF(LEFT(J211,7)="Lending","Lending",J211)),'Conversion Model'!$G$8:$G$12,0)),0)+MIN(L211,15)*'Conversion Model'!$B$17+IF(SUMPRODUCT(--ISNUMBER(SEARCH('Scoring Model'!$D$16:$D$25,K211)))&gt;0,'Conversion Model'!$B$18,0)+IF(SUMPRODUCT(--ISNUMBER(SEARCH('Scoring Model'!$G$16:$G$23,K211)))&gt;0,'Conversion Model'!$B$19,0)))))</f>
        <v/>
      </c>
      <c r="AH211" s="3" t="str">
        <f aca="false">IF(OR(O211="Qualified",O211="Won",O211="Lost"),1,IF(O211="Unqualified",0,""))</f>
        <v/>
      </c>
    </row>
    <row r="212" customFormat="false" ht="15" hidden="false" customHeight="true" outlineLevel="0" collapsed="false">
      <c r="A212" s="3" t="s">
        <v>935</v>
      </c>
      <c r="B212" s="9" t="n">
        <v>46026.7458333333</v>
      </c>
      <c r="C212" s="3" t="s">
        <v>51</v>
      </c>
      <c r="D212" s="3" t="s">
        <v>936</v>
      </c>
      <c r="E212" s="3" t="s">
        <v>937</v>
      </c>
      <c r="F212" s="3" t="s">
        <v>63</v>
      </c>
      <c r="G212" s="3"/>
      <c r="H212" s="3"/>
      <c r="I212" s="3" t="s">
        <v>94</v>
      </c>
      <c r="J212" s="3" t="s">
        <v>122</v>
      </c>
      <c r="K212" s="3" t="s">
        <v>363</v>
      </c>
      <c r="L212" s="3" t="n">
        <v>1</v>
      </c>
      <c r="M212" s="3" t="n">
        <v>19</v>
      </c>
      <c r="N212" s="3" t="s">
        <v>67</v>
      </c>
      <c r="O212" s="3"/>
      <c r="P212" s="10"/>
      <c r="Q212" s="3" t="n">
        <f aca="false">IF(F212="Disposable",1,0)</f>
        <v>1</v>
      </c>
      <c r="R212" s="3" t="n">
        <f aca="false">IF(SUMPRODUCT(--ISNUMBER(SEARCH('Spam Rules'!$A$22:$A$35,K212)))&gt;0,1,0)</f>
        <v>1</v>
      </c>
      <c r="S212" s="3" t="n">
        <f aca="false">IF(AND(F212="Free",G212=""),1,0)</f>
        <v>0</v>
      </c>
      <c r="T212" s="3" t="n">
        <f aca="false">IF(LEN(TRIM(K212))&lt;15,1,0)</f>
        <v>0</v>
      </c>
      <c r="U212" s="3" t="n">
        <f aca="false">IF(COUNTIF($E$2:$E$801,E212)&gt;1,1,0)</f>
        <v>0</v>
      </c>
      <c r="V212" s="3" t="n">
        <f aca="false">Q212*'Spam Rules'!$H$6+R212*'Spam Rules'!$H$7+S212*'Spam Rules'!$H$8+T212*'Spam Rules'!$H$9+U212*'Spam Rules'!$H$10</f>
        <v>2</v>
      </c>
      <c r="W212" s="3" t="str">
        <f aca="false">IF(V212&gt;='Spam Rules'!$B$3,"Likely Spam","Genuine")</f>
        <v>Likely Spam</v>
      </c>
      <c r="X212" s="3" t="n">
        <f aca="false">IFERROR(INDEX('Scoring Model'!$B$5:$B$11,MATCH(C212,'Scoring Model'!$A$5:$A$11,0)),0)</f>
        <v>10</v>
      </c>
      <c r="Y212" s="3" t="n">
        <f aca="false">IFERROR(INDEX('Scoring Model'!$E$5:$E$7,MATCH(F212,'Scoring Model'!$D$5:$D$7,0)),0)</f>
        <v>0</v>
      </c>
      <c r="Z212" s="3" t="n">
        <f aca="false">IFERROR(INDEX('Scoring Model'!$H$5:$H$13,MATCH(J212,'Scoring Model'!$G$5:$G$13,0)),0)</f>
        <v>15</v>
      </c>
      <c r="AA212" s="3" t="n">
        <f aca="false">IF(L212&gt;='Scoring Model'!$B$14,'Scoring Model'!$B$15,IF(L212&gt;='Scoring Model'!$B$16,'Scoring Model'!$B$17,0))</f>
        <v>0</v>
      </c>
      <c r="AB212" s="3" t="n">
        <f aca="false">IF(SUMPRODUCT(--ISNUMBER(SEARCH('Scoring Model'!$D$16:$D$25,K212)))&gt;0,'Scoring Model'!$B$18,0)</f>
        <v>0</v>
      </c>
      <c r="AC212" s="3" t="n">
        <f aca="false">IF(SUMPRODUCT(--ISNUMBER(SEARCH('Scoring Model'!$G$16:$G$23,K212)))&gt;0,'Scoring Model'!$B$19,0)</f>
        <v>0</v>
      </c>
      <c r="AD212" s="3" t="str">
        <f aca="false">IF(W212="Likely Spam","",SUM(X212:AC212))</f>
        <v/>
      </c>
      <c r="AE212" s="3" t="str">
        <f aca="false">IF(W212="Likely Spam","Spam",IF(AD212&gt;='Scoring Model'!$B$21,"Hot",IF(AD212&gt;='Scoring Model'!$B$22,"Warm","Nurture")))</f>
        <v>Spam</v>
      </c>
      <c r="AF212" s="3" t="str">
        <f aca="false">IF(W212="Likely Spam","Flagged by spam rules",TRIM(IF(X212&gt;=20,"Strong source. ","")&amp;IF(Y212&gt;0,"Company email. ","")&amp;IF(Z212&gt;=15,"High-value product. ","")&amp;IF(AA212&gt;='Scoring Model'!$B$15,"High engagement. ","")&amp;IF(AB212&gt;0,"Buying intent in message. ","")&amp;IF(AC212&lt;0,"Negative intent in message. ","")))</f>
        <v>Flagged by spam rules</v>
      </c>
      <c r="AG212" s="11" t="str">
        <f aca="false">IF(W212="Likely Spam","",1/(1+EXP(-('Conversion Model'!$B$5+IFERROR(INDEX('Conversion Model'!$B$8:$B$14,MATCH(C212,'Conversion Model'!$A$8:$A$14,0)),0)+IFERROR(INDEX('Conversion Model'!$E$8:$E$9,MATCH(F212,'Conversion Model'!$D$8:$D$9,0)),0)+IFERROR(INDEX('Conversion Model'!$H$8:$H$12,MATCH(IF(LEFT(J212,8)="Payments","Payments",IF(LEFT(J212,7)="Lending","Lending",J212)),'Conversion Model'!$G$8:$G$12,0)),0)+MIN(L212,15)*'Conversion Model'!$B$17+IF(SUMPRODUCT(--ISNUMBER(SEARCH('Scoring Model'!$D$16:$D$25,K212)))&gt;0,'Conversion Model'!$B$18,0)+IF(SUMPRODUCT(--ISNUMBER(SEARCH('Scoring Model'!$G$16:$G$23,K212)))&gt;0,'Conversion Model'!$B$19,0)))))</f>
        <v/>
      </c>
      <c r="AH212" s="3" t="str">
        <f aca="false">IF(OR(O212="Qualified",O212="Won",O212="Lost"),1,IF(O212="Unqualified",0,""))</f>
        <v/>
      </c>
    </row>
    <row r="213" customFormat="false" ht="15" hidden="false" customHeight="true" outlineLevel="0" collapsed="false">
      <c r="A213" s="3" t="s">
        <v>938</v>
      </c>
      <c r="B213" s="9" t="n">
        <v>46026.8194444445</v>
      </c>
      <c r="C213" s="3" t="s">
        <v>135</v>
      </c>
      <c r="D213" s="3" t="s">
        <v>939</v>
      </c>
      <c r="E213" s="3" t="s">
        <v>940</v>
      </c>
      <c r="F213" s="3" t="s">
        <v>22</v>
      </c>
      <c r="G213" s="3" t="s">
        <v>941</v>
      </c>
      <c r="H213" s="3" t="s">
        <v>942</v>
      </c>
      <c r="I213" s="3" t="s">
        <v>227</v>
      </c>
      <c r="J213" s="3" t="s">
        <v>57</v>
      </c>
      <c r="K213" s="3" t="s">
        <v>345</v>
      </c>
      <c r="L213" s="3" t="n">
        <v>8</v>
      </c>
      <c r="M213" s="3" t="n">
        <v>1.3</v>
      </c>
      <c r="N213" s="3" t="s">
        <v>96</v>
      </c>
      <c r="O213" s="3"/>
      <c r="P213" s="10"/>
      <c r="Q213" s="3" t="n">
        <f aca="false">IF(F213="Disposable",1,0)</f>
        <v>0</v>
      </c>
      <c r="R213" s="3" t="n">
        <f aca="false">IF(SUMPRODUCT(--ISNUMBER(SEARCH('Spam Rules'!$A$22:$A$35,K213)))&gt;0,1,0)</f>
        <v>0</v>
      </c>
      <c r="S213" s="3" t="n">
        <f aca="false">IF(AND(F213="Free",G213=""),1,0)</f>
        <v>0</v>
      </c>
      <c r="T213" s="3" t="n">
        <f aca="false">IF(LEN(TRIM(K213))&lt;15,1,0)</f>
        <v>0</v>
      </c>
      <c r="U213" s="3" t="n">
        <f aca="false">IF(COUNTIF($E$2:$E$801,E213)&gt;1,1,0)</f>
        <v>0</v>
      </c>
      <c r="V213" s="3" t="n">
        <f aca="false">Q213*'Spam Rules'!$H$6+R213*'Spam Rules'!$H$7+S213*'Spam Rules'!$H$8+T213*'Spam Rules'!$H$9+U213*'Spam Rules'!$H$10</f>
        <v>0</v>
      </c>
      <c r="W213" s="3" t="str">
        <f aca="false">IF(V213&gt;='Spam Rules'!$B$3,"Likely Spam","Genuine")</f>
        <v>Genuine</v>
      </c>
      <c r="X213" s="3" t="n">
        <f aca="false">IFERROR(INDEX('Scoring Model'!$B$5:$B$11,MATCH(C213,'Scoring Model'!$A$5:$A$11,0)),0)</f>
        <v>20</v>
      </c>
      <c r="Y213" s="3" t="n">
        <f aca="false">IFERROR(INDEX('Scoring Model'!$E$5:$E$7,MATCH(F213,'Scoring Model'!$D$5:$D$7,0)),0)</f>
        <v>20</v>
      </c>
      <c r="Z213" s="3" t="n">
        <f aca="false">IFERROR(INDEX('Scoring Model'!$H$5:$H$13,MATCH(J213,'Scoring Model'!$G$5:$G$13,0)),0)</f>
        <v>15</v>
      </c>
      <c r="AA213" s="3" t="n">
        <f aca="false">IF(L213&gt;='Scoring Model'!$B$14,'Scoring Model'!$B$15,IF(L213&gt;='Scoring Model'!$B$16,'Scoring Model'!$B$17,0))</f>
        <v>15</v>
      </c>
      <c r="AB213" s="3" t="n">
        <f aca="false">IF(SUMPRODUCT(--ISNUMBER(SEARCH('Scoring Model'!$D$16:$D$25,K213)))&gt;0,'Scoring Model'!$B$18,0)</f>
        <v>15</v>
      </c>
      <c r="AC213" s="3" t="n">
        <f aca="false">IF(SUMPRODUCT(--ISNUMBER(SEARCH('Scoring Model'!$G$16:$G$23,K213)))&gt;0,'Scoring Model'!$B$19,0)</f>
        <v>0</v>
      </c>
      <c r="AD213" s="3" t="n">
        <f aca="false">IF(W213="Likely Spam","",SUM(X213:AC213))</f>
        <v>85</v>
      </c>
      <c r="AE213" s="3" t="str">
        <f aca="false">IF(W213="Likely Spam","Spam",IF(AD213&gt;='Scoring Model'!$B$21,"Hot",IF(AD213&gt;='Scoring Model'!$B$22,"Warm","Nurture")))</f>
        <v>Hot</v>
      </c>
      <c r="AF213" s="3" t="str">
        <f aca="false">IF(W213="Likely Spam","Flagged by spam rules",TRIM(IF(X213&gt;=20,"Strong source. ","")&amp;IF(Y213&gt;0,"Company email. ","")&amp;IF(Z213&gt;=15,"High-value product. ","")&amp;IF(AA213&gt;='Scoring Model'!$B$15,"High engagement. ","")&amp;IF(AB213&gt;0,"Buying intent in message. ","")&amp;IF(AC213&lt;0,"Negative intent in message. ","")))</f>
        <v>Strong source. Company email. High-value product. High engagement. Buying intent in message.</v>
      </c>
      <c r="AG213" s="11" t="n">
        <f aca="false">IF(W213="Likely Spam","",1/(1+EXP(-('Conversion Model'!$B$5+IFERROR(INDEX('Conversion Model'!$B$8:$B$14,MATCH(C213,'Conversion Model'!$A$8:$A$14,0)),0)+IFERROR(INDEX('Conversion Model'!$E$8:$E$9,MATCH(F213,'Conversion Model'!$D$8:$D$9,0)),0)+IFERROR(INDEX('Conversion Model'!$H$8:$H$12,MATCH(IF(LEFT(J213,8)="Payments","Payments",IF(LEFT(J213,7)="Lending","Lending",J213)),'Conversion Model'!$G$8:$G$12,0)),0)+MIN(L213,15)*'Conversion Model'!$B$17+IF(SUMPRODUCT(--ISNUMBER(SEARCH('Scoring Model'!$D$16:$D$25,K213)))&gt;0,'Conversion Model'!$B$18,0)+IF(SUMPRODUCT(--ISNUMBER(SEARCH('Scoring Model'!$G$16:$G$23,K213)))&gt;0,'Conversion Model'!$B$19,0)))))</f>
        <v>0.983159753885021</v>
      </c>
      <c r="AH213" s="3" t="str">
        <f aca="false">IF(OR(O213="Qualified",O213="Won",O213="Lost"),1,IF(O213="Unqualified",0,""))</f>
        <v/>
      </c>
    </row>
    <row r="214" customFormat="false" ht="15" hidden="false" customHeight="true" outlineLevel="0" collapsed="false">
      <c r="A214" s="3" t="s">
        <v>943</v>
      </c>
      <c r="B214" s="9" t="n">
        <v>46027.4159722222</v>
      </c>
      <c r="C214" s="3" t="s">
        <v>91</v>
      </c>
      <c r="D214" s="3" t="s">
        <v>944</v>
      </c>
      <c r="E214" s="3" t="s">
        <v>945</v>
      </c>
      <c r="F214" s="3" t="s">
        <v>54</v>
      </c>
      <c r="G214" s="3"/>
      <c r="H214" s="3"/>
      <c r="I214" s="3" t="s">
        <v>107</v>
      </c>
      <c r="J214" s="3" t="s">
        <v>122</v>
      </c>
      <c r="K214" s="3" t="s">
        <v>101</v>
      </c>
      <c r="L214" s="3" t="n">
        <v>1</v>
      </c>
      <c r="M214" s="3" t="n">
        <v>11.6</v>
      </c>
      <c r="N214" s="3" t="s">
        <v>59</v>
      </c>
      <c r="O214" s="3" t="s">
        <v>194</v>
      </c>
      <c r="P214" s="10"/>
      <c r="Q214" s="3" t="n">
        <f aca="false">IF(F214="Disposable",1,0)</f>
        <v>0</v>
      </c>
      <c r="R214" s="3" t="n">
        <f aca="false">IF(SUMPRODUCT(--ISNUMBER(SEARCH('Spam Rules'!$A$22:$A$35,K214)))&gt;0,1,0)</f>
        <v>0</v>
      </c>
      <c r="S214" s="3" t="n">
        <f aca="false">IF(AND(F214="Free",G214=""),1,0)</f>
        <v>1</v>
      </c>
      <c r="T214" s="3" t="n">
        <f aca="false">IF(LEN(TRIM(K214))&lt;15,1,0)</f>
        <v>0</v>
      </c>
      <c r="U214" s="3" t="n">
        <f aca="false">IF(COUNTIF($E$2:$E$801,E214)&gt;1,1,0)</f>
        <v>1</v>
      </c>
      <c r="V214" s="3" t="n">
        <f aca="false">Q214*'Spam Rules'!$H$6+R214*'Spam Rules'!$H$7+S214*'Spam Rules'!$H$8+T214*'Spam Rules'!$H$9+U214*'Spam Rules'!$H$10</f>
        <v>0</v>
      </c>
      <c r="W214" s="3" t="str">
        <f aca="false">IF(V214&gt;='Spam Rules'!$B$3,"Likely Spam","Genuine")</f>
        <v>Genuine</v>
      </c>
      <c r="X214" s="3" t="n">
        <f aca="false">IFERROR(INDEX('Scoring Model'!$B$5:$B$11,MATCH(C214,'Scoring Model'!$A$5:$A$11,0)),0)</f>
        <v>5</v>
      </c>
      <c r="Y214" s="3" t="n">
        <f aca="false">IFERROR(INDEX('Scoring Model'!$E$5:$E$7,MATCH(F214,'Scoring Model'!$D$5:$D$7,0)),0)</f>
        <v>0</v>
      </c>
      <c r="Z214" s="3" t="n">
        <f aca="false">IFERROR(INDEX('Scoring Model'!$H$5:$H$13,MATCH(J214,'Scoring Model'!$G$5:$G$13,0)),0)</f>
        <v>15</v>
      </c>
      <c r="AA214" s="3" t="n">
        <f aca="false">IF(L214&gt;='Scoring Model'!$B$14,'Scoring Model'!$B$15,IF(L214&gt;='Scoring Model'!$B$16,'Scoring Model'!$B$17,0))</f>
        <v>0</v>
      </c>
      <c r="AB214" s="3" t="n">
        <f aca="false">IF(SUMPRODUCT(--ISNUMBER(SEARCH('Scoring Model'!$D$16:$D$25,K214)))&gt;0,'Scoring Model'!$B$18,0)</f>
        <v>0</v>
      </c>
      <c r="AC214" s="3" t="n">
        <f aca="false">IF(SUMPRODUCT(--ISNUMBER(SEARCH('Scoring Model'!$G$16:$G$23,K214)))&gt;0,'Scoring Model'!$B$19,0)</f>
        <v>-30</v>
      </c>
      <c r="AD214" s="3" t="n">
        <f aca="false">IF(W214="Likely Spam","",SUM(X214:AC214))</f>
        <v>-10</v>
      </c>
      <c r="AE214" s="3" t="str">
        <f aca="false">IF(W214="Likely Spam","Spam",IF(AD214&gt;='Scoring Model'!$B$21,"Hot",IF(AD214&gt;='Scoring Model'!$B$22,"Warm","Nurture")))</f>
        <v>Nurture</v>
      </c>
      <c r="AF214" s="3" t="str">
        <f aca="false">IF(W214="Likely Spam","Flagged by spam rules",TRIM(IF(X214&gt;=20,"Strong source. ","")&amp;IF(Y214&gt;0,"Company email. ","")&amp;IF(Z214&gt;=15,"High-value product. ","")&amp;IF(AA214&gt;='Scoring Model'!$B$15,"High engagement. ","")&amp;IF(AB214&gt;0,"Buying intent in message. ","")&amp;IF(AC214&lt;0,"Negative intent in message. ","")))</f>
        <v>High-value product. Negative intent in message.</v>
      </c>
      <c r="AG214" s="11" t="n">
        <f aca="false">IF(W214="Likely Spam","",1/(1+EXP(-('Conversion Model'!$B$5+IFERROR(INDEX('Conversion Model'!$B$8:$B$14,MATCH(C214,'Conversion Model'!$A$8:$A$14,0)),0)+IFERROR(INDEX('Conversion Model'!$E$8:$E$9,MATCH(F214,'Conversion Model'!$D$8:$D$9,0)),0)+IFERROR(INDEX('Conversion Model'!$H$8:$H$12,MATCH(IF(LEFT(J214,8)="Payments","Payments",IF(LEFT(J214,7)="Lending","Lending",J214)),'Conversion Model'!$G$8:$G$12,0)),0)+MIN(L214,15)*'Conversion Model'!$B$17+IF(SUMPRODUCT(--ISNUMBER(SEARCH('Scoring Model'!$D$16:$D$25,K214)))&gt;0,'Conversion Model'!$B$18,0)+IF(SUMPRODUCT(--ISNUMBER(SEARCH('Scoring Model'!$G$16:$G$23,K214)))&gt;0,'Conversion Model'!$B$19,0)))))</f>
        <v>0.000804085935629235</v>
      </c>
      <c r="AH214" s="3" t="n">
        <f aca="false">IF(OR(O214="Qualified",O214="Won",O214="Lost"),1,IF(O214="Unqualified",0,""))</f>
        <v>0</v>
      </c>
    </row>
    <row r="215" customFormat="false" ht="15" hidden="false" customHeight="true" outlineLevel="0" collapsed="false">
      <c r="A215" s="3" t="s">
        <v>946</v>
      </c>
      <c r="B215" s="9" t="n">
        <v>46028.1625</v>
      </c>
      <c r="C215" s="3" t="s">
        <v>76</v>
      </c>
      <c r="D215" s="3" t="s">
        <v>947</v>
      </c>
      <c r="E215" s="3" t="s">
        <v>948</v>
      </c>
      <c r="F215" s="3" t="s">
        <v>22</v>
      </c>
      <c r="G215" s="3" t="s">
        <v>715</v>
      </c>
      <c r="H215" s="3" t="s">
        <v>716</v>
      </c>
      <c r="I215" s="3" t="s">
        <v>80</v>
      </c>
      <c r="J215" s="3" t="s">
        <v>117</v>
      </c>
      <c r="K215" s="3" t="s">
        <v>303</v>
      </c>
      <c r="L215" s="3" t="n">
        <v>1</v>
      </c>
      <c r="M215" s="3" t="n">
        <v>2.9</v>
      </c>
      <c r="N215" s="3" t="s">
        <v>67</v>
      </c>
      <c r="O215" s="3"/>
      <c r="P215" s="10"/>
      <c r="Q215" s="3" t="n">
        <f aca="false">IF(F215="Disposable",1,0)</f>
        <v>0</v>
      </c>
      <c r="R215" s="3" t="n">
        <f aca="false">IF(SUMPRODUCT(--ISNUMBER(SEARCH('Spam Rules'!$A$22:$A$35,K215)))&gt;0,1,0)</f>
        <v>0</v>
      </c>
      <c r="S215" s="3" t="n">
        <f aca="false">IF(AND(F215="Free",G215=""),1,0)</f>
        <v>0</v>
      </c>
      <c r="T215" s="3" t="n">
        <f aca="false">IF(LEN(TRIM(K215))&lt;15,1,0)</f>
        <v>0</v>
      </c>
      <c r="U215" s="3" t="n">
        <f aca="false">IF(COUNTIF($E$2:$E$801,E215)&gt;1,1,0)</f>
        <v>0</v>
      </c>
      <c r="V215" s="3" t="n">
        <f aca="false">Q215*'Spam Rules'!$H$6+R215*'Spam Rules'!$H$7+S215*'Spam Rules'!$H$8+T215*'Spam Rules'!$H$9+U215*'Spam Rules'!$H$10</f>
        <v>0</v>
      </c>
      <c r="W215" s="3" t="str">
        <f aca="false">IF(V215&gt;='Spam Rules'!$B$3,"Likely Spam","Genuine")</f>
        <v>Genuine</v>
      </c>
      <c r="X215" s="3" t="n">
        <f aca="false">IFERROR(INDEX('Scoring Model'!$B$5:$B$11,MATCH(C215,'Scoring Model'!$A$5:$A$11,0)),0)</f>
        <v>0</v>
      </c>
      <c r="Y215" s="3" t="n">
        <f aca="false">IFERROR(INDEX('Scoring Model'!$E$5:$E$7,MATCH(F215,'Scoring Model'!$D$5:$D$7,0)),0)</f>
        <v>20</v>
      </c>
      <c r="Z215" s="3" t="n">
        <f aca="false">IFERROR(INDEX('Scoring Model'!$H$5:$H$13,MATCH(J215,'Scoring Model'!$G$5:$G$13,0)),0)</f>
        <v>15</v>
      </c>
      <c r="AA215" s="3" t="n">
        <f aca="false">IF(L215&gt;='Scoring Model'!$B$14,'Scoring Model'!$B$15,IF(L215&gt;='Scoring Model'!$B$16,'Scoring Model'!$B$17,0))</f>
        <v>0</v>
      </c>
      <c r="AB215" s="3" t="n">
        <f aca="false">IF(SUMPRODUCT(--ISNUMBER(SEARCH('Scoring Model'!$D$16:$D$25,K215)))&gt;0,'Scoring Model'!$B$18,0)</f>
        <v>15</v>
      </c>
      <c r="AC215" s="3" t="n">
        <f aca="false">IF(SUMPRODUCT(--ISNUMBER(SEARCH('Scoring Model'!$G$16:$G$23,K215)))&gt;0,'Scoring Model'!$B$19,0)</f>
        <v>0</v>
      </c>
      <c r="AD215" s="3" t="n">
        <f aca="false">IF(W215="Likely Spam","",SUM(X215:AC215))</f>
        <v>50</v>
      </c>
      <c r="AE215" s="3" t="str">
        <f aca="false">IF(W215="Likely Spam","Spam",IF(AD215&gt;='Scoring Model'!$B$21,"Hot",IF(AD215&gt;='Scoring Model'!$B$22,"Warm","Nurture")))</f>
        <v>Warm</v>
      </c>
      <c r="AF215" s="3" t="str">
        <f aca="false">IF(W215="Likely Spam","Flagged by spam rules",TRIM(IF(X215&gt;=20,"Strong source. ","")&amp;IF(Y215&gt;0,"Company email. ","")&amp;IF(Z215&gt;=15,"High-value product. ","")&amp;IF(AA215&gt;='Scoring Model'!$B$15,"High engagement. ","")&amp;IF(AB215&gt;0,"Buying intent in message. ","")&amp;IF(AC215&lt;0,"Negative intent in message. ","")))</f>
        <v>Company email. High-value product. Buying intent in message.</v>
      </c>
      <c r="AG215" s="11" t="n">
        <f aca="false">IF(W215="Likely Spam","",1/(1+EXP(-('Conversion Model'!$B$5+IFERROR(INDEX('Conversion Model'!$B$8:$B$14,MATCH(C215,'Conversion Model'!$A$8:$A$14,0)),0)+IFERROR(INDEX('Conversion Model'!$E$8:$E$9,MATCH(F215,'Conversion Model'!$D$8:$D$9,0)),0)+IFERROR(INDEX('Conversion Model'!$H$8:$H$12,MATCH(IF(LEFT(J215,8)="Payments","Payments",IF(LEFT(J215,7)="Lending","Lending",J215)),'Conversion Model'!$G$8:$G$12,0)),0)+MIN(L215,15)*'Conversion Model'!$B$17+IF(SUMPRODUCT(--ISNUMBER(SEARCH('Scoring Model'!$D$16:$D$25,K215)))&gt;0,'Conversion Model'!$B$18,0)+IF(SUMPRODUCT(--ISNUMBER(SEARCH('Scoring Model'!$G$16:$G$23,K215)))&gt;0,'Conversion Model'!$B$19,0)))))</f>
        <v>0.141972837843477</v>
      </c>
      <c r="AH215" s="3" t="str">
        <f aca="false">IF(OR(O215="Qualified",O215="Won",O215="Lost"),1,IF(O215="Unqualified",0,""))</f>
        <v/>
      </c>
    </row>
    <row r="216" customFormat="false" ht="15" hidden="false" customHeight="true" outlineLevel="0" collapsed="false">
      <c r="A216" s="3" t="s">
        <v>949</v>
      </c>
      <c r="B216" s="9" t="n">
        <v>46029.0868055556</v>
      </c>
      <c r="C216" s="3" t="s">
        <v>135</v>
      </c>
      <c r="D216" s="3" t="s">
        <v>950</v>
      </c>
      <c r="E216" s="3" t="s">
        <v>951</v>
      </c>
      <c r="F216" s="3" t="s">
        <v>22</v>
      </c>
      <c r="G216" s="3" t="s">
        <v>250</v>
      </c>
      <c r="H216" s="3" t="s">
        <v>251</v>
      </c>
      <c r="I216" s="3" t="s">
        <v>334</v>
      </c>
      <c r="J216" s="3" t="s">
        <v>165</v>
      </c>
      <c r="K216" s="3" t="s">
        <v>189</v>
      </c>
      <c r="L216" s="3" t="n">
        <v>8</v>
      </c>
      <c r="M216" s="3" t="n">
        <v>6.6</v>
      </c>
      <c r="N216" s="3" t="s">
        <v>59</v>
      </c>
      <c r="O216" s="3" t="s">
        <v>110</v>
      </c>
      <c r="P216" s="10"/>
      <c r="Q216" s="3" t="n">
        <f aca="false">IF(F216="Disposable",1,0)</f>
        <v>0</v>
      </c>
      <c r="R216" s="3" t="n">
        <f aca="false">IF(SUMPRODUCT(--ISNUMBER(SEARCH('Spam Rules'!$A$22:$A$35,K216)))&gt;0,1,0)</f>
        <v>0</v>
      </c>
      <c r="S216" s="3" t="n">
        <f aca="false">IF(AND(F216="Free",G216=""),1,0)</f>
        <v>0</v>
      </c>
      <c r="T216" s="3" t="n">
        <f aca="false">IF(LEN(TRIM(K216))&lt;15,1,0)</f>
        <v>0</v>
      </c>
      <c r="U216" s="3" t="n">
        <f aca="false">IF(COUNTIF($E$2:$E$801,E216)&gt;1,1,0)</f>
        <v>0</v>
      </c>
      <c r="V216" s="3" t="n">
        <f aca="false">Q216*'Spam Rules'!$H$6+R216*'Spam Rules'!$H$7+S216*'Spam Rules'!$H$8+T216*'Spam Rules'!$H$9+U216*'Spam Rules'!$H$10</f>
        <v>0</v>
      </c>
      <c r="W216" s="3" t="str">
        <f aca="false">IF(V216&gt;='Spam Rules'!$B$3,"Likely Spam","Genuine")</f>
        <v>Genuine</v>
      </c>
      <c r="X216" s="3" t="n">
        <f aca="false">IFERROR(INDEX('Scoring Model'!$B$5:$B$11,MATCH(C216,'Scoring Model'!$A$5:$A$11,0)),0)</f>
        <v>20</v>
      </c>
      <c r="Y216" s="3" t="n">
        <f aca="false">IFERROR(INDEX('Scoring Model'!$E$5:$E$7,MATCH(F216,'Scoring Model'!$D$5:$D$7,0)),0)</f>
        <v>20</v>
      </c>
      <c r="Z216" s="3" t="n">
        <f aca="false">IFERROR(INDEX('Scoring Model'!$H$5:$H$13,MATCH(J216,'Scoring Model'!$G$5:$G$13,0)),0)</f>
        <v>15</v>
      </c>
      <c r="AA216" s="3" t="n">
        <f aca="false">IF(L216&gt;='Scoring Model'!$B$14,'Scoring Model'!$B$15,IF(L216&gt;='Scoring Model'!$B$16,'Scoring Model'!$B$17,0))</f>
        <v>15</v>
      </c>
      <c r="AB216" s="3" t="n">
        <f aca="false">IF(SUMPRODUCT(--ISNUMBER(SEARCH('Scoring Model'!$D$16:$D$25,K216)))&gt;0,'Scoring Model'!$B$18,0)</f>
        <v>15</v>
      </c>
      <c r="AC216" s="3" t="n">
        <f aca="false">IF(SUMPRODUCT(--ISNUMBER(SEARCH('Scoring Model'!$G$16:$G$23,K216)))&gt;0,'Scoring Model'!$B$19,0)</f>
        <v>0</v>
      </c>
      <c r="AD216" s="3" t="n">
        <f aca="false">IF(W216="Likely Spam","",SUM(X216:AC216))</f>
        <v>85</v>
      </c>
      <c r="AE216" s="3" t="str">
        <f aca="false">IF(W216="Likely Spam","Spam",IF(AD216&gt;='Scoring Model'!$B$21,"Hot",IF(AD216&gt;='Scoring Model'!$B$22,"Warm","Nurture")))</f>
        <v>Hot</v>
      </c>
      <c r="AF216" s="3" t="str">
        <f aca="false">IF(W216="Likely Spam","Flagged by spam rules",TRIM(IF(X216&gt;=20,"Strong source. ","")&amp;IF(Y216&gt;0,"Company email. ","")&amp;IF(Z216&gt;=15,"High-value product. ","")&amp;IF(AA216&gt;='Scoring Model'!$B$15,"High engagement. ","")&amp;IF(AB216&gt;0,"Buying intent in message. ","")&amp;IF(AC216&lt;0,"Negative intent in message. ","")))</f>
        <v>Strong source. Company email. High-value product. High engagement. Buying intent in message.</v>
      </c>
      <c r="AG216" s="11" t="n">
        <f aca="false">IF(W216="Likely Spam","",1/(1+EXP(-('Conversion Model'!$B$5+IFERROR(INDEX('Conversion Model'!$B$8:$B$14,MATCH(C216,'Conversion Model'!$A$8:$A$14,0)),0)+IFERROR(INDEX('Conversion Model'!$E$8:$E$9,MATCH(F216,'Conversion Model'!$D$8:$D$9,0)),0)+IFERROR(INDEX('Conversion Model'!$H$8:$H$12,MATCH(IF(LEFT(J216,8)="Payments","Payments",IF(LEFT(J216,7)="Lending","Lending",J216)),'Conversion Model'!$G$8:$G$12,0)),0)+MIN(L216,15)*'Conversion Model'!$B$17+IF(SUMPRODUCT(--ISNUMBER(SEARCH('Scoring Model'!$D$16:$D$25,K216)))&gt;0,'Conversion Model'!$B$18,0)+IF(SUMPRODUCT(--ISNUMBER(SEARCH('Scoring Model'!$G$16:$G$23,K216)))&gt;0,'Conversion Model'!$B$19,0)))))</f>
        <v>0.983159753885021</v>
      </c>
      <c r="AH216" s="3" t="n">
        <f aca="false">IF(OR(O216="Qualified",O216="Won",O216="Lost"),1,IF(O216="Unqualified",0,""))</f>
        <v>1</v>
      </c>
    </row>
    <row r="217" customFormat="false" ht="15" hidden="false" customHeight="true" outlineLevel="0" collapsed="false">
      <c r="A217" s="3" t="s">
        <v>952</v>
      </c>
      <c r="B217" s="9" t="n">
        <v>46029.5243055556</v>
      </c>
      <c r="C217" s="3" t="s">
        <v>76</v>
      </c>
      <c r="D217" s="3" t="s">
        <v>953</v>
      </c>
      <c r="E217" s="3" t="s">
        <v>954</v>
      </c>
      <c r="F217" s="3" t="s">
        <v>22</v>
      </c>
      <c r="G217" s="3" t="s">
        <v>955</v>
      </c>
      <c r="H217" s="3" t="s">
        <v>956</v>
      </c>
      <c r="I217" s="3" t="s">
        <v>94</v>
      </c>
      <c r="J217" s="3" t="s">
        <v>122</v>
      </c>
      <c r="K217" s="3" t="s">
        <v>74</v>
      </c>
      <c r="L217" s="3" t="n">
        <v>3</v>
      </c>
      <c r="M217" s="3" t="n">
        <v>13.1</v>
      </c>
      <c r="N217" s="3" t="s">
        <v>171</v>
      </c>
      <c r="O217" s="3" t="s">
        <v>194</v>
      </c>
      <c r="P217" s="10"/>
      <c r="Q217" s="3" t="n">
        <f aca="false">IF(F217="Disposable",1,0)</f>
        <v>0</v>
      </c>
      <c r="R217" s="3" t="n">
        <f aca="false">IF(SUMPRODUCT(--ISNUMBER(SEARCH('Spam Rules'!$A$22:$A$35,K217)))&gt;0,1,0)</f>
        <v>0</v>
      </c>
      <c r="S217" s="3" t="n">
        <f aca="false">IF(AND(F217="Free",G217=""),1,0)</f>
        <v>0</v>
      </c>
      <c r="T217" s="3" t="n">
        <f aca="false">IF(LEN(TRIM(K217))&lt;15,1,0)</f>
        <v>0</v>
      </c>
      <c r="U217" s="3" t="n">
        <f aca="false">IF(COUNTIF($E$2:$E$801,E217)&gt;1,1,0)</f>
        <v>0</v>
      </c>
      <c r="V217" s="3" t="n">
        <f aca="false">Q217*'Spam Rules'!$H$6+R217*'Spam Rules'!$H$7+S217*'Spam Rules'!$H$8+T217*'Spam Rules'!$H$9+U217*'Spam Rules'!$H$10</f>
        <v>0</v>
      </c>
      <c r="W217" s="3" t="str">
        <f aca="false">IF(V217&gt;='Spam Rules'!$B$3,"Likely Spam","Genuine")</f>
        <v>Genuine</v>
      </c>
      <c r="X217" s="3" t="n">
        <f aca="false">IFERROR(INDEX('Scoring Model'!$B$5:$B$11,MATCH(C217,'Scoring Model'!$A$5:$A$11,0)),0)</f>
        <v>0</v>
      </c>
      <c r="Y217" s="3" t="n">
        <f aca="false">IFERROR(INDEX('Scoring Model'!$E$5:$E$7,MATCH(F217,'Scoring Model'!$D$5:$D$7,0)),0)</f>
        <v>20</v>
      </c>
      <c r="Z217" s="3" t="n">
        <f aca="false">IFERROR(INDEX('Scoring Model'!$H$5:$H$13,MATCH(J217,'Scoring Model'!$G$5:$G$13,0)),0)</f>
        <v>15</v>
      </c>
      <c r="AA217" s="3" t="n">
        <f aca="false">IF(L217&gt;='Scoring Model'!$B$14,'Scoring Model'!$B$15,IF(L217&gt;='Scoring Model'!$B$16,'Scoring Model'!$B$17,0))</f>
        <v>0</v>
      </c>
      <c r="AB217" s="3" t="n">
        <f aca="false">IF(SUMPRODUCT(--ISNUMBER(SEARCH('Scoring Model'!$D$16:$D$25,K217)))&gt;0,'Scoring Model'!$B$18,0)</f>
        <v>0</v>
      </c>
      <c r="AC217" s="3" t="n">
        <f aca="false">IF(SUMPRODUCT(--ISNUMBER(SEARCH('Scoring Model'!$G$16:$G$23,K217)))&gt;0,'Scoring Model'!$B$19,0)</f>
        <v>-30</v>
      </c>
      <c r="AD217" s="3" t="n">
        <f aca="false">IF(W217="Likely Spam","",SUM(X217:AC217))</f>
        <v>5</v>
      </c>
      <c r="AE217" s="3" t="str">
        <f aca="false">IF(W217="Likely Spam","Spam",IF(AD217&gt;='Scoring Model'!$B$21,"Hot",IF(AD217&gt;='Scoring Model'!$B$22,"Warm","Nurture")))</f>
        <v>Nurture</v>
      </c>
      <c r="AF217" s="3" t="str">
        <f aca="false">IF(W217="Likely Spam","Flagged by spam rules",TRIM(IF(X217&gt;=20,"Strong source. ","")&amp;IF(Y217&gt;0,"Company email. ","")&amp;IF(Z217&gt;=15,"High-value product. ","")&amp;IF(AA217&gt;='Scoring Model'!$B$15,"High engagement. ","")&amp;IF(AB217&gt;0,"Buying intent in message. ","")&amp;IF(AC217&lt;0,"Negative intent in message. ","")))</f>
        <v>Company email. High-value product. Negative intent in message.</v>
      </c>
      <c r="AG217" s="11" t="n">
        <f aca="false">IF(W217="Likely Spam","",1/(1+EXP(-('Conversion Model'!$B$5+IFERROR(INDEX('Conversion Model'!$B$8:$B$14,MATCH(C217,'Conversion Model'!$A$8:$A$14,0)),0)+IFERROR(INDEX('Conversion Model'!$E$8:$E$9,MATCH(F217,'Conversion Model'!$D$8:$D$9,0)),0)+IFERROR(INDEX('Conversion Model'!$H$8:$H$12,MATCH(IF(LEFT(J217,8)="Payments","Payments",IF(LEFT(J217,7)="Lending","Lending",J217)),'Conversion Model'!$G$8:$G$12,0)),0)+MIN(L217,15)*'Conversion Model'!$B$17+IF(SUMPRODUCT(--ISNUMBER(SEARCH('Scoring Model'!$D$16:$D$25,K217)))&gt;0,'Conversion Model'!$B$18,0)+IF(SUMPRODUCT(--ISNUMBER(SEARCH('Scoring Model'!$G$16:$G$23,K217)))&gt;0,'Conversion Model'!$B$19,0)))))</f>
        <v>0.00957479714322357</v>
      </c>
      <c r="AH217" s="3" t="n">
        <f aca="false">IF(OR(O217="Qualified",O217="Won",O217="Lost"),1,IF(O217="Unqualified",0,""))</f>
        <v>0</v>
      </c>
    </row>
    <row r="218" customFormat="false" ht="15" hidden="false" customHeight="true" outlineLevel="0" collapsed="false">
      <c r="A218" s="3" t="s">
        <v>957</v>
      </c>
      <c r="B218" s="9" t="n">
        <v>46029.5895833333</v>
      </c>
      <c r="C218" s="3" t="s">
        <v>51</v>
      </c>
      <c r="D218" s="3" t="s">
        <v>653</v>
      </c>
      <c r="E218" s="3" t="s">
        <v>958</v>
      </c>
      <c r="F218" s="3" t="s">
        <v>22</v>
      </c>
      <c r="G218" s="3" t="s">
        <v>382</v>
      </c>
      <c r="H218" s="3" t="s">
        <v>383</v>
      </c>
      <c r="I218" s="3" t="s">
        <v>64</v>
      </c>
      <c r="J218" s="3" t="s">
        <v>145</v>
      </c>
      <c r="K218" s="3" t="s">
        <v>228</v>
      </c>
      <c r="L218" s="3" t="n">
        <v>7</v>
      </c>
      <c r="M218" s="3" t="n">
        <v>10.5</v>
      </c>
      <c r="N218" s="3" t="s">
        <v>96</v>
      </c>
      <c r="O218" s="3" t="s">
        <v>110</v>
      </c>
      <c r="P218" s="10"/>
      <c r="Q218" s="3" t="n">
        <f aca="false">IF(F218="Disposable",1,0)</f>
        <v>0</v>
      </c>
      <c r="R218" s="3" t="n">
        <f aca="false">IF(SUMPRODUCT(--ISNUMBER(SEARCH('Spam Rules'!$A$22:$A$35,K218)))&gt;0,1,0)</f>
        <v>0</v>
      </c>
      <c r="S218" s="3" t="n">
        <f aca="false">IF(AND(F218="Free",G218=""),1,0)</f>
        <v>0</v>
      </c>
      <c r="T218" s="3" t="n">
        <f aca="false">IF(LEN(TRIM(K218))&lt;15,1,0)</f>
        <v>0</v>
      </c>
      <c r="U218" s="3" t="n">
        <f aca="false">IF(COUNTIF($E$2:$E$801,E218)&gt;1,1,0)</f>
        <v>0</v>
      </c>
      <c r="V218" s="3" t="n">
        <f aca="false">Q218*'Spam Rules'!$H$6+R218*'Spam Rules'!$H$7+S218*'Spam Rules'!$H$8+T218*'Spam Rules'!$H$9+U218*'Spam Rules'!$H$10</f>
        <v>0</v>
      </c>
      <c r="W218" s="3" t="str">
        <f aca="false">IF(V218&gt;='Spam Rules'!$B$3,"Likely Spam","Genuine")</f>
        <v>Genuine</v>
      </c>
      <c r="X218" s="3" t="n">
        <f aca="false">IFERROR(INDEX('Scoring Model'!$B$5:$B$11,MATCH(C218,'Scoring Model'!$A$5:$A$11,0)),0)</f>
        <v>10</v>
      </c>
      <c r="Y218" s="3" t="n">
        <f aca="false">IFERROR(INDEX('Scoring Model'!$E$5:$E$7,MATCH(F218,'Scoring Model'!$D$5:$D$7,0)),0)</f>
        <v>20</v>
      </c>
      <c r="Z218" s="3" t="n">
        <f aca="false">IFERROR(INDEX('Scoring Model'!$H$5:$H$13,MATCH(J218,'Scoring Model'!$G$5:$G$13,0)),0)</f>
        <v>5</v>
      </c>
      <c r="AA218" s="3" t="n">
        <f aca="false">IF(L218&gt;='Scoring Model'!$B$14,'Scoring Model'!$B$15,IF(L218&gt;='Scoring Model'!$B$16,'Scoring Model'!$B$17,0))</f>
        <v>8</v>
      </c>
      <c r="AB218" s="3" t="n">
        <f aca="false">IF(SUMPRODUCT(--ISNUMBER(SEARCH('Scoring Model'!$D$16:$D$25,K218)))&gt;0,'Scoring Model'!$B$18,0)</f>
        <v>15</v>
      </c>
      <c r="AC218" s="3" t="n">
        <f aca="false">IF(SUMPRODUCT(--ISNUMBER(SEARCH('Scoring Model'!$G$16:$G$23,K218)))&gt;0,'Scoring Model'!$B$19,0)</f>
        <v>0</v>
      </c>
      <c r="AD218" s="3" t="n">
        <f aca="false">IF(W218="Likely Spam","",SUM(X218:AC218))</f>
        <v>58</v>
      </c>
      <c r="AE218" s="3" t="str">
        <f aca="false">IF(W218="Likely Spam","Spam",IF(AD218&gt;='Scoring Model'!$B$21,"Hot",IF(AD218&gt;='Scoring Model'!$B$22,"Warm","Nurture")))</f>
        <v>Warm</v>
      </c>
      <c r="AF218" s="3" t="str">
        <f aca="false">IF(W218="Likely Spam","Flagged by spam rules",TRIM(IF(X218&gt;=20,"Strong source. ","")&amp;IF(Y218&gt;0,"Company email. ","")&amp;IF(Z218&gt;=15,"High-value product. ","")&amp;IF(AA218&gt;='Scoring Model'!$B$15,"High engagement. ","")&amp;IF(AB218&gt;0,"Buying intent in message. ","")&amp;IF(AC218&lt;0,"Negative intent in message. ","")))</f>
        <v>Company email. Buying intent in message.</v>
      </c>
      <c r="AG218" s="11" t="n">
        <f aca="false">IF(W218="Likely Spam","",1/(1+EXP(-('Conversion Model'!$B$5+IFERROR(INDEX('Conversion Model'!$B$8:$B$14,MATCH(C218,'Conversion Model'!$A$8:$A$14,0)),0)+IFERROR(INDEX('Conversion Model'!$E$8:$E$9,MATCH(F218,'Conversion Model'!$D$8:$D$9,0)),0)+IFERROR(INDEX('Conversion Model'!$H$8:$H$12,MATCH(IF(LEFT(J218,8)="Payments","Payments",IF(LEFT(J218,7)="Lending","Lending",J218)),'Conversion Model'!$G$8:$G$12,0)),0)+MIN(L218,15)*'Conversion Model'!$B$17+IF(SUMPRODUCT(--ISNUMBER(SEARCH('Scoring Model'!$D$16:$D$25,K218)))&gt;0,'Conversion Model'!$B$18,0)+IF(SUMPRODUCT(--ISNUMBER(SEARCH('Scoring Model'!$G$16:$G$23,K218)))&gt;0,'Conversion Model'!$B$19,0)))))</f>
        <v>0.927707761572026</v>
      </c>
      <c r="AH218" s="3" t="n">
        <f aca="false">IF(OR(O218="Qualified",O218="Won",O218="Lost"),1,IF(O218="Unqualified",0,""))</f>
        <v>1</v>
      </c>
    </row>
    <row r="219" customFormat="false" ht="15" hidden="false" customHeight="true" outlineLevel="0" collapsed="false">
      <c r="A219" s="3" t="s">
        <v>959</v>
      </c>
      <c r="B219" s="9" t="n">
        <v>46029.7548611111</v>
      </c>
      <c r="C219" s="3" t="s">
        <v>51</v>
      </c>
      <c r="D219" s="3" t="s">
        <v>426</v>
      </c>
      <c r="E219" s="3" t="s">
        <v>960</v>
      </c>
      <c r="F219" s="3" t="s">
        <v>22</v>
      </c>
      <c r="G219" s="3" t="s">
        <v>437</v>
      </c>
      <c r="H219" s="3" t="s">
        <v>961</v>
      </c>
      <c r="I219" s="3" t="s">
        <v>116</v>
      </c>
      <c r="J219" s="3" t="s">
        <v>245</v>
      </c>
      <c r="K219" s="3" t="s">
        <v>644</v>
      </c>
      <c r="L219" s="3" t="n">
        <v>2</v>
      </c>
      <c r="M219" s="3" t="n">
        <v>34.2</v>
      </c>
      <c r="N219" s="3" t="s">
        <v>171</v>
      </c>
      <c r="O219" s="3"/>
      <c r="P219" s="10"/>
      <c r="Q219" s="3" t="n">
        <f aca="false">IF(F219="Disposable",1,0)</f>
        <v>0</v>
      </c>
      <c r="R219" s="3" t="n">
        <f aca="false">IF(SUMPRODUCT(--ISNUMBER(SEARCH('Spam Rules'!$A$22:$A$35,K219)))&gt;0,1,0)</f>
        <v>0</v>
      </c>
      <c r="S219" s="3" t="n">
        <f aca="false">IF(AND(F219="Free",G219=""),1,0)</f>
        <v>0</v>
      </c>
      <c r="T219" s="3" t="n">
        <f aca="false">IF(LEN(TRIM(K219))&lt;15,1,0)</f>
        <v>0</v>
      </c>
      <c r="U219" s="3" t="n">
        <f aca="false">IF(COUNTIF($E$2:$E$801,E219)&gt;1,1,0)</f>
        <v>0</v>
      </c>
      <c r="V219" s="3" t="n">
        <f aca="false">Q219*'Spam Rules'!$H$6+R219*'Spam Rules'!$H$7+S219*'Spam Rules'!$H$8+T219*'Spam Rules'!$H$9+U219*'Spam Rules'!$H$10</f>
        <v>0</v>
      </c>
      <c r="W219" s="3" t="str">
        <f aca="false">IF(V219&gt;='Spam Rules'!$B$3,"Likely Spam","Genuine")</f>
        <v>Genuine</v>
      </c>
      <c r="X219" s="3" t="n">
        <f aca="false">IFERROR(INDEX('Scoring Model'!$B$5:$B$11,MATCH(C219,'Scoring Model'!$A$5:$A$11,0)),0)</f>
        <v>10</v>
      </c>
      <c r="Y219" s="3" t="n">
        <f aca="false">IFERROR(INDEX('Scoring Model'!$E$5:$E$7,MATCH(F219,'Scoring Model'!$D$5:$D$7,0)),0)</f>
        <v>20</v>
      </c>
      <c r="Z219" s="3" t="n">
        <f aca="false">IFERROR(INDEX('Scoring Model'!$H$5:$H$13,MATCH(J219,'Scoring Model'!$G$5:$G$13,0)),0)</f>
        <v>15</v>
      </c>
      <c r="AA219" s="3" t="n">
        <f aca="false">IF(L219&gt;='Scoring Model'!$B$14,'Scoring Model'!$B$15,IF(L219&gt;='Scoring Model'!$B$16,'Scoring Model'!$B$17,0))</f>
        <v>0</v>
      </c>
      <c r="AB219" s="3" t="n">
        <f aca="false">IF(SUMPRODUCT(--ISNUMBER(SEARCH('Scoring Model'!$D$16:$D$25,K219)))&gt;0,'Scoring Model'!$B$18,0)</f>
        <v>15</v>
      </c>
      <c r="AC219" s="3" t="n">
        <f aca="false">IF(SUMPRODUCT(--ISNUMBER(SEARCH('Scoring Model'!$G$16:$G$23,K219)))&gt;0,'Scoring Model'!$B$19,0)</f>
        <v>0</v>
      </c>
      <c r="AD219" s="3" t="n">
        <f aca="false">IF(W219="Likely Spam","",SUM(X219:AC219))</f>
        <v>60</v>
      </c>
      <c r="AE219" s="3" t="str">
        <f aca="false">IF(W219="Likely Spam","Spam",IF(AD219&gt;='Scoring Model'!$B$21,"Hot",IF(AD219&gt;='Scoring Model'!$B$22,"Warm","Nurture")))</f>
        <v>Warm</v>
      </c>
      <c r="AF219" s="3" t="str">
        <f aca="false">IF(W219="Likely Spam","Flagged by spam rules",TRIM(IF(X219&gt;=20,"Strong source. ","")&amp;IF(Y219&gt;0,"Company email. ","")&amp;IF(Z219&gt;=15,"High-value product. ","")&amp;IF(AA219&gt;='Scoring Model'!$B$15,"High engagement. ","")&amp;IF(AB219&gt;0,"Buying intent in message. ","")&amp;IF(AC219&lt;0,"Negative intent in message. ","")))</f>
        <v>Company email. High-value product. Buying intent in message.</v>
      </c>
      <c r="AG219" s="11" t="n">
        <f aca="false">IF(W219="Likely Spam","",1/(1+EXP(-('Conversion Model'!$B$5+IFERROR(INDEX('Conversion Model'!$B$8:$B$14,MATCH(C219,'Conversion Model'!$A$8:$A$14,0)),0)+IFERROR(INDEX('Conversion Model'!$E$8:$E$9,MATCH(F219,'Conversion Model'!$D$8:$D$9,0)),0)+IFERROR(INDEX('Conversion Model'!$H$8:$H$12,MATCH(IF(LEFT(J219,8)="Payments","Payments",IF(LEFT(J219,7)="Lending","Lending",J219)),'Conversion Model'!$G$8:$G$12,0)),0)+MIN(L219,15)*'Conversion Model'!$B$17+IF(SUMPRODUCT(--ISNUMBER(SEARCH('Scoring Model'!$D$16:$D$25,K219)))&gt;0,'Conversion Model'!$B$18,0)+IF(SUMPRODUCT(--ISNUMBER(SEARCH('Scoring Model'!$G$16:$G$23,K219)))&gt;0,'Conversion Model'!$B$19,0)))))</f>
        <v>0.334923483092207</v>
      </c>
      <c r="AH219" s="3" t="str">
        <f aca="false">IF(OR(O219="Qualified",O219="Won",O219="Lost"),1,IF(O219="Unqualified",0,""))</f>
        <v/>
      </c>
    </row>
    <row r="220" customFormat="false" ht="15" hidden="false" customHeight="true" outlineLevel="0" collapsed="false">
      <c r="A220" s="3" t="s">
        <v>962</v>
      </c>
      <c r="B220" s="9" t="n">
        <v>46030.3708333333</v>
      </c>
      <c r="C220" s="3" t="s">
        <v>112</v>
      </c>
      <c r="D220" s="3" t="s">
        <v>963</v>
      </c>
      <c r="E220" s="3" t="s">
        <v>964</v>
      </c>
      <c r="F220" s="3" t="s">
        <v>54</v>
      </c>
      <c r="G220" s="3" t="s">
        <v>965</v>
      </c>
      <c r="H220" s="3"/>
      <c r="I220" s="3" t="s">
        <v>107</v>
      </c>
      <c r="J220" s="3" t="s">
        <v>245</v>
      </c>
      <c r="K220" s="3" t="s">
        <v>303</v>
      </c>
      <c r="L220" s="3" t="n">
        <v>4</v>
      </c>
      <c r="M220" s="3" t="n">
        <v>42.3</v>
      </c>
      <c r="N220" s="3" t="s">
        <v>59</v>
      </c>
      <c r="O220" s="3" t="s">
        <v>331</v>
      </c>
      <c r="P220" s="10"/>
      <c r="Q220" s="3" t="n">
        <f aca="false">IF(F220="Disposable",1,0)</f>
        <v>0</v>
      </c>
      <c r="R220" s="3" t="n">
        <f aca="false">IF(SUMPRODUCT(--ISNUMBER(SEARCH('Spam Rules'!$A$22:$A$35,K220)))&gt;0,1,0)</f>
        <v>0</v>
      </c>
      <c r="S220" s="3" t="n">
        <f aca="false">IF(AND(F220="Free",G220=""),1,0)</f>
        <v>0</v>
      </c>
      <c r="T220" s="3" t="n">
        <f aca="false">IF(LEN(TRIM(K220))&lt;15,1,0)</f>
        <v>0</v>
      </c>
      <c r="U220" s="3" t="n">
        <f aca="false">IF(COUNTIF($E$2:$E$801,E220)&gt;1,1,0)</f>
        <v>0</v>
      </c>
      <c r="V220" s="3" t="n">
        <f aca="false">Q220*'Spam Rules'!$H$6+R220*'Spam Rules'!$H$7+S220*'Spam Rules'!$H$8+T220*'Spam Rules'!$H$9+U220*'Spam Rules'!$H$10</f>
        <v>0</v>
      </c>
      <c r="W220" s="3" t="str">
        <f aca="false">IF(V220&gt;='Spam Rules'!$B$3,"Likely Spam","Genuine")</f>
        <v>Genuine</v>
      </c>
      <c r="X220" s="3" t="n">
        <f aca="false">IFERROR(INDEX('Scoring Model'!$B$5:$B$11,MATCH(C220,'Scoring Model'!$A$5:$A$11,0)),0)</f>
        <v>15</v>
      </c>
      <c r="Y220" s="3" t="n">
        <f aca="false">IFERROR(INDEX('Scoring Model'!$E$5:$E$7,MATCH(F220,'Scoring Model'!$D$5:$D$7,0)),0)</f>
        <v>0</v>
      </c>
      <c r="Z220" s="3" t="n">
        <f aca="false">IFERROR(INDEX('Scoring Model'!$H$5:$H$13,MATCH(J220,'Scoring Model'!$G$5:$G$13,0)),0)</f>
        <v>15</v>
      </c>
      <c r="AA220" s="3" t="n">
        <f aca="false">IF(L220&gt;='Scoring Model'!$B$14,'Scoring Model'!$B$15,IF(L220&gt;='Scoring Model'!$B$16,'Scoring Model'!$B$17,0))</f>
        <v>8</v>
      </c>
      <c r="AB220" s="3" t="n">
        <f aca="false">IF(SUMPRODUCT(--ISNUMBER(SEARCH('Scoring Model'!$D$16:$D$25,K220)))&gt;0,'Scoring Model'!$B$18,0)</f>
        <v>15</v>
      </c>
      <c r="AC220" s="3" t="n">
        <f aca="false">IF(SUMPRODUCT(--ISNUMBER(SEARCH('Scoring Model'!$G$16:$G$23,K220)))&gt;0,'Scoring Model'!$B$19,0)</f>
        <v>0</v>
      </c>
      <c r="AD220" s="3" t="n">
        <f aca="false">IF(W220="Likely Spam","",SUM(X220:AC220))</f>
        <v>53</v>
      </c>
      <c r="AE220" s="3" t="str">
        <f aca="false">IF(W220="Likely Spam","Spam",IF(AD220&gt;='Scoring Model'!$B$21,"Hot",IF(AD220&gt;='Scoring Model'!$B$22,"Warm","Nurture")))</f>
        <v>Warm</v>
      </c>
      <c r="AF220" s="3" t="str">
        <f aca="false">IF(W220="Likely Spam","Flagged by spam rules",TRIM(IF(X220&gt;=20,"Strong source. ","")&amp;IF(Y220&gt;0,"Company email. ","")&amp;IF(Z220&gt;=15,"High-value product. ","")&amp;IF(AA220&gt;='Scoring Model'!$B$15,"High engagement. ","")&amp;IF(AB220&gt;0,"Buying intent in message. ","")&amp;IF(AC220&lt;0,"Negative intent in message. ","")))</f>
        <v>High-value product. Buying intent in message.</v>
      </c>
      <c r="AG220" s="11" t="n">
        <f aca="false">IF(W220="Likely Spam","",1/(1+EXP(-('Conversion Model'!$B$5+IFERROR(INDEX('Conversion Model'!$B$8:$B$14,MATCH(C220,'Conversion Model'!$A$8:$A$14,0)),0)+IFERROR(INDEX('Conversion Model'!$E$8:$E$9,MATCH(F220,'Conversion Model'!$D$8:$D$9,0)),0)+IFERROR(INDEX('Conversion Model'!$H$8:$H$12,MATCH(IF(LEFT(J220,8)="Payments","Payments",IF(LEFT(J220,7)="Lending","Lending",J220)),'Conversion Model'!$G$8:$G$12,0)),0)+MIN(L220,15)*'Conversion Model'!$B$17+IF(SUMPRODUCT(--ISNUMBER(SEARCH('Scoring Model'!$D$16:$D$25,K220)))&gt;0,'Conversion Model'!$B$18,0)+IF(SUMPRODUCT(--ISNUMBER(SEARCH('Scoring Model'!$G$16:$G$23,K220)))&gt;0,'Conversion Model'!$B$19,0)))))</f>
        <v>0.516993452360945</v>
      </c>
      <c r="AH220" s="3" t="n">
        <f aca="false">IF(OR(O220="Qualified",O220="Won",O220="Lost"),1,IF(O220="Unqualified",0,""))</f>
        <v>1</v>
      </c>
    </row>
    <row r="221" customFormat="false" ht="15" hidden="false" customHeight="true" outlineLevel="0" collapsed="false">
      <c r="A221" s="3" t="s">
        <v>966</v>
      </c>
      <c r="B221" s="9" t="n">
        <v>46030.4638888889</v>
      </c>
      <c r="C221" s="3" t="s">
        <v>112</v>
      </c>
      <c r="D221" s="3" t="s">
        <v>967</v>
      </c>
      <c r="E221" s="3" t="s">
        <v>968</v>
      </c>
      <c r="F221" s="3" t="s">
        <v>54</v>
      </c>
      <c r="G221" s="3" t="s">
        <v>138</v>
      </c>
      <c r="H221" s="3"/>
      <c r="I221" s="3" t="s">
        <v>107</v>
      </c>
      <c r="J221" s="3" t="s">
        <v>145</v>
      </c>
      <c r="K221" s="3" t="s">
        <v>228</v>
      </c>
      <c r="L221" s="3" t="n">
        <v>2</v>
      </c>
      <c r="M221" s="3" t="n">
        <v>7.2</v>
      </c>
      <c r="N221" s="3" t="s">
        <v>96</v>
      </c>
      <c r="O221" s="3"/>
      <c r="P221" s="10"/>
      <c r="Q221" s="3" t="n">
        <f aca="false">IF(F221="Disposable",1,0)</f>
        <v>0</v>
      </c>
      <c r="R221" s="3" t="n">
        <f aca="false">IF(SUMPRODUCT(--ISNUMBER(SEARCH('Spam Rules'!$A$22:$A$35,K221)))&gt;0,1,0)</f>
        <v>0</v>
      </c>
      <c r="S221" s="3" t="n">
        <f aca="false">IF(AND(F221="Free",G221=""),1,0)</f>
        <v>0</v>
      </c>
      <c r="T221" s="3" t="n">
        <f aca="false">IF(LEN(TRIM(K221))&lt;15,1,0)</f>
        <v>0</v>
      </c>
      <c r="U221" s="3" t="n">
        <f aca="false">IF(COUNTIF($E$2:$E$801,E221)&gt;1,1,0)</f>
        <v>0</v>
      </c>
      <c r="V221" s="3" t="n">
        <f aca="false">Q221*'Spam Rules'!$H$6+R221*'Spam Rules'!$H$7+S221*'Spam Rules'!$H$8+T221*'Spam Rules'!$H$9+U221*'Spam Rules'!$H$10</f>
        <v>0</v>
      </c>
      <c r="W221" s="3" t="str">
        <f aca="false">IF(V221&gt;='Spam Rules'!$B$3,"Likely Spam","Genuine")</f>
        <v>Genuine</v>
      </c>
      <c r="X221" s="3" t="n">
        <f aca="false">IFERROR(INDEX('Scoring Model'!$B$5:$B$11,MATCH(C221,'Scoring Model'!$A$5:$A$11,0)),0)</f>
        <v>15</v>
      </c>
      <c r="Y221" s="3" t="n">
        <f aca="false">IFERROR(INDEX('Scoring Model'!$E$5:$E$7,MATCH(F221,'Scoring Model'!$D$5:$D$7,0)),0)</f>
        <v>0</v>
      </c>
      <c r="Z221" s="3" t="n">
        <f aca="false">IFERROR(INDEX('Scoring Model'!$H$5:$H$13,MATCH(J221,'Scoring Model'!$G$5:$G$13,0)),0)</f>
        <v>5</v>
      </c>
      <c r="AA221" s="3" t="n">
        <f aca="false">IF(L221&gt;='Scoring Model'!$B$14,'Scoring Model'!$B$15,IF(L221&gt;='Scoring Model'!$B$16,'Scoring Model'!$B$17,0))</f>
        <v>0</v>
      </c>
      <c r="AB221" s="3" t="n">
        <f aca="false">IF(SUMPRODUCT(--ISNUMBER(SEARCH('Scoring Model'!$D$16:$D$25,K221)))&gt;0,'Scoring Model'!$B$18,0)</f>
        <v>15</v>
      </c>
      <c r="AC221" s="3" t="n">
        <f aca="false">IF(SUMPRODUCT(--ISNUMBER(SEARCH('Scoring Model'!$G$16:$G$23,K221)))&gt;0,'Scoring Model'!$B$19,0)</f>
        <v>0</v>
      </c>
      <c r="AD221" s="3" t="n">
        <f aca="false">IF(W221="Likely Spam","",SUM(X221:AC221))</f>
        <v>35</v>
      </c>
      <c r="AE221" s="3" t="str">
        <f aca="false">IF(W221="Likely Spam","Spam",IF(AD221&gt;='Scoring Model'!$B$21,"Hot",IF(AD221&gt;='Scoring Model'!$B$22,"Warm","Nurture")))</f>
        <v>Nurture</v>
      </c>
      <c r="AF221" s="3" t="str">
        <f aca="false">IF(W221="Likely Spam","Flagged by spam rules",TRIM(IF(X221&gt;=20,"Strong source. ","")&amp;IF(Y221&gt;0,"Company email. ","")&amp;IF(Z221&gt;=15,"High-value product. ","")&amp;IF(AA221&gt;='Scoring Model'!$B$15,"High engagement. ","")&amp;IF(AB221&gt;0,"Buying intent in message. ","")&amp;IF(AC221&lt;0,"Negative intent in message. ","")))</f>
        <v>Buying intent in message.</v>
      </c>
      <c r="AG221" s="11" t="n">
        <f aca="false">IF(W221="Likely Spam","",1/(1+EXP(-('Conversion Model'!$B$5+IFERROR(INDEX('Conversion Model'!$B$8:$B$14,MATCH(C221,'Conversion Model'!$A$8:$A$14,0)),0)+IFERROR(INDEX('Conversion Model'!$E$8:$E$9,MATCH(F221,'Conversion Model'!$D$8:$D$9,0)),0)+IFERROR(INDEX('Conversion Model'!$H$8:$H$12,MATCH(IF(LEFT(J221,8)="Payments","Payments",IF(LEFT(J221,7)="Lending","Lending",J221)),'Conversion Model'!$G$8:$G$12,0)),0)+MIN(L221,15)*'Conversion Model'!$B$17+IF(SUMPRODUCT(--ISNUMBER(SEARCH('Scoring Model'!$D$16:$D$25,K221)))&gt;0,'Conversion Model'!$B$18,0)+IF(SUMPRODUCT(--ISNUMBER(SEARCH('Scoring Model'!$G$16:$G$23,K221)))&gt;0,'Conversion Model'!$B$19,0)))))</f>
        <v>0.0904625681568326</v>
      </c>
      <c r="AH221" s="3" t="str">
        <f aca="false">IF(OR(O221="Qualified",O221="Won",O221="Lost"),1,IF(O221="Unqualified",0,""))</f>
        <v/>
      </c>
    </row>
    <row r="222" customFormat="false" ht="15" hidden="false" customHeight="true" outlineLevel="0" collapsed="false">
      <c r="A222" s="3" t="s">
        <v>969</v>
      </c>
      <c r="B222" s="9" t="n">
        <v>46030.7180555556</v>
      </c>
      <c r="C222" s="3" t="s">
        <v>51</v>
      </c>
      <c r="D222" s="3" t="s">
        <v>970</v>
      </c>
      <c r="E222" s="3" t="s">
        <v>971</v>
      </c>
      <c r="F222" s="3" t="s">
        <v>22</v>
      </c>
      <c r="G222" s="3" t="s">
        <v>972</v>
      </c>
      <c r="H222" s="3" t="s">
        <v>973</v>
      </c>
      <c r="I222" s="3" t="s">
        <v>88</v>
      </c>
      <c r="J222" s="3" t="s">
        <v>81</v>
      </c>
      <c r="K222" s="3" t="s">
        <v>458</v>
      </c>
      <c r="L222" s="3" t="n">
        <v>3</v>
      </c>
      <c r="M222" s="3" t="n">
        <v>4.5</v>
      </c>
      <c r="N222" s="3" t="s">
        <v>171</v>
      </c>
      <c r="O222" s="3"/>
      <c r="P222" s="10"/>
      <c r="Q222" s="3" t="n">
        <f aca="false">IF(F222="Disposable",1,0)</f>
        <v>0</v>
      </c>
      <c r="R222" s="3" t="n">
        <f aca="false">IF(SUMPRODUCT(--ISNUMBER(SEARCH('Spam Rules'!$A$22:$A$35,K222)))&gt;0,1,0)</f>
        <v>0</v>
      </c>
      <c r="S222" s="3" t="n">
        <f aca="false">IF(AND(F222="Free",G222=""),1,0)</f>
        <v>0</v>
      </c>
      <c r="T222" s="3" t="n">
        <f aca="false">IF(LEN(TRIM(K222))&lt;15,1,0)</f>
        <v>0</v>
      </c>
      <c r="U222" s="3" t="n">
        <f aca="false">IF(COUNTIF($E$2:$E$801,E222)&gt;1,1,0)</f>
        <v>0</v>
      </c>
      <c r="V222" s="3" t="n">
        <f aca="false">Q222*'Spam Rules'!$H$6+R222*'Spam Rules'!$H$7+S222*'Spam Rules'!$H$8+T222*'Spam Rules'!$H$9+U222*'Spam Rules'!$H$10</f>
        <v>0</v>
      </c>
      <c r="W222" s="3" t="str">
        <f aca="false">IF(V222&gt;='Spam Rules'!$B$3,"Likely Spam","Genuine")</f>
        <v>Genuine</v>
      </c>
      <c r="X222" s="3" t="n">
        <f aca="false">IFERROR(INDEX('Scoring Model'!$B$5:$B$11,MATCH(C222,'Scoring Model'!$A$5:$A$11,0)),0)</f>
        <v>10</v>
      </c>
      <c r="Y222" s="3" t="n">
        <f aca="false">IFERROR(INDEX('Scoring Model'!$E$5:$E$7,MATCH(F222,'Scoring Model'!$D$5:$D$7,0)),0)</f>
        <v>20</v>
      </c>
      <c r="Z222" s="3" t="n">
        <f aca="false">IFERROR(INDEX('Scoring Model'!$H$5:$H$13,MATCH(J222,'Scoring Model'!$G$5:$G$13,0)),0)</f>
        <v>5</v>
      </c>
      <c r="AA222" s="3" t="n">
        <f aca="false">IF(L222&gt;='Scoring Model'!$B$14,'Scoring Model'!$B$15,IF(L222&gt;='Scoring Model'!$B$16,'Scoring Model'!$B$17,0))</f>
        <v>0</v>
      </c>
      <c r="AB222" s="3" t="n">
        <f aca="false">IF(SUMPRODUCT(--ISNUMBER(SEARCH('Scoring Model'!$D$16:$D$25,K222)))&gt;0,'Scoring Model'!$B$18,0)</f>
        <v>15</v>
      </c>
      <c r="AC222" s="3" t="n">
        <f aca="false">IF(SUMPRODUCT(--ISNUMBER(SEARCH('Scoring Model'!$G$16:$G$23,K222)))&gt;0,'Scoring Model'!$B$19,0)</f>
        <v>0</v>
      </c>
      <c r="AD222" s="3" t="n">
        <f aca="false">IF(W222="Likely Spam","",SUM(X222:AC222))</f>
        <v>50</v>
      </c>
      <c r="AE222" s="3" t="str">
        <f aca="false">IF(W222="Likely Spam","Spam",IF(AD222&gt;='Scoring Model'!$B$21,"Hot",IF(AD222&gt;='Scoring Model'!$B$22,"Warm","Nurture")))</f>
        <v>Warm</v>
      </c>
      <c r="AF222" s="3" t="str">
        <f aca="false">IF(W222="Likely Spam","Flagged by spam rules",TRIM(IF(X222&gt;=20,"Strong source. ","")&amp;IF(Y222&gt;0,"Company email. ","")&amp;IF(Z222&gt;=15,"High-value product. ","")&amp;IF(AA222&gt;='Scoring Model'!$B$15,"High engagement. ","")&amp;IF(AB222&gt;0,"Buying intent in message. ","")&amp;IF(AC222&lt;0,"Negative intent in message. ","")))</f>
        <v>Company email. Buying intent in message.</v>
      </c>
      <c r="AG222" s="11" t="n">
        <f aca="false">IF(W222="Likely Spam","",1/(1+EXP(-('Conversion Model'!$B$5+IFERROR(INDEX('Conversion Model'!$B$8:$B$14,MATCH(C222,'Conversion Model'!$A$8:$A$14,0)),0)+IFERROR(INDEX('Conversion Model'!$E$8:$E$9,MATCH(F222,'Conversion Model'!$D$8:$D$9,0)),0)+IFERROR(INDEX('Conversion Model'!$H$8:$H$12,MATCH(IF(LEFT(J222,8)="Payments","Payments",IF(LEFT(J222,7)="Lending","Lending",J222)),'Conversion Model'!$G$8:$G$12,0)),0)+MIN(L222,15)*'Conversion Model'!$B$17+IF(SUMPRODUCT(--ISNUMBER(SEARCH('Scoring Model'!$D$16:$D$25,K222)))&gt;0,'Conversion Model'!$B$18,0)+IF(SUMPRODUCT(--ISNUMBER(SEARCH('Scoring Model'!$G$16:$G$23,K222)))&gt;0,'Conversion Model'!$B$19,0)))))</f>
        <v>0.230586938771252</v>
      </c>
      <c r="AH222" s="3" t="str">
        <f aca="false">IF(OR(O222="Qualified",O222="Won",O222="Lost"),1,IF(O222="Unqualified",0,""))</f>
        <v/>
      </c>
    </row>
    <row r="223" customFormat="false" ht="15" hidden="false" customHeight="true" outlineLevel="0" collapsed="false">
      <c r="A223" s="3" t="s">
        <v>974</v>
      </c>
      <c r="B223" s="9" t="n">
        <v>46031.7041666667</v>
      </c>
      <c r="C223" s="3" t="s">
        <v>91</v>
      </c>
      <c r="D223" s="3" t="s">
        <v>975</v>
      </c>
      <c r="E223" s="3" t="s">
        <v>976</v>
      </c>
      <c r="F223" s="3" t="s">
        <v>22</v>
      </c>
      <c r="G223" s="3" t="s">
        <v>977</v>
      </c>
      <c r="H223" s="3" t="s">
        <v>978</v>
      </c>
      <c r="I223" s="3" t="s">
        <v>116</v>
      </c>
      <c r="J223" s="3" t="s">
        <v>117</v>
      </c>
      <c r="K223" s="3" t="s">
        <v>979</v>
      </c>
      <c r="L223" s="3" t="n">
        <v>10</v>
      </c>
      <c r="M223" s="3" t="n">
        <v>1</v>
      </c>
      <c r="N223" s="3" t="s">
        <v>67</v>
      </c>
      <c r="O223" s="3" t="s">
        <v>147</v>
      </c>
      <c r="P223" s="10" t="n">
        <v>18000</v>
      </c>
      <c r="Q223" s="3" t="n">
        <f aca="false">IF(F223="Disposable",1,0)</f>
        <v>0</v>
      </c>
      <c r="R223" s="3" t="n">
        <f aca="false">IF(SUMPRODUCT(--ISNUMBER(SEARCH('Spam Rules'!$A$22:$A$35,K223)))&gt;0,1,0)</f>
        <v>0</v>
      </c>
      <c r="S223" s="3" t="n">
        <f aca="false">IF(AND(F223="Free",G223=""),1,0)</f>
        <v>0</v>
      </c>
      <c r="T223" s="3" t="n">
        <f aca="false">IF(LEN(TRIM(K223))&lt;15,1,0)</f>
        <v>0</v>
      </c>
      <c r="U223" s="3" t="n">
        <f aca="false">IF(COUNTIF($E$2:$E$801,E223)&gt;1,1,0)</f>
        <v>0</v>
      </c>
      <c r="V223" s="3" t="n">
        <f aca="false">Q223*'Spam Rules'!$H$6+R223*'Spam Rules'!$H$7+S223*'Spam Rules'!$H$8+T223*'Spam Rules'!$H$9+U223*'Spam Rules'!$H$10</f>
        <v>0</v>
      </c>
      <c r="W223" s="3" t="str">
        <f aca="false">IF(V223&gt;='Spam Rules'!$B$3,"Likely Spam","Genuine")</f>
        <v>Genuine</v>
      </c>
      <c r="X223" s="3" t="n">
        <f aca="false">IFERROR(INDEX('Scoring Model'!$B$5:$B$11,MATCH(C223,'Scoring Model'!$A$5:$A$11,0)),0)</f>
        <v>5</v>
      </c>
      <c r="Y223" s="3" t="n">
        <f aca="false">IFERROR(INDEX('Scoring Model'!$E$5:$E$7,MATCH(F223,'Scoring Model'!$D$5:$D$7,0)),0)</f>
        <v>20</v>
      </c>
      <c r="Z223" s="3" t="n">
        <f aca="false">IFERROR(INDEX('Scoring Model'!$H$5:$H$13,MATCH(J223,'Scoring Model'!$G$5:$G$13,0)),0)</f>
        <v>15</v>
      </c>
      <c r="AA223" s="3" t="n">
        <f aca="false">IF(L223&gt;='Scoring Model'!$B$14,'Scoring Model'!$B$15,IF(L223&gt;='Scoring Model'!$B$16,'Scoring Model'!$B$17,0))</f>
        <v>15</v>
      </c>
      <c r="AB223" s="3" t="n">
        <f aca="false">IF(SUMPRODUCT(--ISNUMBER(SEARCH('Scoring Model'!$D$16:$D$25,K223)))&gt;0,'Scoring Model'!$B$18,0)</f>
        <v>15</v>
      </c>
      <c r="AC223" s="3" t="n">
        <f aca="false">IF(SUMPRODUCT(--ISNUMBER(SEARCH('Scoring Model'!$G$16:$G$23,K223)))&gt;0,'Scoring Model'!$B$19,0)</f>
        <v>0</v>
      </c>
      <c r="AD223" s="3" t="n">
        <f aca="false">IF(W223="Likely Spam","",SUM(X223:AC223))</f>
        <v>70</v>
      </c>
      <c r="AE223" s="3" t="str">
        <f aca="false">IF(W223="Likely Spam","Spam",IF(AD223&gt;='Scoring Model'!$B$21,"Hot",IF(AD223&gt;='Scoring Model'!$B$22,"Warm","Nurture")))</f>
        <v>Hot</v>
      </c>
      <c r="AF223" s="3" t="str">
        <f aca="false">IF(W223="Likely Spam","Flagged by spam rules",TRIM(IF(X223&gt;=20,"Strong source. ","")&amp;IF(Y223&gt;0,"Company email. ","")&amp;IF(Z223&gt;=15,"High-value product. ","")&amp;IF(AA223&gt;='Scoring Model'!$B$15,"High engagement. ","")&amp;IF(AB223&gt;0,"Buying intent in message. ","")&amp;IF(AC223&lt;0,"Negative intent in message. ","")))</f>
        <v>Company email. High-value product. High engagement. Buying intent in message.</v>
      </c>
      <c r="AG223" s="11" t="n">
        <f aca="false">IF(W223="Likely Spam","",1/(1+EXP(-('Conversion Model'!$B$5+IFERROR(INDEX('Conversion Model'!$B$8:$B$14,MATCH(C223,'Conversion Model'!$A$8:$A$14,0)),0)+IFERROR(INDEX('Conversion Model'!$E$8:$E$9,MATCH(F223,'Conversion Model'!$D$8:$D$9,0)),0)+IFERROR(INDEX('Conversion Model'!$H$8:$H$12,MATCH(IF(LEFT(J223,8)="Payments","Payments",IF(LEFT(J223,7)="Lending","Lending",J223)),'Conversion Model'!$G$8:$G$12,0)),0)+MIN(L223,15)*'Conversion Model'!$B$17+IF(SUMPRODUCT(--ISNUMBER(SEARCH('Scoring Model'!$D$16:$D$25,K223)))&gt;0,'Conversion Model'!$B$18,0)+IF(SUMPRODUCT(--ISNUMBER(SEARCH('Scoring Model'!$G$16:$G$23,K223)))&gt;0,'Conversion Model'!$B$19,0)))))</f>
        <v>0.995583581474539</v>
      </c>
      <c r="AH223" s="3" t="n">
        <f aca="false">IF(OR(O223="Qualified",O223="Won",O223="Lost"),1,IF(O223="Unqualified",0,""))</f>
        <v>1</v>
      </c>
    </row>
    <row r="224" customFormat="false" ht="15" hidden="false" customHeight="true" outlineLevel="0" collapsed="false">
      <c r="A224" s="3" t="s">
        <v>980</v>
      </c>
      <c r="B224" s="9" t="n">
        <v>46031.7423611111</v>
      </c>
      <c r="C224" s="3" t="s">
        <v>51</v>
      </c>
      <c r="D224" s="3" t="s">
        <v>981</v>
      </c>
      <c r="E224" s="3" t="s">
        <v>982</v>
      </c>
      <c r="F224" s="3" t="s">
        <v>63</v>
      </c>
      <c r="G224" s="3"/>
      <c r="H224" s="3"/>
      <c r="I224" s="3" t="s">
        <v>260</v>
      </c>
      <c r="J224" s="3" t="s">
        <v>65</v>
      </c>
      <c r="K224" s="3" t="s">
        <v>95</v>
      </c>
      <c r="L224" s="3" t="n">
        <v>1</v>
      </c>
      <c r="M224" s="3"/>
      <c r="N224" s="3" t="s">
        <v>67</v>
      </c>
      <c r="O224" s="3" t="s">
        <v>68</v>
      </c>
      <c r="P224" s="10"/>
      <c r="Q224" s="3" t="n">
        <f aca="false">IF(F224="Disposable",1,0)</f>
        <v>1</v>
      </c>
      <c r="R224" s="3" t="n">
        <f aca="false">IF(SUMPRODUCT(--ISNUMBER(SEARCH('Spam Rules'!$A$22:$A$35,K224)))&gt;0,1,0)</f>
        <v>1</v>
      </c>
      <c r="S224" s="3" t="n">
        <f aca="false">IF(AND(F224="Free",G224=""),1,0)</f>
        <v>0</v>
      </c>
      <c r="T224" s="3" t="n">
        <f aca="false">IF(LEN(TRIM(K224))&lt;15,1,0)</f>
        <v>0</v>
      </c>
      <c r="U224" s="3" t="n">
        <f aca="false">IF(COUNTIF($E$2:$E$801,E224)&gt;1,1,0)</f>
        <v>0</v>
      </c>
      <c r="V224" s="3" t="n">
        <f aca="false">Q224*'Spam Rules'!$H$6+R224*'Spam Rules'!$H$7+S224*'Spam Rules'!$H$8+T224*'Spam Rules'!$H$9+U224*'Spam Rules'!$H$10</f>
        <v>2</v>
      </c>
      <c r="W224" s="3" t="str">
        <f aca="false">IF(V224&gt;='Spam Rules'!$B$3,"Likely Spam","Genuine")</f>
        <v>Likely Spam</v>
      </c>
      <c r="X224" s="3" t="n">
        <f aca="false">IFERROR(INDEX('Scoring Model'!$B$5:$B$11,MATCH(C224,'Scoring Model'!$A$5:$A$11,0)),0)</f>
        <v>10</v>
      </c>
      <c r="Y224" s="3" t="n">
        <f aca="false">IFERROR(INDEX('Scoring Model'!$E$5:$E$7,MATCH(F224,'Scoring Model'!$D$5:$D$7,0)),0)</f>
        <v>0</v>
      </c>
      <c r="Z224" s="3" t="n">
        <f aca="false">IFERROR(INDEX('Scoring Model'!$H$5:$H$13,MATCH(J224,'Scoring Model'!$G$5:$G$13,0)),0)</f>
        <v>0</v>
      </c>
      <c r="AA224" s="3" t="n">
        <f aca="false">IF(L224&gt;='Scoring Model'!$B$14,'Scoring Model'!$B$15,IF(L224&gt;='Scoring Model'!$B$16,'Scoring Model'!$B$17,0))</f>
        <v>0</v>
      </c>
      <c r="AB224" s="3" t="n">
        <f aca="false">IF(SUMPRODUCT(--ISNUMBER(SEARCH('Scoring Model'!$D$16:$D$25,K224)))&gt;0,'Scoring Model'!$B$18,0)</f>
        <v>0</v>
      </c>
      <c r="AC224" s="3" t="n">
        <f aca="false">IF(SUMPRODUCT(--ISNUMBER(SEARCH('Scoring Model'!$G$16:$G$23,K224)))&gt;0,'Scoring Model'!$B$19,0)</f>
        <v>0</v>
      </c>
      <c r="AD224" s="3" t="str">
        <f aca="false">IF(W224="Likely Spam","",SUM(X224:AC224))</f>
        <v/>
      </c>
      <c r="AE224" s="3" t="str">
        <f aca="false">IF(W224="Likely Spam","Spam",IF(AD224&gt;='Scoring Model'!$B$21,"Hot",IF(AD224&gt;='Scoring Model'!$B$22,"Warm","Nurture")))</f>
        <v>Spam</v>
      </c>
      <c r="AF224" s="3" t="str">
        <f aca="false">IF(W224="Likely Spam","Flagged by spam rules",TRIM(IF(X224&gt;=20,"Strong source. ","")&amp;IF(Y224&gt;0,"Company email. ","")&amp;IF(Z224&gt;=15,"High-value product. ","")&amp;IF(AA224&gt;='Scoring Model'!$B$15,"High engagement. ","")&amp;IF(AB224&gt;0,"Buying intent in message. ","")&amp;IF(AC224&lt;0,"Negative intent in message. ","")))</f>
        <v>Flagged by spam rules</v>
      </c>
      <c r="AG224" s="11" t="str">
        <f aca="false">IF(W224="Likely Spam","",1/(1+EXP(-('Conversion Model'!$B$5+IFERROR(INDEX('Conversion Model'!$B$8:$B$14,MATCH(C224,'Conversion Model'!$A$8:$A$14,0)),0)+IFERROR(INDEX('Conversion Model'!$E$8:$E$9,MATCH(F224,'Conversion Model'!$D$8:$D$9,0)),0)+IFERROR(INDEX('Conversion Model'!$H$8:$H$12,MATCH(IF(LEFT(J224,8)="Payments","Payments",IF(LEFT(J224,7)="Lending","Lending",J224)),'Conversion Model'!$G$8:$G$12,0)),0)+MIN(L224,15)*'Conversion Model'!$B$17+IF(SUMPRODUCT(--ISNUMBER(SEARCH('Scoring Model'!$D$16:$D$25,K224)))&gt;0,'Conversion Model'!$B$18,0)+IF(SUMPRODUCT(--ISNUMBER(SEARCH('Scoring Model'!$G$16:$G$23,K224)))&gt;0,'Conversion Model'!$B$19,0)))))</f>
        <v/>
      </c>
      <c r="AH224" s="3" t="str">
        <f aca="false">IF(OR(O224="Qualified",O224="Won",O224="Lost"),1,IF(O224="Unqualified",0,""))</f>
        <v/>
      </c>
    </row>
    <row r="225" customFormat="false" ht="15" hidden="false" customHeight="true" outlineLevel="0" collapsed="false">
      <c r="A225" s="3" t="s">
        <v>983</v>
      </c>
      <c r="B225" s="9" t="n">
        <v>46032.2680555556</v>
      </c>
      <c r="C225" s="3" t="s">
        <v>76</v>
      </c>
      <c r="D225" s="3" t="s">
        <v>984</v>
      </c>
      <c r="E225" s="3" t="s">
        <v>985</v>
      </c>
      <c r="F225" s="3" t="s">
        <v>54</v>
      </c>
      <c r="G225" s="3" t="s">
        <v>986</v>
      </c>
      <c r="H225" s="3"/>
      <c r="I225" s="3" t="s">
        <v>107</v>
      </c>
      <c r="J225" s="3" t="s">
        <v>122</v>
      </c>
      <c r="K225" s="3" t="s">
        <v>74</v>
      </c>
      <c r="L225" s="3" t="n">
        <v>3</v>
      </c>
      <c r="M225" s="3" t="n">
        <v>62.7</v>
      </c>
      <c r="N225" s="3" t="s">
        <v>96</v>
      </c>
      <c r="O225" s="3"/>
      <c r="P225" s="10"/>
      <c r="Q225" s="3" t="n">
        <f aca="false">IF(F225="Disposable",1,0)</f>
        <v>0</v>
      </c>
      <c r="R225" s="3" t="n">
        <f aca="false">IF(SUMPRODUCT(--ISNUMBER(SEARCH('Spam Rules'!$A$22:$A$35,K225)))&gt;0,1,0)</f>
        <v>0</v>
      </c>
      <c r="S225" s="3" t="n">
        <f aca="false">IF(AND(F225="Free",G225=""),1,0)</f>
        <v>0</v>
      </c>
      <c r="T225" s="3" t="n">
        <f aca="false">IF(LEN(TRIM(K225))&lt;15,1,0)</f>
        <v>0</v>
      </c>
      <c r="U225" s="3" t="n">
        <f aca="false">IF(COUNTIF($E$2:$E$801,E225)&gt;1,1,0)</f>
        <v>0</v>
      </c>
      <c r="V225" s="3" t="n">
        <f aca="false">Q225*'Spam Rules'!$H$6+R225*'Spam Rules'!$H$7+S225*'Spam Rules'!$H$8+T225*'Spam Rules'!$H$9+U225*'Spam Rules'!$H$10</f>
        <v>0</v>
      </c>
      <c r="W225" s="3" t="str">
        <f aca="false">IF(V225&gt;='Spam Rules'!$B$3,"Likely Spam","Genuine")</f>
        <v>Genuine</v>
      </c>
      <c r="X225" s="3" t="n">
        <f aca="false">IFERROR(INDEX('Scoring Model'!$B$5:$B$11,MATCH(C225,'Scoring Model'!$A$5:$A$11,0)),0)</f>
        <v>0</v>
      </c>
      <c r="Y225" s="3" t="n">
        <f aca="false">IFERROR(INDEX('Scoring Model'!$E$5:$E$7,MATCH(F225,'Scoring Model'!$D$5:$D$7,0)),0)</f>
        <v>0</v>
      </c>
      <c r="Z225" s="3" t="n">
        <f aca="false">IFERROR(INDEX('Scoring Model'!$H$5:$H$13,MATCH(J225,'Scoring Model'!$G$5:$G$13,0)),0)</f>
        <v>15</v>
      </c>
      <c r="AA225" s="3" t="n">
        <f aca="false">IF(L225&gt;='Scoring Model'!$B$14,'Scoring Model'!$B$15,IF(L225&gt;='Scoring Model'!$B$16,'Scoring Model'!$B$17,0))</f>
        <v>0</v>
      </c>
      <c r="AB225" s="3" t="n">
        <f aca="false">IF(SUMPRODUCT(--ISNUMBER(SEARCH('Scoring Model'!$D$16:$D$25,K225)))&gt;0,'Scoring Model'!$B$18,0)</f>
        <v>0</v>
      </c>
      <c r="AC225" s="3" t="n">
        <f aca="false">IF(SUMPRODUCT(--ISNUMBER(SEARCH('Scoring Model'!$G$16:$G$23,K225)))&gt;0,'Scoring Model'!$B$19,0)</f>
        <v>-30</v>
      </c>
      <c r="AD225" s="3" t="n">
        <f aca="false">IF(W225="Likely Spam","",SUM(X225:AC225))</f>
        <v>-15</v>
      </c>
      <c r="AE225" s="3" t="str">
        <f aca="false">IF(W225="Likely Spam","Spam",IF(AD225&gt;='Scoring Model'!$B$21,"Hot",IF(AD225&gt;='Scoring Model'!$B$22,"Warm","Nurture")))</f>
        <v>Nurture</v>
      </c>
      <c r="AF225" s="3" t="str">
        <f aca="false">IF(W225="Likely Spam","Flagged by spam rules",TRIM(IF(X225&gt;=20,"Strong source. ","")&amp;IF(Y225&gt;0,"Company email. ","")&amp;IF(Z225&gt;=15,"High-value product. ","")&amp;IF(AA225&gt;='Scoring Model'!$B$15,"High engagement. ","")&amp;IF(AB225&gt;0,"Buying intent in message. ","")&amp;IF(AC225&lt;0,"Negative intent in message. ","")))</f>
        <v>High-value product. Negative intent in message.</v>
      </c>
      <c r="AG225" s="11" t="n">
        <f aca="false">IF(W225="Likely Spam","",1/(1+EXP(-('Conversion Model'!$B$5+IFERROR(INDEX('Conversion Model'!$B$8:$B$14,MATCH(C225,'Conversion Model'!$A$8:$A$14,0)),0)+IFERROR(INDEX('Conversion Model'!$E$8:$E$9,MATCH(F225,'Conversion Model'!$D$8:$D$9,0)),0)+IFERROR(INDEX('Conversion Model'!$H$8:$H$12,MATCH(IF(LEFT(J225,8)="Payments","Payments",IF(LEFT(J225,7)="Lending","Lending",J225)),'Conversion Model'!$G$8:$G$12,0)),0)+MIN(L225,15)*'Conversion Model'!$B$17+IF(SUMPRODUCT(--ISNUMBER(SEARCH('Scoring Model'!$D$16:$D$25,K225)))&gt;0,'Conversion Model'!$B$18,0)+IF(SUMPRODUCT(--ISNUMBER(SEARCH('Scoring Model'!$G$16:$G$23,K225)))&gt;0,'Conversion Model'!$B$19,0)))))</f>
        <v>0.0039898651489941</v>
      </c>
      <c r="AH225" s="3" t="str">
        <f aca="false">IF(OR(O225="Qualified",O225="Won",O225="Lost"),1,IF(O225="Unqualified",0,""))</f>
        <v/>
      </c>
    </row>
    <row r="226" customFormat="false" ht="15" hidden="false" customHeight="true" outlineLevel="0" collapsed="false">
      <c r="A226" s="3" t="s">
        <v>987</v>
      </c>
      <c r="B226" s="9" t="n">
        <v>46032.8680555556</v>
      </c>
      <c r="C226" s="3" t="s">
        <v>76</v>
      </c>
      <c r="D226" s="3" t="s">
        <v>988</v>
      </c>
      <c r="E226" s="3" t="s">
        <v>989</v>
      </c>
      <c r="F226" s="3" t="s">
        <v>54</v>
      </c>
      <c r="G226" s="3" t="s">
        <v>835</v>
      </c>
      <c r="H226" s="3"/>
      <c r="I226" s="3" t="s">
        <v>80</v>
      </c>
      <c r="J226" s="3" t="s">
        <v>81</v>
      </c>
      <c r="K226" s="3" t="s">
        <v>193</v>
      </c>
      <c r="L226" s="3" t="n">
        <v>3</v>
      </c>
      <c r="M226" s="3" t="n">
        <v>120.3</v>
      </c>
      <c r="N226" s="3" t="s">
        <v>67</v>
      </c>
      <c r="O226" s="3" t="s">
        <v>194</v>
      </c>
      <c r="P226" s="10"/>
      <c r="Q226" s="3" t="n">
        <f aca="false">IF(F226="Disposable",1,0)</f>
        <v>0</v>
      </c>
      <c r="R226" s="3" t="n">
        <f aca="false">IF(SUMPRODUCT(--ISNUMBER(SEARCH('Spam Rules'!$A$22:$A$35,K226)))&gt;0,1,0)</f>
        <v>0</v>
      </c>
      <c r="S226" s="3" t="n">
        <f aca="false">IF(AND(F226="Free",G226=""),1,0)</f>
        <v>0</v>
      </c>
      <c r="T226" s="3" t="n">
        <f aca="false">IF(LEN(TRIM(K226))&lt;15,1,0)</f>
        <v>0</v>
      </c>
      <c r="U226" s="3" t="n">
        <f aca="false">IF(COUNTIF($E$2:$E$801,E226)&gt;1,1,0)</f>
        <v>0</v>
      </c>
      <c r="V226" s="3" t="n">
        <f aca="false">Q226*'Spam Rules'!$H$6+R226*'Spam Rules'!$H$7+S226*'Spam Rules'!$H$8+T226*'Spam Rules'!$H$9+U226*'Spam Rules'!$H$10</f>
        <v>0</v>
      </c>
      <c r="W226" s="3" t="str">
        <f aca="false">IF(V226&gt;='Spam Rules'!$B$3,"Likely Spam","Genuine")</f>
        <v>Genuine</v>
      </c>
      <c r="X226" s="3" t="n">
        <f aca="false">IFERROR(INDEX('Scoring Model'!$B$5:$B$11,MATCH(C226,'Scoring Model'!$A$5:$A$11,0)),0)</f>
        <v>0</v>
      </c>
      <c r="Y226" s="3" t="n">
        <f aca="false">IFERROR(INDEX('Scoring Model'!$E$5:$E$7,MATCH(F226,'Scoring Model'!$D$5:$D$7,0)),0)</f>
        <v>0</v>
      </c>
      <c r="Z226" s="3" t="n">
        <f aca="false">IFERROR(INDEX('Scoring Model'!$H$5:$H$13,MATCH(J226,'Scoring Model'!$G$5:$G$13,0)),0)</f>
        <v>5</v>
      </c>
      <c r="AA226" s="3" t="n">
        <f aca="false">IF(L226&gt;='Scoring Model'!$B$14,'Scoring Model'!$B$15,IF(L226&gt;='Scoring Model'!$B$16,'Scoring Model'!$B$17,0))</f>
        <v>0</v>
      </c>
      <c r="AB226" s="3" t="n">
        <f aca="false">IF(SUMPRODUCT(--ISNUMBER(SEARCH('Scoring Model'!$D$16:$D$25,K226)))&gt;0,'Scoring Model'!$B$18,0)</f>
        <v>0</v>
      </c>
      <c r="AC226" s="3" t="n">
        <f aca="false">IF(SUMPRODUCT(--ISNUMBER(SEARCH('Scoring Model'!$G$16:$G$23,K226)))&gt;0,'Scoring Model'!$B$19,0)</f>
        <v>-30</v>
      </c>
      <c r="AD226" s="3" t="n">
        <f aca="false">IF(W226="Likely Spam","",SUM(X226:AC226))</f>
        <v>-25</v>
      </c>
      <c r="AE226" s="3" t="str">
        <f aca="false">IF(W226="Likely Spam","Spam",IF(AD226&gt;='Scoring Model'!$B$21,"Hot",IF(AD226&gt;='Scoring Model'!$B$22,"Warm","Nurture")))</f>
        <v>Nurture</v>
      </c>
      <c r="AF226" s="3" t="str">
        <f aca="false">IF(W226="Likely Spam","Flagged by spam rules",TRIM(IF(X226&gt;=20,"Strong source. ","")&amp;IF(Y226&gt;0,"Company email. ","")&amp;IF(Z226&gt;=15,"High-value product. ","")&amp;IF(AA226&gt;='Scoring Model'!$B$15,"High engagement. ","")&amp;IF(AB226&gt;0,"Buying intent in message. ","")&amp;IF(AC226&lt;0,"Negative intent in message. ","")))</f>
        <v>Negative intent in message.</v>
      </c>
      <c r="AG226" s="11" t="n">
        <f aca="false">IF(W226="Likely Spam","",1/(1+EXP(-('Conversion Model'!$B$5+IFERROR(INDEX('Conversion Model'!$B$8:$B$14,MATCH(C226,'Conversion Model'!$A$8:$A$14,0)),0)+IFERROR(INDEX('Conversion Model'!$E$8:$E$9,MATCH(F226,'Conversion Model'!$D$8:$D$9,0)),0)+IFERROR(INDEX('Conversion Model'!$H$8:$H$12,MATCH(IF(LEFT(J226,8)="Payments","Payments",IF(LEFT(J226,7)="Lending","Lending",J226)),'Conversion Model'!$G$8:$G$12,0)),0)+MIN(L226,15)*'Conversion Model'!$B$17+IF(SUMPRODUCT(--ISNUMBER(SEARCH('Scoring Model'!$D$16:$D$25,K226)))&gt;0,'Conversion Model'!$B$18,0)+IF(SUMPRODUCT(--ISNUMBER(SEARCH('Scoring Model'!$G$16:$G$23,K226)))&gt;0,'Conversion Model'!$B$19,0)))))</f>
        <v>0.00271566245674634</v>
      </c>
      <c r="AH226" s="3" t="n">
        <f aca="false">IF(OR(O226="Qualified",O226="Won",O226="Lost"),1,IF(O226="Unqualified",0,""))</f>
        <v>0</v>
      </c>
    </row>
    <row r="227" customFormat="false" ht="15" hidden="false" customHeight="true" outlineLevel="0" collapsed="false">
      <c r="A227" s="3" t="s">
        <v>990</v>
      </c>
      <c r="B227" s="9" t="n">
        <v>46033.1256944445</v>
      </c>
      <c r="C227" s="3" t="s">
        <v>51</v>
      </c>
      <c r="D227" s="3" t="s">
        <v>991</v>
      </c>
      <c r="E227" s="3" t="s">
        <v>992</v>
      </c>
      <c r="F227" s="3" t="s">
        <v>22</v>
      </c>
      <c r="G227" s="3" t="s">
        <v>79</v>
      </c>
      <c r="H227" s="3" t="s">
        <v>886</v>
      </c>
      <c r="I227" s="3" t="s">
        <v>334</v>
      </c>
      <c r="J227" s="3" t="s">
        <v>65</v>
      </c>
      <c r="K227" s="3" t="s">
        <v>239</v>
      </c>
      <c r="L227" s="3" t="n">
        <v>1</v>
      </c>
      <c r="M227" s="3"/>
      <c r="N227" s="3" t="s">
        <v>59</v>
      </c>
      <c r="O227" s="3"/>
      <c r="P227" s="10"/>
      <c r="Q227" s="3" t="n">
        <f aca="false">IF(F227="Disposable",1,0)</f>
        <v>0</v>
      </c>
      <c r="R227" s="3" t="n">
        <f aca="false">IF(SUMPRODUCT(--ISNUMBER(SEARCH('Spam Rules'!$A$22:$A$35,K227)))&gt;0,1,0)</f>
        <v>1</v>
      </c>
      <c r="S227" s="3" t="n">
        <f aca="false">IF(AND(F227="Free",G227=""),1,0)</f>
        <v>0</v>
      </c>
      <c r="T227" s="3" t="n">
        <f aca="false">IF(LEN(TRIM(K227))&lt;15,1,0)</f>
        <v>0</v>
      </c>
      <c r="U227" s="3" t="n">
        <f aca="false">IF(COUNTIF($E$2:$E$801,E227)&gt;1,1,0)</f>
        <v>0</v>
      </c>
      <c r="V227" s="3" t="n">
        <f aca="false">Q227*'Spam Rules'!$H$6+R227*'Spam Rules'!$H$7+S227*'Spam Rules'!$H$8+T227*'Spam Rules'!$H$9+U227*'Spam Rules'!$H$10</f>
        <v>1</v>
      </c>
      <c r="W227" s="3" t="str">
        <f aca="false">IF(V227&gt;='Spam Rules'!$B$3,"Likely Spam","Genuine")</f>
        <v>Likely Spam</v>
      </c>
      <c r="X227" s="3" t="n">
        <f aca="false">IFERROR(INDEX('Scoring Model'!$B$5:$B$11,MATCH(C227,'Scoring Model'!$A$5:$A$11,0)),0)</f>
        <v>10</v>
      </c>
      <c r="Y227" s="3" t="n">
        <f aca="false">IFERROR(INDEX('Scoring Model'!$E$5:$E$7,MATCH(F227,'Scoring Model'!$D$5:$D$7,0)),0)</f>
        <v>20</v>
      </c>
      <c r="Z227" s="3" t="n">
        <f aca="false">IFERROR(INDEX('Scoring Model'!$H$5:$H$13,MATCH(J227,'Scoring Model'!$G$5:$G$13,0)),0)</f>
        <v>0</v>
      </c>
      <c r="AA227" s="3" t="n">
        <f aca="false">IF(L227&gt;='Scoring Model'!$B$14,'Scoring Model'!$B$15,IF(L227&gt;='Scoring Model'!$B$16,'Scoring Model'!$B$17,0))</f>
        <v>0</v>
      </c>
      <c r="AB227" s="3" t="n">
        <f aca="false">IF(SUMPRODUCT(--ISNUMBER(SEARCH('Scoring Model'!$D$16:$D$25,K227)))&gt;0,'Scoring Model'!$B$18,0)</f>
        <v>0</v>
      </c>
      <c r="AC227" s="3" t="n">
        <f aca="false">IF(SUMPRODUCT(--ISNUMBER(SEARCH('Scoring Model'!$G$16:$G$23,K227)))&gt;0,'Scoring Model'!$B$19,0)</f>
        <v>0</v>
      </c>
      <c r="AD227" s="3" t="str">
        <f aca="false">IF(W227="Likely Spam","",SUM(X227:AC227))</f>
        <v/>
      </c>
      <c r="AE227" s="3" t="str">
        <f aca="false">IF(W227="Likely Spam","Spam",IF(AD227&gt;='Scoring Model'!$B$21,"Hot",IF(AD227&gt;='Scoring Model'!$B$22,"Warm","Nurture")))</f>
        <v>Spam</v>
      </c>
      <c r="AF227" s="3" t="str">
        <f aca="false">IF(W227="Likely Spam","Flagged by spam rules",TRIM(IF(X227&gt;=20,"Strong source. ","")&amp;IF(Y227&gt;0,"Company email. ","")&amp;IF(Z227&gt;=15,"High-value product. ","")&amp;IF(AA227&gt;='Scoring Model'!$B$15,"High engagement. ","")&amp;IF(AB227&gt;0,"Buying intent in message. ","")&amp;IF(AC227&lt;0,"Negative intent in message. ","")))</f>
        <v>Flagged by spam rules</v>
      </c>
      <c r="AG227" s="11" t="str">
        <f aca="false">IF(W227="Likely Spam","",1/(1+EXP(-('Conversion Model'!$B$5+IFERROR(INDEX('Conversion Model'!$B$8:$B$14,MATCH(C227,'Conversion Model'!$A$8:$A$14,0)),0)+IFERROR(INDEX('Conversion Model'!$E$8:$E$9,MATCH(F227,'Conversion Model'!$D$8:$D$9,0)),0)+IFERROR(INDEX('Conversion Model'!$H$8:$H$12,MATCH(IF(LEFT(J227,8)="Payments","Payments",IF(LEFT(J227,7)="Lending","Lending",J227)),'Conversion Model'!$G$8:$G$12,0)),0)+MIN(L227,15)*'Conversion Model'!$B$17+IF(SUMPRODUCT(--ISNUMBER(SEARCH('Scoring Model'!$D$16:$D$25,K227)))&gt;0,'Conversion Model'!$B$18,0)+IF(SUMPRODUCT(--ISNUMBER(SEARCH('Scoring Model'!$G$16:$G$23,K227)))&gt;0,'Conversion Model'!$B$19,0)))))</f>
        <v/>
      </c>
      <c r="AH227" s="3" t="str">
        <f aca="false">IF(OR(O227="Qualified",O227="Won",O227="Lost"),1,IF(O227="Unqualified",0,""))</f>
        <v/>
      </c>
    </row>
    <row r="228" customFormat="false" ht="15" hidden="false" customHeight="true" outlineLevel="0" collapsed="false">
      <c r="A228" s="3" t="s">
        <v>993</v>
      </c>
      <c r="B228" s="9" t="n">
        <v>46033.1326388889</v>
      </c>
      <c r="C228" s="3" t="s">
        <v>160</v>
      </c>
      <c r="D228" s="3" t="s">
        <v>649</v>
      </c>
      <c r="E228" s="3" t="s">
        <v>994</v>
      </c>
      <c r="F228" s="3" t="s">
        <v>54</v>
      </c>
      <c r="G228" s="3" t="s">
        <v>279</v>
      </c>
      <c r="H228" s="3"/>
      <c r="I228" s="3" t="s">
        <v>334</v>
      </c>
      <c r="J228" s="3" t="s">
        <v>108</v>
      </c>
      <c r="K228" s="3" t="s">
        <v>995</v>
      </c>
      <c r="L228" s="3" t="n">
        <v>8</v>
      </c>
      <c r="M228" s="3" t="n">
        <v>6.3</v>
      </c>
      <c r="N228" s="3" t="s">
        <v>96</v>
      </c>
      <c r="O228" s="3" t="s">
        <v>331</v>
      </c>
      <c r="P228" s="10"/>
      <c r="Q228" s="3" t="n">
        <f aca="false">IF(F228="Disposable",1,0)</f>
        <v>0</v>
      </c>
      <c r="R228" s="3" t="n">
        <f aca="false">IF(SUMPRODUCT(--ISNUMBER(SEARCH('Spam Rules'!$A$22:$A$35,K228)))&gt;0,1,0)</f>
        <v>0</v>
      </c>
      <c r="S228" s="3" t="n">
        <f aca="false">IF(AND(F228="Free",G228=""),1,0)</f>
        <v>0</v>
      </c>
      <c r="T228" s="3" t="n">
        <f aca="false">IF(LEN(TRIM(K228))&lt;15,1,0)</f>
        <v>0</v>
      </c>
      <c r="U228" s="3" t="n">
        <f aca="false">IF(COUNTIF($E$2:$E$801,E228)&gt;1,1,0)</f>
        <v>0</v>
      </c>
      <c r="V228" s="3" t="n">
        <f aca="false">Q228*'Spam Rules'!$H$6+R228*'Spam Rules'!$H$7+S228*'Spam Rules'!$H$8+T228*'Spam Rules'!$H$9+U228*'Spam Rules'!$H$10</f>
        <v>0</v>
      </c>
      <c r="W228" s="3" t="str">
        <f aca="false">IF(V228&gt;='Spam Rules'!$B$3,"Likely Spam","Genuine")</f>
        <v>Genuine</v>
      </c>
      <c r="X228" s="3" t="n">
        <f aca="false">IFERROR(INDEX('Scoring Model'!$B$5:$B$11,MATCH(C228,'Scoring Model'!$A$5:$A$11,0)),0)</f>
        <v>25</v>
      </c>
      <c r="Y228" s="3" t="n">
        <f aca="false">IFERROR(INDEX('Scoring Model'!$E$5:$E$7,MATCH(F228,'Scoring Model'!$D$5:$D$7,0)),0)</f>
        <v>0</v>
      </c>
      <c r="Z228" s="3" t="n">
        <f aca="false">IFERROR(INDEX('Scoring Model'!$H$5:$H$13,MATCH(J228,'Scoring Model'!$G$5:$G$13,0)),0)</f>
        <v>15</v>
      </c>
      <c r="AA228" s="3" t="n">
        <f aca="false">IF(L228&gt;='Scoring Model'!$B$14,'Scoring Model'!$B$15,IF(L228&gt;='Scoring Model'!$B$16,'Scoring Model'!$B$17,0))</f>
        <v>15</v>
      </c>
      <c r="AB228" s="3" t="n">
        <f aca="false">IF(SUMPRODUCT(--ISNUMBER(SEARCH('Scoring Model'!$D$16:$D$25,K228)))&gt;0,'Scoring Model'!$B$18,0)</f>
        <v>15</v>
      </c>
      <c r="AC228" s="3" t="n">
        <f aca="false">IF(SUMPRODUCT(--ISNUMBER(SEARCH('Scoring Model'!$G$16:$G$23,K228)))&gt;0,'Scoring Model'!$B$19,0)</f>
        <v>0</v>
      </c>
      <c r="AD228" s="3" t="n">
        <f aca="false">IF(W228="Likely Spam","",SUM(X228:AC228))</f>
        <v>70</v>
      </c>
      <c r="AE228" s="3" t="str">
        <f aca="false">IF(W228="Likely Spam","Spam",IF(AD228&gt;='Scoring Model'!$B$21,"Hot",IF(AD228&gt;='Scoring Model'!$B$22,"Warm","Nurture")))</f>
        <v>Hot</v>
      </c>
      <c r="AF228" s="3" t="str">
        <f aca="false">IF(W228="Likely Spam","Flagged by spam rules",TRIM(IF(X228&gt;=20,"Strong source. ","")&amp;IF(Y228&gt;0,"Company email. ","")&amp;IF(Z228&gt;=15,"High-value product. ","")&amp;IF(AA228&gt;='Scoring Model'!$B$15,"High engagement. ","")&amp;IF(AB228&gt;0,"Buying intent in message. ","")&amp;IF(AC228&lt;0,"Negative intent in message. ","")))</f>
        <v>Strong source. High-value product. High engagement. Buying intent in message.</v>
      </c>
      <c r="AG228" s="11" t="n">
        <f aca="false">IF(W228="Likely Spam","",1/(1+EXP(-('Conversion Model'!$B$5+IFERROR(INDEX('Conversion Model'!$B$8:$B$14,MATCH(C228,'Conversion Model'!$A$8:$A$14,0)),0)+IFERROR(INDEX('Conversion Model'!$E$8:$E$9,MATCH(F228,'Conversion Model'!$D$8:$D$9,0)),0)+IFERROR(INDEX('Conversion Model'!$H$8:$H$12,MATCH(IF(LEFT(J228,8)="Payments","Payments",IF(LEFT(J228,7)="Lending","Lending",J228)),'Conversion Model'!$G$8:$G$12,0)),0)+MIN(L228,15)*'Conversion Model'!$B$17+IF(SUMPRODUCT(--ISNUMBER(SEARCH('Scoring Model'!$D$16:$D$25,K228)))&gt;0,'Conversion Model'!$B$18,0)+IF(SUMPRODUCT(--ISNUMBER(SEARCH('Scoring Model'!$G$16:$G$23,K228)))&gt;0,'Conversion Model'!$B$19,0)))))</f>
        <v>0.944117533944236</v>
      </c>
      <c r="AH228" s="3" t="n">
        <f aca="false">IF(OR(O228="Qualified",O228="Won",O228="Lost"),1,IF(O228="Unqualified",0,""))</f>
        <v>1</v>
      </c>
    </row>
    <row r="229" customFormat="false" ht="15" hidden="false" customHeight="true" outlineLevel="0" collapsed="false">
      <c r="A229" s="3" t="s">
        <v>996</v>
      </c>
      <c r="B229" s="9" t="n">
        <v>46035.4027777778</v>
      </c>
      <c r="C229" s="3" t="s">
        <v>51</v>
      </c>
      <c r="D229" s="3" t="s">
        <v>997</v>
      </c>
      <c r="E229" s="3" t="s">
        <v>998</v>
      </c>
      <c r="F229" s="3" t="s">
        <v>22</v>
      </c>
      <c r="G229" s="3" t="s">
        <v>999</v>
      </c>
      <c r="H229" s="3" t="s">
        <v>1000</v>
      </c>
      <c r="I229" s="3" t="s">
        <v>188</v>
      </c>
      <c r="J229" s="3" t="s">
        <v>245</v>
      </c>
      <c r="K229" s="3" t="s">
        <v>189</v>
      </c>
      <c r="L229" s="3" t="n">
        <v>1</v>
      </c>
      <c r="M229" s="3" t="n">
        <v>4</v>
      </c>
      <c r="N229" s="3" t="s">
        <v>96</v>
      </c>
      <c r="O229" s="3" t="s">
        <v>194</v>
      </c>
      <c r="P229" s="10"/>
      <c r="Q229" s="3" t="n">
        <f aca="false">IF(F229="Disposable",1,0)</f>
        <v>0</v>
      </c>
      <c r="R229" s="3" t="n">
        <f aca="false">IF(SUMPRODUCT(--ISNUMBER(SEARCH('Spam Rules'!$A$22:$A$35,K229)))&gt;0,1,0)</f>
        <v>0</v>
      </c>
      <c r="S229" s="3" t="n">
        <f aca="false">IF(AND(F229="Free",G229=""),1,0)</f>
        <v>0</v>
      </c>
      <c r="T229" s="3" t="n">
        <f aca="false">IF(LEN(TRIM(K229))&lt;15,1,0)</f>
        <v>0</v>
      </c>
      <c r="U229" s="3" t="n">
        <f aca="false">IF(COUNTIF($E$2:$E$801,E229)&gt;1,1,0)</f>
        <v>0</v>
      </c>
      <c r="V229" s="3" t="n">
        <f aca="false">Q229*'Spam Rules'!$H$6+R229*'Spam Rules'!$H$7+S229*'Spam Rules'!$H$8+T229*'Spam Rules'!$H$9+U229*'Spam Rules'!$H$10</f>
        <v>0</v>
      </c>
      <c r="W229" s="3" t="str">
        <f aca="false">IF(V229&gt;='Spam Rules'!$B$3,"Likely Spam","Genuine")</f>
        <v>Genuine</v>
      </c>
      <c r="X229" s="3" t="n">
        <f aca="false">IFERROR(INDEX('Scoring Model'!$B$5:$B$11,MATCH(C229,'Scoring Model'!$A$5:$A$11,0)),0)</f>
        <v>10</v>
      </c>
      <c r="Y229" s="3" t="n">
        <f aca="false">IFERROR(INDEX('Scoring Model'!$E$5:$E$7,MATCH(F229,'Scoring Model'!$D$5:$D$7,0)),0)</f>
        <v>20</v>
      </c>
      <c r="Z229" s="3" t="n">
        <f aca="false">IFERROR(INDEX('Scoring Model'!$H$5:$H$13,MATCH(J229,'Scoring Model'!$G$5:$G$13,0)),0)</f>
        <v>15</v>
      </c>
      <c r="AA229" s="3" t="n">
        <f aca="false">IF(L229&gt;='Scoring Model'!$B$14,'Scoring Model'!$B$15,IF(L229&gt;='Scoring Model'!$B$16,'Scoring Model'!$B$17,0))</f>
        <v>0</v>
      </c>
      <c r="AB229" s="3" t="n">
        <f aca="false">IF(SUMPRODUCT(--ISNUMBER(SEARCH('Scoring Model'!$D$16:$D$25,K229)))&gt;0,'Scoring Model'!$B$18,0)</f>
        <v>15</v>
      </c>
      <c r="AC229" s="3" t="n">
        <f aca="false">IF(SUMPRODUCT(--ISNUMBER(SEARCH('Scoring Model'!$G$16:$G$23,K229)))&gt;0,'Scoring Model'!$B$19,0)</f>
        <v>0</v>
      </c>
      <c r="AD229" s="3" t="n">
        <f aca="false">IF(W229="Likely Spam","",SUM(X229:AC229))</f>
        <v>60</v>
      </c>
      <c r="AE229" s="3" t="str">
        <f aca="false">IF(W229="Likely Spam","Spam",IF(AD229&gt;='Scoring Model'!$B$21,"Hot",IF(AD229&gt;='Scoring Model'!$B$22,"Warm","Nurture")))</f>
        <v>Warm</v>
      </c>
      <c r="AF229" s="3" t="str">
        <f aca="false">IF(W229="Likely Spam","Flagged by spam rules",TRIM(IF(X229&gt;=20,"Strong source. ","")&amp;IF(Y229&gt;0,"Company email. ","")&amp;IF(Z229&gt;=15,"High-value product. ","")&amp;IF(AA229&gt;='Scoring Model'!$B$15,"High engagement. ","")&amp;IF(AB229&gt;0,"Buying intent in message. ","")&amp;IF(AC229&lt;0,"Negative intent in message. ","")))</f>
        <v>Company email. High-value product. Buying intent in message.</v>
      </c>
      <c r="AG229" s="11" t="n">
        <f aca="false">IF(W229="Likely Spam","",1/(1+EXP(-('Conversion Model'!$B$5+IFERROR(INDEX('Conversion Model'!$B$8:$B$14,MATCH(C229,'Conversion Model'!$A$8:$A$14,0)),0)+IFERROR(INDEX('Conversion Model'!$E$8:$E$9,MATCH(F229,'Conversion Model'!$D$8:$D$9,0)),0)+IFERROR(INDEX('Conversion Model'!$H$8:$H$12,MATCH(IF(LEFT(J229,8)="Payments","Payments",IF(LEFT(J229,7)="Lending","Lending",J229)),'Conversion Model'!$G$8:$G$12,0)),0)+MIN(L229,15)*'Conversion Model'!$B$17+IF(SUMPRODUCT(--ISNUMBER(SEARCH('Scoring Model'!$D$16:$D$25,K229)))&gt;0,'Conversion Model'!$B$18,0)+IF(SUMPRODUCT(--ISNUMBER(SEARCH('Scoring Model'!$G$16:$G$23,K229)))&gt;0,'Conversion Model'!$B$19,0)))))</f>
        <v>0.184222106257031</v>
      </c>
      <c r="AH229" s="3" t="n">
        <f aca="false">IF(OR(O229="Qualified",O229="Won",O229="Lost"),1,IF(O229="Unqualified",0,""))</f>
        <v>0</v>
      </c>
    </row>
    <row r="230" customFormat="false" ht="15" hidden="false" customHeight="true" outlineLevel="0" collapsed="false">
      <c r="A230" s="3" t="s">
        <v>1001</v>
      </c>
      <c r="B230" s="9" t="n">
        <v>46035.9145833333</v>
      </c>
      <c r="C230" s="3" t="s">
        <v>76</v>
      </c>
      <c r="D230" s="3" t="s">
        <v>1002</v>
      </c>
      <c r="E230" s="3" t="s">
        <v>1003</v>
      </c>
      <c r="F230" s="3" t="s">
        <v>54</v>
      </c>
      <c r="G230" s="3" t="s">
        <v>79</v>
      </c>
      <c r="H230" s="3"/>
      <c r="I230" s="3" t="s">
        <v>188</v>
      </c>
      <c r="J230" s="3" t="s">
        <v>65</v>
      </c>
      <c r="K230" s="3" t="s">
        <v>657</v>
      </c>
      <c r="L230" s="3" t="n">
        <v>2</v>
      </c>
      <c r="M230" s="3"/>
      <c r="N230" s="3" t="s">
        <v>171</v>
      </c>
      <c r="O230" s="3"/>
      <c r="P230" s="10"/>
      <c r="Q230" s="3" t="n">
        <f aca="false">IF(F230="Disposable",1,0)</f>
        <v>0</v>
      </c>
      <c r="R230" s="3" t="n">
        <f aca="false">IF(SUMPRODUCT(--ISNUMBER(SEARCH('Spam Rules'!$A$22:$A$35,K230)))&gt;0,1,0)</f>
        <v>1</v>
      </c>
      <c r="S230" s="3" t="n">
        <f aca="false">IF(AND(F230="Free",G230=""),1,0)</f>
        <v>0</v>
      </c>
      <c r="T230" s="3" t="n">
        <f aca="false">IF(LEN(TRIM(K230))&lt;15,1,0)</f>
        <v>0</v>
      </c>
      <c r="U230" s="3" t="n">
        <f aca="false">IF(COUNTIF($E$2:$E$801,E230)&gt;1,1,0)</f>
        <v>0</v>
      </c>
      <c r="V230" s="3" t="n">
        <f aca="false">Q230*'Spam Rules'!$H$6+R230*'Spam Rules'!$H$7+S230*'Spam Rules'!$H$8+T230*'Spam Rules'!$H$9+U230*'Spam Rules'!$H$10</f>
        <v>1</v>
      </c>
      <c r="W230" s="3" t="str">
        <f aca="false">IF(V230&gt;='Spam Rules'!$B$3,"Likely Spam","Genuine")</f>
        <v>Likely Spam</v>
      </c>
      <c r="X230" s="3" t="n">
        <f aca="false">IFERROR(INDEX('Scoring Model'!$B$5:$B$11,MATCH(C230,'Scoring Model'!$A$5:$A$11,0)),0)</f>
        <v>0</v>
      </c>
      <c r="Y230" s="3" t="n">
        <f aca="false">IFERROR(INDEX('Scoring Model'!$E$5:$E$7,MATCH(F230,'Scoring Model'!$D$5:$D$7,0)),0)</f>
        <v>0</v>
      </c>
      <c r="Z230" s="3" t="n">
        <f aca="false">IFERROR(INDEX('Scoring Model'!$H$5:$H$13,MATCH(J230,'Scoring Model'!$G$5:$G$13,0)),0)</f>
        <v>0</v>
      </c>
      <c r="AA230" s="3" t="n">
        <f aca="false">IF(L230&gt;='Scoring Model'!$B$14,'Scoring Model'!$B$15,IF(L230&gt;='Scoring Model'!$B$16,'Scoring Model'!$B$17,0))</f>
        <v>0</v>
      </c>
      <c r="AB230" s="3" t="n">
        <f aca="false">IF(SUMPRODUCT(--ISNUMBER(SEARCH('Scoring Model'!$D$16:$D$25,K230)))&gt;0,'Scoring Model'!$B$18,0)</f>
        <v>0</v>
      </c>
      <c r="AC230" s="3" t="n">
        <f aca="false">IF(SUMPRODUCT(--ISNUMBER(SEARCH('Scoring Model'!$G$16:$G$23,K230)))&gt;0,'Scoring Model'!$B$19,0)</f>
        <v>0</v>
      </c>
      <c r="AD230" s="3" t="str">
        <f aca="false">IF(W230="Likely Spam","",SUM(X230:AC230))</f>
        <v/>
      </c>
      <c r="AE230" s="3" t="str">
        <f aca="false">IF(W230="Likely Spam","Spam",IF(AD230&gt;='Scoring Model'!$B$21,"Hot",IF(AD230&gt;='Scoring Model'!$B$22,"Warm","Nurture")))</f>
        <v>Spam</v>
      </c>
      <c r="AF230" s="3" t="str">
        <f aca="false">IF(W230="Likely Spam","Flagged by spam rules",TRIM(IF(X230&gt;=20,"Strong source. ","")&amp;IF(Y230&gt;0,"Company email. ","")&amp;IF(Z230&gt;=15,"High-value product. ","")&amp;IF(AA230&gt;='Scoring Model'!$B$15,"High engagement. ","")&amp;IF(AB230&gt;0,"Buying intent in message. ","")&amp;IF(AC230&lt;0,"Negative intent in message. ","")))</f>
        <v>Flagged by spam rules</v>
      </c>
      <c r="AG230" s="11" t="str">
        <f aca="false">IF(W230="Likely Spam","",1/(1+EXP(-('Conversion Model'!$B$5+IFERROR(INDEX('Conversion Model'!$B$8:$B$14,MATCH(C230,'Conversion Model'!$A$8:$A$14,0)),0)+IFERROR(INDEX('Conversion Model'!$E$8:$E$9,MATCH(F230,'Conversion Model'!$D$8:$D$9,0)),0)+IFERROR(INDEX('Conversion Model'!$H$8:$H$12,MATCH(IF(LEFT(J230,8)="Payments","Payments",IF(LEFT(J230,7)="Lending","Lending",J230)),'Conversion Model'!$G$8:$G$12,0)),0)+MIN(L230,15)*'Conversion Model'!$B$17+IF(SUMPRODUCT(--ISNUMBER(SEARCH('Scoring Model'!$D$16:$D$25,K230)))&gt;0,'Conversion Model'!$B$18,0)+IF(SUMPRODUCT(--ISNUMBER(SEARCH('Scoring Model'!$G$16:$G$23,K230)))&gt;0,'Conversion Model'!$B$19,0)))))</f>
        <v/>
      </c>
      <c r="AH230" s="3" t="str">
        <f aca="false">IF(OR(O230="Qualified",O230="Won",O230="Lost"),1,IF(O230="Unqualified",0,""))</f>
        <v/>
      </c>
    </row>
    <row r="231" customFormat="false" ht="15" hidden="false" customHeight="true" outlineLevel="0" collapsed="false">
      <c r="A231" s="3" t="s">
        <v>1004</v>
      </c>
      <c r="B231" s="9" t="n">
        <v>46035.9270833333</v>
      </c>
      <c r="C231" s="3" t="s">
        <v>135</v>
      </c>
      <c r="D231" s="3" t="s">
        <v>495</v>
      </c>
      <c r="E231" s="3" t="s">
        <v>1005</v>
      </c>
      <c r="F231" s="3" t="s">
        <v>54</v>
      </c>
      <c r="G231" s="3" t="s">
        <v>1006</v>
      </c>
      <c r="H231" s="3"/>
      <c r="I231" s="3" t="s">
        <v>139</v>
      </c>
      <c r="J231" s="3" t="s">
        <v>122</v>
      </c>
      <c r="K231" s="3" t="s">
        <v>74</v>
      </c>
      <c r="L231" s="3" t="n">
        <v>4</v>
      </c>
      <c r="M231" s="3" t="n">
        <v>43.3</v>
      </c>
      <c r="N231" s="3" t="s">
        <v>96</v>
      </c>
      <c r="O231" s="3" t="s">
        <v>194</v>
      </c>
      <c r="P231" s="10"/>
      <c r="Q231" s="3" t="n">
        <f aca="false">IF(F231="Disposable",1,0)</f>
        <v>0</v>
      </c>
      <c r="R231" s="3" t="n">
        <f aca="false">IF(SUMPRODUCT(--ISNUMBER(SEARCH('Spam Rules'!$A$22:$A$35,K231)))&gt;0,1,0)</f>
        <v>0</v>
      </c>
      <c r="S231" s="3" t="n">
        <f aca="false">IF(AND(F231="Free",G231=""),1,0)</f>
        <v>0</v>
      </c>
      <c r="T231" s="3" t="n">
        <f aca="false">IF(LEN(TRIM(K231))&lt;15,1,0)</f>
        <v>0</v>
      </c>
      <c r="U231" s="3" t="n">
        <f aca="false">IF(COUNTIF($E$2:$E$801,E231)&gt;1,1,0)</f>
        <v>0</v>
      </c>
      <c r="V231" s="3" t="n">
        <f aca="false">Q231*'Spam Rules'!$H$6+R231*'Spam Rules'!$H$7+S231*'Spam Rules'!$H$8+T231*'Spam Rules'!$H$9+U231*'Spam Rules'!$H$10</f>
        <v>0</v>
      </c>
      <c r="W231" s="3" t="str">
        <f aca="false">IF(V231&gt;='Spam Rules'!$B$3,"Likely Spam","Genuine")</f>
        <v>Genuine</v>
      </c>
      <c r="X231" s="3" t="n">
        <f aca="false">IFERROR(INDEX('Scoring Model'!$B$5:$B$11,MATCH(C231,'Scoring Model'!$A$5:$A$11,0)),0)</f>
        <v>20</v>
      </c>
      <c r="Y231" s="3" t="n">
        <f aca="false">IFERROR(INDEX('Scoring Model'!$E$5:$E$7,MATCH(F231,'Scoring Model'!$D$5:$D$7,0)),0)</f>
        <v>0</v>
      </c>
      <c r="Z231" s="3" t="n">
        <f aca="false">IFERROR(INDEX('Scoring Model'!$H$5:$H$13,MATCH(J231,'Scoring Model'!$G$5:$G$13,0)),0)</f>
        <v>15</v>
      </c>
      <c r="AA231" s="3" t="n">
        <f aca="false">IF(L231&gt;='Scoring Model'!$B$14,'Scoring Model'!$B$15,IF(L231&gt;='Scoring Model'!$B$16,'Scoring Model'!$B$17,0))</f>
        <v>8</v>
      </c>
      <c r="AB231" s="3" t="n">
        <f aca="false">IF(SUMPRODUCT(--ISNUMBER(SEARCH('Scoring Model'!$D$16:$D$25,K231)))&gt;0,'Scoring Model'!$B$18,0)</f>
        <v>0</v>
      </c>
      <c r="AC231" s="3" t="n">
        <f aca="false">IF(SUMPRODUCT(--ISNUMBER(SEARCH('Scoring Model'!$G$16:$G$23,K231)))&gt;0,'Scoring Model'!$B$19,0)</f>
        <v>-30</v>
      </c>
      <c r="AD231" s="3" t="n">
        <f aca="false">IF(W231="Likely Spam","",SUM(X231:AC231))</f>
        <v>13</v>
      </c>
      <c r="AE231" s="3" t="str">
        <f aca="false">IF(W231="Likely Spam","Spam",IF(AD231&gt;='Scoring Model'!$B$21,"Hot",IF(AD231&gt;='Scoring Model'!$B$22,"Warm","Nurture")))</f>
        <v>Nurture</v>
      </c>
      <c r="AF231" s="3" t="str">
        <f aca="false">IF(W231="Likely Spam","Flagged by spam rules",TRIM(IF(X231&gt;=20,"Strong source. ","")&amp;IF(Y231&gt;0,"Company email. ","")&amp;IF(Z231&gt;=15,"High-value product. ","")&amp;IF(AA231&gt;='Scoring Model'!$B$15,"High engagement. ","")&amp;IF(AB231&gt;0,"Buying intent in message. ","")&amp;IF(AC231&lt;0,"Negative intent in message. ","")))</f>
        <v>Strong source. High-value product. Negative intent in message.</v>
      </c>
      <c r="AG231" s="11" t="n">
        <f aca="false">IF(W231="Likely Spam","",1/(1+EXP(-('Conversion Model'!$B$5+IFERROR(INDEX('Conversion Model'!$B$8:$B$14,MATCH(C231,'Conversion Model'!$A$8:$A$14,0)),0)+IFERROR(INDEX('Conversion Model'!$E$8:$E$9,MATCH(F231,'Conversion Model'!$D$8:$D$9,0)),0)+IFERROR(INDEX('Conversion Model'!$H$8:$H$12,MATCH(IF(LEFT(J231,8)="Payments","Payments",IF(LEFT(J231,7)="Lending","Lending",J231)),'Conversion Model'!$G$8:$G$12,0)),0)+MIN(L231,15)*'Conversion Model'!$B$17+IF(SUMPRODUCT(--ISNUMBER(SEARCH('Scoring Model'!$D$16:$D$25,K231)))&gt;0,'Conversion Model'!$B$18,0)+IF(SUMPRODUCT(--ISNUMBER(SEARCH('Scoring Model'!$G$16:$G$23,K231)))&gt;0,'Conversion Model'!$B$19,0)))))</f>
        <v>0.0284429407154362</v>
      </c>
      <c r="AH231" s="3" t="n">
        <f aca="false">IF(OR(O231="Qualified",O231="Won",O231="Lost"),1,IF(O231="Unqualified",0,""))</f>
        <v>0</v>
      </c>
    </row>
    <row r="232" customFormat="false" ht="15" hidden="false" customHeight="true" outlineLevel="0" collapsed="false">
      <c r="A232" s="3" t="s">
        <v>1007</v>
      </c>
      <c r="B232" s="9" t="n">
        <v>46036.7034722222</v>
      </c>
      <c r="C232" s="3" t="s">
        <v>128</v>
      </c>
      <c r="D232" s="3" t="s">
        <v>1008</v>
      </c>
      <c r="E232" s="3" t="s">
        <v>1009</v>
      </c>
      <c r="F232" s="3" t="s">
        <v>22</v>
      </c>
      <c r="G232" s="3" t="s">
        <v>474</v>
      </c>
      <c r="H232" s="3" t="s">
        <v>1010</v>
      </c>
      <c r="I232" s="3" t="s">
        <v>64</v>
      </c>
      <c r="J232" s="3" t="s">
        <v>81</v>
      </c>
      <c r="K232" s="3" t="s">
        <v>189</v>
      </c>
      <c r="L232" s="3" t="n">
        <v>12</v>
      </c>
      <c r="M232" s="3" t="n">
        <v>9.2</v>
      </c>
      <c r="N232" s="3" t="s">
        <v>171</v>
      </c>
      <c r="O232" s="3" t="s">
        <v>110</v>
      </c>
      <c r="P232" s="10"/>
      <c r="Q232" s="3" t="n">
        <f aca="false">IF(F232="Disposable",1,0)</f>
        <v>0</v>
      </c>
      <c r="R232" s="3" t="n">
        <f aca="false">IF(SUMPRODUCT(--ISNUMBER(SEARCH('Spam Rules'!$A$22:$A$35,K232)))&gt;0,1,0)</f>
        <v>0</v>
      </c>
      <c r="S232" s="3" t="n">
        <f aca="false">IF(AND(F232="Free",G232=""),1,0)</f>
        <v>0</v>
      </c>
      <c r="T232" s="3" t="n">
        <f aca="false">IF(LEN(TRIM(K232))&lt;15,1,0)</f>
        <v>0</v>
      </c>
      <c r="U232" s="3" t="n">
        <f aca="false">IF(COUNTIF($E$2:$E$801,E232)&gt;1,1,0)</f>
        <v>0</v>
      </c>
      <c r="V232" s="3" t="n">
        <f aca="false">Q232*'Spam Rules'!$H$6+R232*'Spam Rules'!$H$7+S232*'Spam Rules'!$H$8+T232*'Spam Rules'!$H$9+U232*'Spam Rules'!$H$10</f>
        <v>0</v>
      </c>
      <c r="W232" s="3" t="str">
        <f aca="false">IF(V232&gt;='Spam Rules'!$B$3,"Likely Spam","Genuine")</f>
        <v>Genuine</v>
      </c>
      <c r="X232" s="3" t="n">
        <f aca="false">IFERROR(INDEX('Scoring Model'!$B$5:$B$11,MATCH(C232,'Scoring Model'!$A$5:$A$11,0)),0)</f>
        <v>30</v>
      </c>
      <c r="Y232" s="3" t="n">
        <f aca="false">IFERROR(INDEX('Scoring Model'!$E$5:$E$7,MATCH(F232,'Scoring Model'!$D$5:$D$7,0)),0)</f>
        <v>20</v>
      </c>
      <c r="Z232" s="3" t="n">
        <f aca="false">IFERROR(INDEX('Scoring Model'!$H$5:$H$13,MATCH(J232,'Scoring Model'!$G$5:$G$13,0)),0)</f>
        <v>5</v>
      </c>
      <c r="AA232" s="3" t="n">
        <f aca="false">IF(L232&gt;='Scoring Model'!$B$14,'Scoring Model'!$B$15,IF(L232&gt;='Scoring Model'!$B$16,'Scoring Model'!$B$17,0))</f>
        <v>15</v>
      </c>
      <c r="AB232" s="3" t="n">
        <f aca="false">IF(SUMPRODUCT(--ISNUMBER(SEARCH('Scoring Model'!$D$16:$D$25,K232)))&gt;0,'Scoring Model'!$B$18,0)</f>
        <v>15</v>
      </c>
      <c r="AC232" s="3" t="n">
        <f aca="false">IF(SUMPRODUCT(--ISNUMBER(SEARCH('Scoring Model'!$G$16:$G$23,K232)))&gt;0,'Scoring Model'!$B$19,0)</f>
        <v>0</v>
      </c>
      <c r="AD232" s="3" t="n">
        <f aca="false">IF(W232="Likely Spam","",SUM(X232:AC232))</f>
        <v>85</v>
      </c>
      <c r="AE232" s="3" t="str">
        <f aca="false">IF(W232="Likely Spam","Spam",IF(AD232&gt;='Scoring Model'!$B$21,"Hot",IF(AD232&gt;='Scoring Model'!$B$22,"Warm","Nurture")))</f>
        <v>Hot</v>
      </c>
      <c r="AF232" s="3" t="str">
        <f aca="false">IF(W232="Likely Spam","Flagged by spam rules",TRIM(IF(X232&gt;=20,"Strong source. ","")&amp;IF(Y232&gt;0,"Company email. ","")&amp;IF(Z232&gt;=15,"High-value product. ","")&amp;IF(AA232&gt;='Scoring Model'!$B$15,"High engagement. ","")&amp;IF(AB232&gt;0,"Buying intent in message. ","")&amp;IF(AC232&lt;0,"Negative intent in message. ","")))</f>
        <v>Strong source. Company email. High engagement. Buying intent in message.</v>
      </c>
      <c r="AG232" s="11" t="n">
        <f aca="false">IF(W232="Likely Spam","",1/(1+EXP(-('Conversion Model'!$B$5+IFERROR(INDEX('Conversion Model'!$B$8:$B$14,MATCH(C232,'Conversion Model'!$A$8:$A$14,0)),0)+IFERROR(INDEX('Conversion Model'!$E$8:$E$9,MATCH(F232,'Conversion Model'!$D$8:$D$9,0)),0)+IFERROR(INDEX('Conversion Model'!$H$8:$H$12,MATCH(IF(LEFT(J232,8)="Payments","Payments",IF(LEFT(J232,7)="Lending","Lending",J232)),'Conversion Model'!$G$8:$G$12,0)),0)+MIN(L232,15)*'Conversion Model'!$B$17+IF(SUMPRODUCT(--ISNUMBER(SEARCH('Scoring Model'!$D$16:$D$25,K232)))&gt;0,'Conversion Model'!$B$18,0)+IF(SUMPRODUCT(--ISNUMBER(SEARCH('Scoring Model'!$G$16:$G$23,K232)))&gt;0,'Conversion Model'!$B$19,0)))))</f>
        <v>0.999260650360026</v>
      </c>
      <c r="AH232" s="3" t="n">
        <f aca="false">IF(OR(O232="Qualified",O232="Won",O232="Lost"),1,IF(O232="Unqualified",0,""))</f>
        <v>1</v>
      </c>
    </row>
    <row r="233" customFormat="false" ht="15" hidden="false" customHeight="true" outlineLevel="0" collapsed="false">
      <c r="A233" s="3" t="s">
        <v>1011</v>
      </c>
      <c r="B233" s="9" t="n">
        <v>46036.79375</v>
      </c>
      <c r="C233" s="3" t="s">
        <v>135</v>
      </c>
      <c r="D233" s="3" t="s">
        <v>1012</v>
      </c>
      <c r="E233" s="3" t="s">
        <v>1013</v>
      </c>
      <c r="F233" s="3" t="s">
        <v>54</v>
      </c>
      <c r="G233" s="3" t="s">
        <v>1014</v>
      </c>
      <c r="H233" s="3"/>
      <c r="I233" s="3" t="s">
        <v>80</v>
      </c>
      <c r="J233" s="3" t="s">
        <v>65</v>
      </c>
      <c r="K233" s="3" t="s">
        <v>349</v>
      </c>
      <c r="L233" s="3" t="n">
        <v>1</v>
      </c>
      <c r="M233" s="3" t="n">
        <v>17.5</v>
      </c>
      <c r="N233" s="3" t="s">
        <v>67</v>
      </c>
      <c r="O233" s="3"/>
      <c r="P233" s="10"/>
      <c r="Q233" s="3" t="n">
        <f aca="false">IF(F233="Disposable",1,0)</f>
        <v>0</v>
      </c>
      <c r="R233" s="3" t="n">
        <f aca="false">IF(SUMPRODUCT(--ISNUMBER(SEARCH('Spam Rules'!$A$22:$A$35,K233)))&gt;0,1,0)</f>
        <v>0</v>
      </c>
      <c r="S233" s="3" t="n">
        <f aca="false">IF(AND(F233="Free",G233=""),1,0)</f>
        <v>0</v>
      </c>
      <c r="T233" s="3" t="n">
        <f aca="false">IF(LEN(TRIM(K233))&lt;15,1,0)</f>
        <v>0</v>
      </c>
      <c r="U233" s="3" t="n">
        <f aca="false">IF(COUNTIF($E$2:$E$801,E233)&gt;1,1,0)</f>
        <v>0</v>
      </c>
      <c r="V233" s="3" t="n">
        <f aca="false">Q233*'Spam Rules'!$H$6+R233*'Spam Rules'!$H$7+S233*'Spam Rules'!$H$8+T233*'Spam Rules'!$H$9+U233*'Spam Rules'!$H$10</f>
        <v>0</v>
      </c>
      <c r="W233" s="3" t="str">
        <f aca="false">IF(V233&gt;='Spam Rules'!$B$3,"Likely Spam","Genuine")</f>
        <v>Genuine</v>
      </c>
      <c r="X233" s="3" t="n">
        <f aca="false">IFERROR(INDEX('Scoring Model'!$B$5:$B$11,MATCH(C233,'Scoring Model'!$A$5:$A$11,0)),0)</f>
        <v>20</v>
      </c>
      <c r="Y233" s="3" t="n">
        <f aca="false">IFERROR(INDEX('Scoring Model'!$E$5:$E$7,MATCH(F233,'Scoring Model'!$D$5:$D$7,0)),0)</f>
        <v>0</v>
      </c>
      <c r="Z233" s="3" t="n">
        <f aca="false">IFERROR(INDEX('Scoring Model'!$H$5:$H$13,MATCH(J233,'Scoring Model'!$G$5:$G$13,0)),0)</f>
        <v>0</v>
      </c>
      <c r="AA233" s="3" t="n">
        <f aca="false">IF(L233&gt;='Scoring Model'!$B$14,'Scoring Model'!$B$15,IF(L233&gt;='Scoring Model'!$B$16,'Scoring Model'!$B$17,0))</f>
        <v>0</v>
      </c>
      <c r="AB233" s="3" t="n">
        <f aca="false">IF(SUMPRODUCT(--ISNUMBER(SEARCH('Scoring Model'!$D$16:$D$25,K233)))&gt;0,'Scoring Model'!$B$18,0)</f>
        <v>0</v>
      </c>
      <c r="AC233" s="3" t="n">
        <f aca="false">IF(SUMPRODUCT(--ISNUMBER(SEARCH('Scoring Model'!$G$16:$G$23,K233)))&gt;0,'Scoring Model'!$B$19,0)</f>
        <v>-30</v>
      </c>
      <c r="AD233" s="3" t="n">
        <f aca="false">IF(W233="Likely Spam","",SUM(X233:AC233))</f>
        <v>-10</v>
      </c>
      <c r="AE233" s="3" t="str">
        <f aca="false">IF(W233="Likely Spam","Spam",IF(AD233&gt;='Scoring Model'!$B$21,"Hot",IF(AD233&gt;='Scoring Model'!$B$22,"Warm","Nurture")))</f>
        <v>Nurture</v>
      </c>
      <c r="AF233" s="3" t="str">
        <f aca="false">IF(W233="Likely Spam","Flagged by spam rules",TRIM(IF(X233&gt;=20,"Strong source. ","")&amp;IF(Y233&gt;0,"Company email. ","")&amp;IF(Z233&gt;=15,"High-value product. ","")&amp;IF(AA233&gt;='Scoring Model'!$B$15,"High engagement. ","")&amp;IF(AB233&gt;0,"Buying intent in message. ","")&amp;IF(AC233&lt;0,"Negative intent in message. ","")))</f>
        <v>Strong source. Negative intent in message.</v>
      </c>
      <c r="AG233" s="11" t="n">
        <f aca="false">IF(W233="Likely Spam","",1/(1+EXP(-('Conversion Model'!$B$5+IFERROR(INDEX('Conversion Model'!$B$8:$B$14,MATCH(C233,'Conversion Model'!$A$8:$A$14,0)),0)+IFERROR(INDEX('Conversion Model'!$E$8:$E$9,MATCH(F233,'Conversion Model'!$D$8:$D$9,0)),0)+IFERROR(INDEX('Conversion Model'!$H$8:$H$12,MATCH(IF(LEFT(J233,8)="Payments","Payments",IF(LEFT(J233,7)="Lending","Lending",J233)),'Conversion Model'!$G$8:$G$12,0)),0)+MIN(L233,15)*'Conversion Model'!$B$17+IF(SUMPRODUCT(--ISNUMBER(SEARCH('Scoring Model'!$D$16:$D$25,K233)))&gt;0,'Conversion Model'!$B$18,0)+IF(SUMPRODUCT(--ISNUMBER(SEARCH('Scoring Model'!$G$16:$G$23,K233)))&gt;0,'Conversion Model'!$B$19,0)))))</f>
        <v>0.00222449141000268</v>
      </c>
      <c r="AH233" s="3" t="str">
        <f aca="false">IF(OR(O233="Qualified",O233="Won",O233="Lost"),1,IF(O233="Unqualified",0,""))</f>
        <v/>
      </c>
    </row>
    <row r="234" customFormat="false" ht="15" hidden="false" customHeight="true" outlineLevel="0" collapsed="false">
      <c r="A234" s="3" t="s">
        <v>1015</v>
      </c>
      <c r="B234" s="9" t="n">
        <v>46036.7944444444</v>
      </c>
      <c r="C234" s="3" t="s">
        <v>51</v>
      </c>
      <c r="D234" s="3" t="s">
        <v>1016</v>
      </c>
      <c r="E234" s="3" t="s">
        <v>1017</v>
      </c>
      <c r="F234" s="3" t="s">
        <v>63</v>
      </c>
      <c r="G234" s="3"/>
      <c r="H234" s="3"/>
      <c r="I234" s="3" t="s">
        <v>64</v>
      </c>
      <c r="J234" s="3" t="s">
        <v>122</v>
      </c>
      <c r="K234" s="3" t="s">
        <v>66</v>
      </c>
      <c r="L234" s="3" t="n">
        <v>2</v>
      </c>
      <c r="M234" s="3" t="n">
        <v>14.6</v>
      </c>
      <c r="N234" s="3" t="s">
        <v>67</v>
      </c>
      <c r="O234" s="3"/>
      <c r="P234" s="10"/>
      <c r="Q234" s="3" t="n">
        <f aca="false">IF(F234="Disposable",1,0)</f>
        <v>1</v>
      </c>
      <c r="R234" s="3" t="n">
        <f aca="false">IF(SUMPRODUCT(--ISNUMBER(SEARCH('Spam Rules'!$A$22:$A$35,K234)))&gt;0,1,0)</f>
        <v>1</v>
      </c>
      <c r="S234" s="3" t="n">
        <f aca="false">IF(AND(F234="Free",G234=""),1,0)</f>
        <v>0</v>
      </c>
      <c r="T234" s="3" t="n">
        <f aca="false">IF(LEN(TRIM(K234))&lt;15,1,0)</f>
        <v>0</v>
      </c>
      <c r="U234" s="3" t="n">
        <f aca="false">IF(COUNTIF($E$2:$E$801,E234)&gt;1,1,0)</f>
        <v>0</v>
      </c>
      <c r="V234" s="3" t="n">
        <f aca="false">Q234*'Spam Rules'!$H$6+R234*'Spam Rules'!$H$7+S234*'Spam Rules'!$H$8+T234*'Spam Rules'!$H$9+U234*'Spam Rules'!$H$10</f>
        <v>2</v>
      </c>
      <c r="W234" s="3" t="str">
        <f aca="false">IF(V234&gt;='Spam Rules'!$B$3,"Likely Spam","Genuine")</f>
        <v>Likely Spam</v>
      </c>
      <c r="X234" s="3" t="n">
        <f aca="false">IFERROR(INDEX('Scoring Model'!$B$5:$B$11,MATCH(C234,'Scoring Model'!$A$5:$A$11,0)),0)</f>
        <v>10</v>
      </c>
      <c r="Y234" s="3" t="n">
        <f aca="false">IFERROR(INDEX('Scoring Model'!$E$5:$E$7,MATCH(F234,'Scoring Model'!$D$5:$D$7,0)),0)</f>
        <v>0</v>
      </c>
      <c r="Z234" s="3" t="n">
        <f aca="false">IFERROR(INDEX('Scoring Model'!$H$5:$H$13,MATCH(J234,'Scoring Model'!$G$5:$G$13,0)),0)</f>
        <v>15</v>
      </c>
      <c r="AA234" s="3" t="n">
        <f aca="false">IF(L234&gt;='Scoring Model'!$B$14,'Scoring Model'!$B$15,IF(L234&gt;='Scoring Model'!$B$16,'Scoring Model'!$B$17,0))</f>
        <v>0</v>
      </c>
      <c r="AB234" s="3" t="n">
        <f aca="false">IF(SUMPRODUCT(--ISNUMBER(SEARCH('Scoring Model'!$D$16:$D$25,K234)))&gt;0,'Scoring Model'!$B$18,0)</f>
        <v>0</v>
      </c>
      <c r="AC234" s="3" t="n">
        <f aca="false">IF(SUMPRODUCT(--ISNUMBER(SEARCH('Scoring Model'!$G$16:$G$23,K234)))&gt;0,'Scoring Model'!$B$19,0)</f>
        <v>0</v>
      </c>
      <c r="AD234" s="3" t="str">
        <f aca="false">IF(W234="Likely Spam","",SUM(X234:AC234))</f>
        <v/>
      </c>
      <c r="AE234" s="3" t="str">
        <f aca="false">IF(W234="Likely Spam","Spam",IF(AD234&gt;='Scoring Model'!$B$21,"Hot",IF(AD234&gt;='Scoring Model'!$B$22,"Warm","Nurture")))</f>
        <v>Spam</v>
      </c>
      <c r="AF234" s="3" t="str">
        <f aca="false">IF(W234="Likely Spam","Flagged by spam rules",TRIM(IF(X234&gt;=20,"Strong source. ","")&amp;IF(Y234&gt;0,"Company email. ","")&amp;IF(Z234&gt;=15,"High-value product. ","")&amp;IF(AA234&gt;='Scoring Model'!$B$15,"High engagement. ","")&amp;IF(AB234&gt;0,"Buying intent in message. ","")&amp;IF(AC234&lt;0,"Negative intent in message. ","")))</f>
        <v>Flagged by spam rules</v>
      </c>
      <c r="AG234" s="11" t="str">
        <f aca="false">IF(W234="Likely Spam","",1/(1+EXP(-('Conversion Model'!$B$5+IFERROR(INDEX('Conversion Model'!$B$8:$B$14,MATCH(C234,'Conversion Model'!$A$8:$A$14,0)),0)+IFERROR(INDEX('Conversion Model'!$E$8:$E$9,MATCH(F234,'Conversion Model'!$D$8:$D$9,0)),0)+IFERROR(INDEX('Conversion Model'!$H$8:$H$12,MATCH(IF(LEFT(J234,8)="Payments","Payments",IF(LEFT(J234,7)="Lending","Lending",J234)),'Conversion Model'!$G$8:$G$12,0)),0)+MIN(L234,15)*'Conversion Model'!$B$17+IF(SUMPRODUCT(--ISNUMBER(SEARCH('Scoring Model'!$D$16:$D$25,K234)))&gt;0,'Conversion Model'!$B$18,0)+IF(SUMPRODUCT(--ISNUMBER(SEARCH('Scoring Model'!$G$16:$G$23,K234)))&gt;0,'Conversion Model'!$B$19,0)))))</f>
        <v/>
      </c>
      <c r="AH234" s="3" t="str">
        <f aca="false">IF(OR(O234="Qualified",O234="Won",O234="Lost"),1,IF(O234="Unqualified",0,""))</f>
        <v/>
      </c>
    </row>
    <row r="235" customFormat="false" ht="15" hidden="false" customHeight="true" outlineLevel="0" collapsed="false">
      <c r="A235" s="3" t="s">
        <v>1018</v>
      </c>
      <c r="B235" s="9" t="n">
        <v>46036.8840277778</v>
      </c>
      <c r="C235" s="3" t="s">
        <v>51</v>
      </c>
      <c r="D235" s="3" t="s">
        <v>869</v>
      </c>
      <c r="E235" s="3" t="s">
        <v>1019</v>
      </c>
      <c r="F235" s="3" t="s">
        <v>63</v>
      </c>
      <c r="G235" s="3"/>
      <c r="H235" s="3"/>
      <c r="I235" s="3" t="s">
        <v>73</v>
      </c>
      <c r="J235" s="3" t="s">
        <v>81</v>
      </c>
      <c r="K235" s="3" t="s">
        <v>82</v>
      </c>
      <c r="L235" s="3" t="n">
        <v>2</v>
      </c>
      <c r="M235" s="3" t="n">
        <v>56.8</v>
      </c>
      <c r="N235" s="3" t="s">
        <v>59</v>
      </c>
      <c r="O235" s="3"/>
      <c r="P235" s="10"/>
      <c r="Q235" s="3" t="n">
        <f aca="false">IF(F235="Disposable",1,0)</f>
        <v>1</v>
      </c>
      <c r="R235" s="3" t="n">
        <f aca="false">IF(SUMPRODUCT(--ISNUMBER(SEARCH('Spam Rules'!$A$22:$A$35,K235)))&gt;0,1,0)</f>
        <v>1</v>
      </c>
      <c r="S235" s="3" t="n">
        <f aca="false">IF(AND(F235="Free",G235=""),1,0)</f>
        <v>0</v>
      </c>
      <c r="T235" s="3" t="n">
        <f aca="false">IF(LEN(TRIM(K235))&lt;15,1,0)</f>
        <v>0</v>
      </c>
      <c r="U235" s="3" t="n">
        <f aca="false">IF(COUNTIF($E$2:$E$801,E235)&gt;1,1,0)</f>
        <v>0</v>
      </c>
      <c r="V235" s="3" t="n">
        <f aca="false">Q235*'Spam Rules'!$H$6+R235*'Spam Rules'!$H$7+S235*'Spam Rules'!$H$8+T235*'Spam Rules'!$H$9+U235*'Spam Rules'!$H$10</f>
        <v>2</v>
      </c>
      <c r="W235" s="3" t="str">
        <f aca="false">IF(V235&gt;='Spam Rules'!$B$3,"Likely Spam","Genuine")</f>
        <v>Likely Spam</v>
      </c>
      <c r="X235" s="3" t="n">
        <f aca="false">IFERROR(INDEX('Scoring Model'!$B$5:$B$11,MATCH(C235,'Scoring Model'!$A$5:$A$11,0)),0)</f>
        <v>10</v>
      </c>
      <c r="Y235" s="3" t="n">
        <f aca="false">IFERROR(INDEX('Scoring Model'!$E$5:$E$7,MATCH(F235,'Scoring Model'!$D$5:$D$7,0)),0)</f>
        <v>0</v>
      </c>
      <c r="Z235" s="3" t="n">
        <f aca="false">IFERROR(INDEX('Scoring Model'!$H$5:$H$13,MATCH(J235,'Scoring Model'!$G$5:$G$13,0)),0)</f>
        <v>5</v>
      </c>
      <c r="AA235" s="3" t="n">
        <f aca="false">IF(L235&gt;='Scoring Model'!$B$14,'Scoring Model'!$B$15,IF(L235&gt;='Scoring Model'!$B$16,'Scoring Model'!$B$17,0))</f>
        <v>0</v>
      </c>
      <c r="AB235" s="3" t="n">
        <f aca="false">IF(SUMPRODUCT(--ISNUMBER(SEARCH('Scoring Model'!$D$16:$D$25,K235)))&gt;0,'Scoring Model'!$B$18,0)</f>
        <v>0</v>
      </c>
      <c r="AC235" s="3" t="n">
        <f aca="false">IF(SUMPRODUCT(--ISNUMBER(SEARCH('Scoring Model'!$G$16:$G$23,K235)))&gt;0,'Scoring Model'!$B$19,0)</f>
        <v>0</v>
      </c>
      <c r="AD235" s="3" t="str">
        <f aca="false">IF(W235="Likely Spam","",SUM(X235:AC235))</f>
        <v/>
      </c>
      <c r="AE235" s="3" t="str">
        <f aca="false">IF(W235="Likely Spam","Spam",IF(AD235&gt;='Scoring Model'!$B$21,"Hot",IF(AD235&gt;='Scoring Model'!$B$22,"Warm","Nurture")))</f>
        <v>Spam</v>
      </c>
      <c r="AF235" s="3" t="str">
        <f aca="false">IF(W235="Likely Spam","Flagged by spam rules",TRIM(IF(X235&gt;=20,"Strong source. ","")&amp;IF(Y235&gt;0,"Company email. ","")&amp;IF(Z235&gt;=15,"High-value product. ","")&amp;IF(AA235&gt;='Scoring Model'!$B$15,"High engagement. ","")&amp;IF(AB235&gt;0,"Buying intent in message. ","")&amp;IF(AC235&lt;0,"Negative intent in message. ","")))</f>
        <v>Flagged by spam rules</v>
      </c>
      <c r="AG235" s="11" t="str">
        <f aca="false">IF(W235="Likely Spam","",1/(1+EXP(-('Conversion Model'!$B$5+IFERROR(INDEX('Conversion Model'!$B$8:$B$14,MATCH(C235,'Conversion Model'!$A$8:$A$14,0)),0)+IFERROR(INDEX('Conversion Model'!$E$8:$E$9,MATCH(F235,'Conversion Model'!$D$8:$D$9,0)),0)+IFERROR(INDEX('Conversion Model'!$H$8:$H$12,MATCH(IF(LEFT(J235,8)="Payments","Payments",IF(LEFT(J235,7)="Lending","Lending",J235)),'Conversion Model'!$G$8:$G$12,0)),0)+MIN(L235,15)*'Conversion Model'!$B$17+IF(SUMPRODUCT(--ISNUMBER(SEARCH('Scoring Model'!$D$16:$D$25,K235)))&gt;0,'Conversion Model'!$B$18,0)+IF(SUMPRODUCT(--ISNUMBER(SEARCH('Scoring Model'!$G$16:$G$23,K235)))&gt;0,'Conversion Model'!$B$19,0)))))</f>
        <v/>
      </c>
      <c r="AH235" s="3" t="str">
        <f aca="false">IF(OR(O235="Qualified",O235="Won",O235="Lost"),1,IF(O235="Unqualified",0,""))</f>
        <v/>
      </c>
    </row>
    <row r="236" customFormat="false" ht="15" hidden="false" customHeight="true" outlineLevel="0" collapsed="false">
      <c r="A236" s="3" t="s">
        <v>1020</v>
      </c>
      <c r="B236" s="9" t="n">
        <v>46038.2444444444</v>
      </c>
      <c r="C236" s="3" t="s">
        <v>51</v>
      </c>
      <c r="D236" s="3" t="s">
        <v>1021</v>
      </c>
      <c r="E236" s="3" t="s">
        <v>1022</v>
      </c>
      <c r="F236" s="3" t="s">
        <v>22</v>
      </c>
      <c r="G236" s="3" t="s">
        <v>321</v>
      </c>
      <c r="H236" s="3" t="s">
        <v>388</v>
      </c>
      <c r="I236" s="3" t="s">
        <v>56</v>
      </c>
      <c r="J236" s="3" t="s">
        <v>65</v>
      </c>
      <c r="K236" s="3" t="s">
        <v>66</v>
      </c>
      <c r="L236" s="3" t="n">
        <v>2</v>
      </c>
      <c r="M236" s="3" t="n">
        <v>43.3</v>
      </c>
      <c r="N236" s="3" t="s">
        <v>67</v>
      </c>
      <c r="O236" s="3"/>
      <c r="P236" s="10"/>
      <c r="Q236" s="3" t="n">
        <f aca="false">IF(F236="Disposable",1,0)</f>
        <v>0</v>
      </c>
      <c r="R236" s="3" t="n">
        <f aca="false">IF(SUMPRODUCT(--ISNUMBER(SEARCH('Spam Rules'!$A$22:$A$35,K236)))&gt;0,1,0)</f>
        <v>1</v>
      </c>
      <c r="S236" s="3" t="n">
        <f aca="false">IF(AND(F236="Free",G236=""),1,0)</f>
        <v>0</v>
      </c>
      <c r="T236" s="3" t="n">
        <f aca="false">IF(LEN(TRIM(K236))&lt;15,1,0)</f>
        <v>0</v>
      </c>
      <c r="U236" s="3" t="n">
        <f aca="false">IF(COUNTIF($E$2:$E$801,E236)&gt;1,1,0)</f>
        <v>0</v>
      </c>
      <c r="V236" s="3" t="n">
        <f aca="false">Q236*'Spam Rules'!$H$6+R236*'Spam Rules'!$H$7+S236*'Spam Rules'!$H$8+T236*'Spam Rules'!$H$9+U236*'Spam Rules'!$H$10</f>
        <v>1</v>
      </c>
      <c r="W236" s="3" t="str">
        <f aca="false">IF(V236&gt;='Spam Rules'!$B$3,"Likely Spam","Genuine")</f>
        <v>Likely Spam</v>
      </c>
      <c r="X236" s="3" t="n">
        <f aca="false">IFERROR(INDEX('Scoring Model'!$B$5:$B$11,MATCH(C236,'Scoring Model'!$A$5:$A$11,0)),0)</f>
        <v>10</v>
      </c>
      <c r="Y236" s="3" t="n">
        <f aca="false">IFERROR(INDEX('Scoring Model'!$E$5:$E$7,MATCH(F236,'Scoring Model'!$D$5:$D$7,0)),0)</f>
        <v>20</v>
      </c>
      <c r="Z236" s="3" t="n">
        <f aca="false">IFERROR(INDEX('Scoring Model'!$H$5:$H$13,MATCH(J236,'Scoring Model'!$G$5:$G$13,0)),0)</f>
        <v>0</v>
      </c>
      <c r="AA236" s="3" t="n">
        <f aca="false">IF(L236&gt;='Scoring Model'!$B$14,'Scoring Model'!$B$15,IF(L236&gt;='Scoring Model'!$B$16,'Scoring Model'!$B$17,0))</f>
        <v>0</v>
      </c>
      <c r="AB236" s="3" t="n">
        <f aca="false">IF(SUMPRODUCT(--ISNUMBER(SEARCH('Scoring Model'!$D$16:$D$25,K236)))&gt;0,'Scoring Model'!$B$18,0)</f>
        <v>0</v>
      </c>
      <c r="AC236" s="3" t="n">
        <f aca="false">IF(SUMPRODUCT(--ISNUMBER(SEARCH('Scoring Model'!$G$16:$G$23,K236)))&gt;0,'Scoring Model'!$B$19,0)</f>
        <v>0</v>
      </c>
      <c r="AD236" s="3" t="str">
        <f aca="false">IF(W236="Likely Spam","",SUM(X236:AC236))</f>
        <v/>
      </c>
      <c r="AE236" s="3" t="str">
        <f aca="false">IF(W236="Likely Spam","Spam",IF(AD236&gt;='Scoring Model'!$B$21,"Hot",IF(AD236&gt;='Scoring Model'!$B$22,"Warm","Nurture")))</f>
        <v>Spam</v>
      </c>
      <c r="AF236" s="3" t="str">
        <f aca="false">IF(W236="Likely Spam","Flagged by spam rules",TRIM(IF(X236&gt;=20,"Strong source. ","")&amp;IF(Y236&gt;0,"Company email. ","")&amp;IF(Z236&gt;=15,"High-value product. ","")&amp;IF(AA236&gt;='Scoring Model'!$B$15,"High engagement. ","")&amp;IF(AB236&gt;0,"Buying intent in message. ","")&amp;IF(AC236&lt;0,"Negative intent in message. ","")))</f>
        <v>Flagged by spam rules</v>
      </c>
      <c r="AG236" s="11" t="str">
        <f aca="false">IF(W236="Likely Spam","",1/(1+EXP(-('Conversion Model'!$B$5+IFERROR(INDEX('Conversion Model'!$B$8:$B$14,MATCH(C236,'Conversion Model'!$A$8:$A$14,0)),0)+IFERROR(INDEX('Conversion Model'!$E$8:$E$9,MATCH(F236,'Conversion Model'!$D$8:$D$9,0)),0)+IFERROR(INDEX('Conversion Model'!$H$8:$H$12,MATCH(IF(LEFT(J236,8)="Payments","Payments",IF(LEFT(J236,7)="Lending","Lending",J236)),'Conversion Model'!$G$8:$G$12,0)),0)+MIN(L236,15)*'Conversion Model'!$B$17+IF(SUMPRODUCT(--ISNUMBER(SEARCH('Scoring Model'!$D$16:$D$25,K236)))&gt;0,'Conversion Model'!$B$18,0)+IF(SUMPRODUCT(--ISNUMBER(SEARCH('Scoring Model'!$G$16:$G$23,K236)))&gt;0,'Conversion Model'!$B$19,0)))))</f>
        <v/>
      </c>
      <c r="AH236" s="3" t="str">
        <f aca="false">IF(OR(O236="Qualified",O236="Won",O236="Lost"),1,IF(O236="Unqualified",0,""))</f>
        <v/>
      </c>
    </row>
    <row r="237" customFormat="false" ht="15" hidden="false" customHeight="true" outlineLevel="0" collapsed="false">
      <c r="A237" s="3" t="s">
        <v>1023</v>
      </c>
      <c r="B237" s="9" t="n">
        <v>46039.0770833333</v>
      </c>
      <c r="C237" s="3" t="s">
        <v>91</v>
      </c>
      <c r="D237" s="3" t="s">
        <v>1024</v>
      </c>
      <c r="E237" s="3" t="s">
        <v>1025</v>
      </c>
      <c r="F237" s="3" t="s">
        <v>54</v>
      </c>
      <c r="G237" s="3"/>
      <c r="H237" s="3"/>
      <c r="I237" s="3" t="s">
        <v>107</v>
      </c>
      <c r="J237" s="3" t="s">
        <v>122</v>
      </c>
      <c r="K237" s="3" t="s">
        <v>101</v>
      </c>
      <c r="L237" s="3" t="n">
        <v>2</v>
      </c>
      <c r="M237" s="3" t="n">
        <v>5.9</v>
      </c>
      <c r="N237" s="3" t="s">
        <v>67</v>
      </c>
      <c r="O237" s="3"/>
      <c r="P237" s="10"/>
      <c r="Q237" s="3" t="n">
        <f aca="false">IF(F237="Disposable",1,0)</f>
        <v>0</v>
      </c>
      <c r="R237" s="3" t="n">
        <f aca="false">IF(SUMPRODUCT(--ISNUMBER(SEARCH('Spam Rules'!$A$22:$A$35,K237)))&gt;0,1,0)</f>
        <v>0</v>
      </c>
      <c r="S237" s="3" t="n">
        <f aca="false">IF(AND(F237="Free",G237=""),1,0)</f>
        <v>1</v>
      </c>
      <c r="T237" s="3" t="n">
        <f aca="false">IF(LEN(TRIM(K237))&lt;15,1,0)</f>
        <v>0</v>
      </c>
      <c r="U237" s="3" t="n">
        <f aca="false">IF(COUNTIF($E$2:$E$801,E237)&gt;1,1,0)</f>
        <v>0</v>
      </c>
      <c r="V237" s="3" t="n">
        <f aca="false">Q237*'Spam Rules'!$H$6+R237*'Spam Rules'!$H$7+S237*'Spam Rules'!$H$8+T237*'Spam Rules'!$H$9+U237*'Spam Rules'!$H$10</f>
        <v>0</v>
      </c>
      <c r="W237" s="3" t="str">
        <f aca="false">IF(V237&gt;='Spam Rules'!$B$3,"Likely Spam","Genuine")</f>
        <v>Genuine</v>
      </c>
      <c r="X237" s="3" t="n">
        <f aca="false">IFERROR(INDEX('Scoring Model'!$B$5:$B$11,MATCH(C237,'Scoring Model'!$A$5:$A$11,0)),0)</f>
        <v>5</v>
      </c>
      <c r="Y237" s="3" t="n">
        <f aca="false">IFERROR(INDEX('Scoring Model'!$E$5:$E$7,MATCH(F237,'Scoring Model'!$D$5:$D$7,0)),0)</f>
        <v>0</v>
      </c>
      <c r="Z237" s="3" t="n">
        <f aca="false">IFERROR(INDEX('Scoring Model'!$H$5:$H$13,MATCH(J237,'Scoring Model'!$G$5:$G$13,0)),0)</f>
        <v>15</v>
      </c>
      <c r="AA237" s="3" t="n">
        <f aca="false">IF(L237&gt;='Scoring Model'!$B$14,'Scoring Model'!$B$15,IF(L237&gt;='Scoring Model'!$B$16,'Scoring Model'!$B$17,0))</f>
        <v>0</v>
      </c>
      <c r="AB237" s="3" t="n">
        <f aca="false">IF(SUMPRODUCT(--ISNUMBER(SEARCH('Scoring Model'!$D$16:$D$25,K237)))&gt;0,'Scoring Model'!$B$18,0)</f>
        <v>0</v>
      </c>
      <c r="AC237" s="3" t="n">
        <f aca="false">IF(SUMPRODUCT(--ISNUMBER(SEARCH('Scoring Model'!$G$16:$G$23,K237)))&gt;0,'Scoring Model'!$B$19,0)</f>
        <v>-30</v>
      </c>
      <c r="AD237" s="3" t="n">
        <f aca="false">IF(W237="Likely Spam","",SUM(X237:AC237))</f>
        <v>-10</v>
      </c>
      <c r="AE237" s="3" t="str">
        <f aca="false">IF(W237="Likely Spam","Spam",IF(AD237&gt;='Scoring Model'!$B$21,"Hot",IF(AD237&gt;='Scoring Model'!$B$22,"Warm","Nurture")))</f>
        <v>Nurture</v>
      </c>
      <c r="AF237" s="3" t="str">
        <f aca="false">IF(W237="Likely Spam","Flagged by spam rules",TRIM(IF(X237&gt;=20,"Strong source. ","")&amp;IF(Y237&gt;0,"Company email. ","")&amp;IF(Z237&gt;=15,"High-value product. ","")&amp;IF(AA237&gt;='Scoring Model'!$B$15,"High engagement. ","")&amp;IF(AB237&gt;0,"Buying intent in message. ","")&amp;IF(AC237&lt;0,"Negative intent in message. ","")))</f>
        <v>High-value product. Negative intent in message.</v>
      </c>
      <c r="AG237" s="11" t="n">
        <f aca="false">IF(W237="Likely Spam","",1/(1+EXP(-('Conversion Model'!$B$5+IFERROR(INDEX('Conversion Model'!$B$8:$B$14,MATCH(C237,'Conversion Model'!$A$8:$A$14,0)),0)+IFERROR(INDEX('Conversion Model'!$E$8:$E$9,MATCH(F237,'Conversion Model'!$D$8:$D$9,0)),0)+IFERROR(INDEX('Conversion Model'!$H$8:$H$12,MATCH(IF(LEFT(J237,8)="Payments","Payments",IF(LEFT(J237,7)="Lending","Lending",J237)),'Conversion Model'!$G$8:$G$12,0)),0)+MIN(L237,15)*'Conversion Model'!$B$17+IF(SUMPRODUCT(--ISNUMBER(SEARCH('Scoring Model'!$D$16:$D$25,K237)))&gt;0,'Conversion Model'!$B$18,0)+IF(SUMPRODUCT(--ISNUMBER(SEARCH('Scoring Model'!$G$16:$G$23,K237)))&gt;0,'Conversion Model'!$B$19,0)))))</f>
        <v>0.00179133712016906</v>
      </c>
      <c r="AH237" s="3" t="str">
        <f aca="false">IF(OR(O237="Qualified",O237="Won",O237="Lost"),1,IF(O237="Unqualified",0,""))</f>
        <v/>
      </c>
    </row>
    <row r="238" customFormat="false" ht="15" hidden="false" customHeight="true" outlineLevel="0" collapsed="false">
      <c r="A238" s="3" t="s">
        <v>1026</v>
      </c>
      <c r="B238" s="9" t="n">
        <v>46039.4034722222</v>
      </c>
      <c r="C238" s="3" t="s">
        <v>51</v>
      </c>
      <c r="D238" s="3" t="s">
        <v>984</v>
      </c>
      <c r="E238" s="3" t="s">
        <v>1027</v>
      </c>
      <c r="F238" s="3" t="s">
        <v>22</v>
      </c>
      <c r="G238" s="3" t="s">
        <v>675</v>
      </c>
      <c r="H238" s="3" t="s">
        <v>676</v>
      </c>
      <c r="I238" s="3" t="s">
        <v>56</v>
      </c>
      <c r="J238" s="3" t="s">
        <v>145</v>
      </c>
      <c r="K238" s="3" t="s">
        <v>228</v>
      </c>
      <c r="L238" s="3" t="n">
        <v>11</v>
      </c>
      <c r="M238" s="3" t="n">
        <v>25.5</v>
      </c>
      <c r="N238" s="3" t="s">
        <v>67</v>
      </c>
      <c r="O238" s="3"/>
      <c r="P238" s="10"/>
      <c r="Q238" s="3" t="n">
        <f aca="false">IF(F238="Disposable",1,0)</f>
        <v>0</v>
      </c>
      <c r="R238" s="3" t="n">
        <f aca="false">IF(SUMPRODUCT(--ISNUMBER(SEARCH('Spam Rules'!$A$22:$A$35,K238)))&gt;0,1,0)</f>
        <v>0</v>
      </c>
      <c r="S238" s="3" t="n">
        <f aca="false">IF(AND(F238="Free",G238=""),1,0)</f>
        <v>0</v>
      </c>
      <c r="T238" s="3" t="n">
        <f aca="false">IF(LEN(TRIM(K238))&lt;15,1,0)</f>
        <v>0</v>
      </c>
      <c r="U238" s="3" t="n">
        <f aca="false">IF(COUNTIF($E$2:$E$801,E238)&gt;1,1,0)</f>
        <v>0</v>
      </c>
      <c r="V238" s="3" t="n">
        <f aca="false">Q238*'Spam Rules'!$H$6+R238*'Spam Rules'!$H$7+S238*'Spam Rules'!$H$8+T238*'Spam Rules'!$H$9+U238*'Spam Rules'!$H$10</f>
        <v>0</v>
      </c>
      <c r="W238" s="3" t="str">
        <f aca="false">IF(V238&gt;='Spam Rules'!$B$3,"Likely Spam","Genuine")</f>
        <v>Genuine</v>
      </c>
      <c r="X238" s="3" t="n">
        <f aca="false">IFERROR(INDEX('Scoring Model'!$B$5:$B$11,MATCH(C238,'Scoring Model'!$A$5:$A$11,0)),0)</f>
        <v>10</v>
      </c>
      <c r="Y238" s="3" t="n">
        <f aca="false">IFERROR(INDEX('Scoring Model'!$E$5:$E$7,MATCH(F238,'Scoring Model'!$D$5:$D$7,0)),0)</f>
        <v>20</v>
      </c>
      <c r="Z238" s="3" t="n">
        <f aca="false">IFERROR(INDEX('Scoring Model'!$H$5:$H$13,MATCH(J238,'Scoring Model'!$G$5:$G$13,0)),0)</f>
        <v>5</v>
      </c>
      <c r="AA238" s="3" t="n">
        <f aca="false">IF(L238&gt;='Scoring Model'!$B$14,'Scoring Model'!$B$15,IF(L238&gt;='Scoring Model'!$B$16,'Scoring Model'!$B$17,0))</f>
        <v>15</v>
      </c>
      <c r="AB238" s="3" t="n">
        <f aca="false">IF(SUMPRODUCT(--ISNUMBER(SEARCH('Scoring Model'!$D$16:$D$25,K238)))&gt;0,'Scoring Model'!$B$18,0)</f>
        <v>15</v>
      </c>
      <c r="AC238" s="3" t="n">
        <f aca="false">IF(SUMPRODUCT(--ISNUMBER(SEARCH('Scoring Model'!$G$16:$G$23,K238)))&gt;0,'Scoring Model'!$B$19,0)</f>
        <v>0</v>
      </c>
      <c r="AD238" s="3" t="n">
        <f aca="false">IF(W238="Likely Spam","",SUM(X238:AC238))</f>
        <v>65</v>
      </c>
      <c r="AE238" s="3" t="str">
        <f aca="false">IF(W238="Likely Spam","Spam",IF(AD238&gt;='Scoring Model'!$B$21,"Hot",IF(AD238&gt;='Scoring Model'!$B$22,"Warm","Nurture")))</f>
        <v>Warm</v>
      </c>
      <c r="AF238" s="3" t="str">
        <f aca="false">IF(W238="Likely Spam","Flagged by spam rules",TRIM(IF(X238&gt;=20,"Strong source. ","")&amp;IF(Y238&gt;0,"Company email. ","")&amp;IF(Z238&gt;=15,"High-value product. ","")&amp;IF(AA238&gt;='Scoring Model'!$B$15,"High engagement. ","")&amp;IF(AB238&gt;0,"Buying intent in message. ","")&amp;IF(AC238&lt;0,"Negative intent in message. ","")))</f>
        <v>Company email. High engagement. Buying intent in message.</v>
      </c>
      <c r="AG238" s="11" t="n">
        <f aca="false">IF(W238="Likely Spam","",1/(1+EXP(-('Conversion Model'!$B$5+IFERROR(INDEX('Conversion Model'!$B$8:$B$14,MATCH(C238,'Conversion Model'!$A$8:$A$14,0)),0)+IFERROR(INDEX('Conversion Model'!$E$8:$E$9,MATCH(F238,'Conversion Model'!$D$8:$D$9,0)),0)+IFERROR(INDEX('Conversion Model'!$H$8:$H$12,MATCH(IF(LEFT(J238,8)="Payments","Payments",IF(LEFT(J238,7)="Lending","Lending",J238)),'Conversion Model'!$G$8:$G$12,0)),0)+MIN(L238,15)*'Conversion Model'!$B$17+IF(SUMPRODUCT(--ISNUMBER(SEARCH('Scoring Model'!$D$16:$D$25,K238)))&gt;0,'Conversion Model'!$B$18,0)+IF(SUMPRODUCT(--ISNUMBER(SEARCH('Scoring Model'!$G$16:$G$23,K238)))&gt;0,'Conversion Model'!$B$19,0)))))</f>
        <v>0.996858786715171</v>
      </c>
      <c r="AH238" s="3" t="str">
        <f aca="false">IF(OR(O238="Qualified",O238="Won",O238="Lost"),1,IF(O238="Unqualified",0,""))</f>
        <v/>
      </c>
    </row>
    <row r="239" customFormat="false" ht="15" hidden="false" customHeight="true" outlineLevel="0" collapsed="false">
      <c r="A239" s="3" t="s">
        <v>1028</v>
      </c>
      <c r="B239" s="9" t="n">
        <v>46039.8159722222</v>
      </c>
      <c r="C239" s="3" t="s">
        <v>135</v>
      </c>
      <c r="D239" s="3" t="s">
        <v>1029</v>
      </c>
      <c r="E239" s="3" t="s">
        <v>1030</v>
      </c>
      <c r="F239" s="3" t="s">
        <v>22</v>
      </c>
      <c r="G239" s="3" t="s">
        <v>1031</v>
      </c>
      <c r="H239" s="3" t="s">
        <v>1032</v>
      </c>
      <c r="I239" s="3" t="s">
        <v>73</v>
      </c>
      <c r="J239" s="3" t="s">
        <v>122</v>
      </c>
      <c r="K239" s="3" t="s">
        <v>213</v>
      </c>
      <c r="L239" s="3" t="n">
        <v>1</v>
      </c>
      <c r="M239" s="3" t="n">
        <v>5.9</v>
      </c>
      <c r="N239" s="3" t="s">
        <v>59</v>
      </c>
      <c r="O239" s="3" t="s">
        <v>194</v>
      </c>
      <c r="P239" s="10"/>
      <c r="Q239" s="3" t="n">
        <f aca="false">IF(F239="Disposable",1,0)</f>
        <v>0</v>
      </c>
      <c r="R239" s="3" t="n">
        <f aca="false">IF(SUMPRODUCT(--ISNUMBER(SEARCH('Spam Rules'!$A$22:$A$35,K239)))&gt;0,1,0)</f>
        <v>0</v>
      </c>
      <c r="S239" s="3" t="n">
        <f aca="false">IF(AND(F239="Free",G239=""),1,0)</f>
        <v>0</v>
      </c>
      <c r="T239" s="3" t="n">
        <f aca="false">IF(LEN(TRIM(K239))&lt;15,1,0)</f>
        <v>0</v>
      </c>
      <c r="U239" s="3" t="n">
        <f aca="false">IF(COUNTIF($E$2:$E$801,E239)&gt;1,1,0)</f>
        <v>0</v>
      </c>
      <c r="V239" s="3" t="n">
        <f aca="false">Q239*'Spam Rules'!$H$6+R239*'Spam Rules'!$H$7+S239*'Spam Rules'!$H$8+T239*'Spam Rules'!$H$9+U239*'Spam Rules'!$H$10</f>
        <v>0</v>
      </c>
      <c r="W239" s="3" t="str">
        <f aca="false">IF(V239&gt;='Spam Rules'!$B$3,"Likely Spam","Genuine")</f>
        <v>Genuine</v>
      </c>
      <c r="X239" s="3" t="n">
        <f aca="false">IFERROR(INDEX('Scoring Model'!$B$5:$B$11,MATCH(C239,'Scoring Model'!$A$5:$A$11,0)),0)</f>
        <v>20</v>
      </c>
      <c r="Y239" s="3" t="n">
        <f aca="false">IFERROR(INDEX('Scoring Model'!$E$5:$E$7,MATCH(F239,'Scoring Model'!$D$5:$D$7,0)),0)</f>
        <v>20</v>
      </c>
      <c r="Z239" s="3" t="n">
        <f aca="false">IFERROR(INDEX('Scoring Model'!$H$5:$H$13,MATCH(J239,'Scoring Model'!$G$5:$G$13,0)),0)</f>
        <v>15</v>
      </c>
      <c r="AA239" s="3" t="n">
        <f aca="false">IF(L239&gt;='Scoring Model'!$B$14,'Scoring Model'!$B$15,IF(L239&gt;='Scoring Model'!$B$16,'Scoring Model'!$B$17,0))</f>
        <v>0</v>
      </c>
      <c r="AB239" s="3" t="n">
        <f aca="false">IF(SUMPRODUCT(--ISNUMBER(SEARCH('Scoring Model'!$D$16:$D$25,K239)))&gt;0,'Scoring Model'!$B$18,0)</f>
        <v>0</v>
      </c>
      <c r="AC239" s="3" t="n">
        <f aca="false">IF(SUMPRODUCT(--ISNUMBER(SEARCH('Scoring Model'!$G$16:$G$23,K239)))&gt;0,'Scoring Model'!$B$19,0)</f>
        <v>-30</v>
      </c>
      <c r="AD239" s="3" t="n">
        <f aca="false">IF(W239="Likely Spam","",SUM(X239:AC239))</f>
        <v>25</v>
      </c>
      <c r="AE239" s="3" t="str">
        <f aca="false">IF(W239="Likely Spam","Spam",IF(AD239&gt;='Scoring Model'!$B$21,"Hot",IF(AD239&gt;='Scoring Model'!$B$22,"Warm","Nurture")))</f>
        <v>Nurture</v>
      </c>
      <c r="AF239" s="3" t="str">
        <f aca="false">IF(W239="Likely Spam","Flagged by spam rules",TRIM(IF(X239&gt;=20,"Strong source. ","")&amp;IF(Y239&gt;0,"Company email. ","")&amp;IF(Z239&gt;=15,"High-value product. ","")&amp;IF(AA239&gt;='Scoring Model'!$B$15,"High engagement. ","")&amp;IF(AB239&gt;0,"Buying intent in message. ","")&amp;IF(AC239&lt;0,"Negative intent in message. ","")))</f>
        <v>Strong source. Company email. High-value product. Negative intent in message.</v>
      </c>
      <c r="AG239" s="11" t="n">
        <f aca="false">IF(W239="Likely Spam","",1/(1+EXP(-('Conversion Model'!$B$5+IFERROR(INDEX('Conversion Model'!$B$8:$B$14,MATCH(C239,'Conversion Model'!$A$8:$A$14,0)),0)+IFERROR(INDEX('Conversion Model'!$E$8:$E$9,MATCH(F239,'Conversion Model'!$D$8:$D$9,0)),0)+IFERROR(INDEX('Conversion Model'!$H$8:$H$12,MATCH(IF(LEFT(J239,8)="Payments","Payments",IF(LEFT(J239,7)="Lending","Lending",J239)),'Conversion Model'!$G$8:$G$12,0)),0)+MIN(L239,15)*'Conversion Model'!$B$17+IF(SUMPRODUCT(--ISNUMBER(SEARCH('Scoring Model'!$D$16:$D$25,K239)))&gt;0,'Conversion Model'!$B$18,0)+IF(SUMPRODUCT(--ISNUMBER(SEARCH('Scoring Model'!$G$16:$G$23,K239)))&gt;0,'Conversion Model'!$B$19,0)))))</f>
        <v>0.00633065999531372</v>
      </c>
      <c r="AH239" s="3" t="n">
        <f aca="false">IF(OR(O239="Qualified",O239="Won",O239="Lost"),1,IF(O239="Unqualified",0,""))</f>
        <v>0</v>
      </c>
    </row>
    <row r="240" customFormat="false" ht="15" hidden="false" customHeight="true" outlineLevel="0" collapsed="false">
      <c r="A240" s="3" t="s">
        <v>1033</v>
      </c>
      <c r="B240" s="9" t="n">
        <v>46039.9284722222</v>
      </c>
      <c r="C240" s="3" t="s">
        <v>91</v>
      </c>
      <c r="D240" s="3" t="s">
        <v>1034</v>
      </c>
      <c r="E240" s="3" t="s">
        <v>1035</v>
      </c>
      <c r="F240" s="3" t="s">
        <v>22</v>
      </c>
      <c r="G240" s="3" t="s">
        <v>211</v>
      </c>
      <c r="H240" s="3" t="s">
        <v>212</v>
      </c>
      <c r="I240" s="3" t="s">
        <v>80</v>
      </c>
      <c r="J240" s="3" t="s">
        <v>245</v>
      </c>
      <c r="K240" s="3" t="s">
        <v>355</v>
      </c>
      <c r="L240" s="3" t="n">
        <v>9</v>
      </c>
      <c r="M240" s="3" t="n">
        <v>6.7</v>
      </c>
      <c r="N240" s="3" t="s">
        <v>67</v>
      </c>
      <c r="O240" s="3"/>
      <c r="P240" s="10"/>
      <c r="Q240" s="3" t="n">
        <f aca="false">IF(F240="Disposable",1,0)</f>
        <v>0</v>
      </c>
      <c r="R240" s="3" t="n">
        <f aca="false">IF(SUMPRODUCT(--ISNUMBER(SEARCH('Spam Rules'!$A$22:$A$35,K240)))&gt;0,1,0)</f>
        <v>0</v>
      </c>
      <c r="S240" s="3" t="n">
        <f aca="false">IF(AND(F240="Free",G240=""),1,0)</f>
        <v>0</v>
      </c>
      <c r="T240" s="3" t="n">
        <f aca="false">IF(LEN(TRIM(K240))&lt;15,1,0)</f>
        <v>0</v>
      </c>
      <c r="U240" s="3" t="n">
        <f aca="false">IF(COUNTIF($E$2:$E$801,E240)&gt;1,1,0)</f>
        <v>0</v>
      </c>
      <c r="V240" s="3" t="n">
        <f aca="false">Q240*'Spam Rules'!$H$6+R240*'Spam Rules'!$H$7+S240*'Spam Rules'!$H$8+T240*'Spam Rules'!$H$9+U240*'Spam Rules'!$H$10</f>
        <v>0</v>
      </c>
      <c r="W240" s="3" t="str">
        <f aca="false">IF(V240&gt;='Spam Rules'!$B$3,"Likely Spam","Genuine")</f>
        <v>Genuine</v>
      </c>
      <c r="X240" s="3" t="n">
        <f aca="false">IFERROR(INDEX('Scoring Model'!$B$5:$B$11,MATCH(C240,'Scoring Model'!$A$5:$A$11,0)),0)</f>
        <v>5</v>
      </c>
      <c r="Y240" s="3" t="n">
        <f aca="false">IFERROR(INDEX('Scoring Model'!$E$5:$E$7,MATCH(F240,'Scoring Model'!$D$5:$D$7,0)),0)</f>
        <v>20</v>
      </c>
      <c r="Z240" s="3" t="n">
        <f aca="false">IFERROR(INDEX('Scoring Model'!$H$5:$H$13,MATCH(J240,'Scoring Model'!$G$5:$G$13,0)),0)</f>
        <v>15</v>
      </c>
      <c r="AA240" s="3" t="n">
        <f aca="false">IF(L240&gt;='Scoring Model'!$B$14,'Scoring Model'!$B$15,IF(L240&gt;='Scoring Model'!$B$16,'Scoring Model'!$B$17,0))</f>
        <v>15</v>
      </c>
      <c r="AB240" s="3" t="n">
        <f aca="false">IF(SUMPRODUCT(--ISNUMBER(SEARCH('Scoring Model'!$D$16:$D$25,K240)))&gt;0,'Scoring Model'!$B$18,0)</f>
        <v>15</v>
      </c>
      <c r="AC240" s="3" t="n">
        <f aca="false">IF(SUMPRODUCT(--ISNUMBER(SEARCH('Scoring Model'!$G$16:$G$23,K240)))&gt;0,'Scoring Model'!$B$19,0)</f>
        <v>0</v>
      </c>
      <c r="AD240" s="3" t="n">
        <f aca="false">IF(W240="Likely Spam","",SUM(X240:AC240))</f>
        <v>70</v>
      </c>
      <c r="AE240" s="3" t="str">
        <f aca="false">IF(W240="Likely Spam","Spam",IF(AD240&gt;='Scoring Model'!$B$21,"Hot",IF(AD240&gt;='Scoring Model'!$B$22,"Warm","Nurture")))</f>
        <v>Hot</v>
      </c>
      <c r="AF240" s="3" t="str">
        <f aca="false">IF(W240="Likely Spam","Flagged by spam rules",TRIM(IF(X240&gt;=20,"Strong source. ","")&amp;IF(Y240&gt;0,"Company email. ","")&amp;IF(Z240&gt;=15,"High-value product. ","")&amp;IF(AA240&gt;='Scoring Model'!$B$15,"High engagement. ","")&amp;IF(AB240&gt;0,"Buying intent in message. ","")&amp;IF(AC240&lt;0,"Negative intent in message. ","")))</f>
        <v>Company email. High-value product. High engagement. Buying intent in message.</v>
      </c>
      <c r="AG240" s="11" t="n">
        <f aca="false">IF(W240="Likely Spam","",1/(1+EXP(-('Conversion Model'!$B$5+IFERROR(INDEX('Conversion Model'!$B$8:$B$14,MATCH(C240,'Conversion Model'!$A$8:$A$14,0)),0)+IFERROR(INDEX('Conversion Model'!$E$8:$E$9,MATCH(F240,'Conversion Model'!$D$8:$D$9,0)),0)+IFERROR(INDEX('Conversion Model'!$H$8:$H$12,MATCH(IF(LEFT(J240,8)="Payments","Payments",IF(LEFT(J240,7)="Lending","Lending",J240)),'Conversion Model'!$G$8:$G$12,0)),0)+MIN(L240,15)*'Conversion Model'!$B$17+IF(SUMPRODUCT(--ISNUMBER(SEARCH('Scoring Model'!$D$16:$D$25,K240)))&gt;0,'Conversion Model'!$B$18,0)+IF(SUMPRODUCT(--ISNUMBER(SEARCH('Scoring Model'!$G$16:$G$23,K240)))&gt;0,'Conversion Model'!$B$19,0)))))</f>
        <v>0.990204612602311</v>
      </c>
      <c r="AH240" s="3" t="str">
        <f aca="false">IF(OR(O240="Qualified",O240="Won",O240="Lost"),1,IF(O240="Unqualified",0,""))</f>
        <v/>
      </c>
    </row>
    <row r="241" customFormat="false" ht="15" hidden="false" customHeight="true" outlineLevel="0" collapsed="false">
      <c r="A241" s="3" t="s">
        <v>1036</v>
      </c>
      <c r="B241" s="9" t="n">
        <v>46039.9625</v>
      </c>
      <c r="C241" s="3" t="s">
        <v>76</v>
      </c>
      <c r="D241" s="3" t="s">
        <v>1024</v>
      </c>
      <c r="E241" s="3" t="s">
        <v>1037</v>
      </c>
      <c r="F241" s="3" t="s">
        <v>22</v>
      </c>
      <c r="G241" s="3" t="s">
        <v>999</v>
      </c>
      <c r="H241" s="3" t="s">
        <v>1000</v>
      </c>
      <c r="I241" s="3" t="s">
        <v>73</v>
      </c>
      <c r="J241" s="3" t="s">
        <v>145</v>
      </c>
      <c r="K241" s="3" t="s">
        <v>213</v>
      </c>
      <c r="L241" s="3" t="n">
        <v>2</v>
      </c>
      <c r="M241" s="3" t="n">
        <v>16.7</v>
      </c>
      <c r="N241" s="3" t="s">
        <v>67</v>
      </c>
      <c r="O241" s="3"/>
      <c r="P241" s="10"/>
      <c r="Q241" s="3" t="n">
        <f aca="false">IF(F241="Disposable",1,0)</f>
        <v>0</v>
      </c>
      <c r="R241" s="3" t="n">
        <f aca="false">IF(SUMPRODUCT(--ISNUMBER(SEARCH('Spam Rules'!$A$22:$A$35,K241)))&gt;0,1,0)</f>
        <v>0</v>
      </c>
      <c r="S241" s="3" t="n">
        <f aca="false">IF(AND(F241="Free",G241=""),1,0)</f>
        <v>0</v>
      </c>
      <c r="T241" s="3" t="n">
        <f aca="false">IF(LEN(TRIM(K241))&lt;15,1,0)</f>
        <v>0</v>
      </c>
      <c r="U241" s="3" t="n">
        <f aca="false">IF(COUNTIF($E$2:$E$801,E241)&gt;1,1,0)</f>
        <v>0</v>
      </c>
      <c r="V241" s="3" t="n">
        <f aca="false">Q241*'Spam Rules'!$H$6+R241*'Spam Rules'!$H$7+S241*'Spam Rules'!$H$8+T241*'Spam Rules'!$H$9+U241*'Spam Rules'!$H$10</f>
        <v>0</v>
      </c>
      <c r="W241" s="3" t="str">
        <f aca="false">IF(V241&gt;='Spam Rules'!$B$3,"Likely Spam","Genuine")</f>
        <v>Genuine</v>
      </c>
      <c r="X241" s="3" t="n">
        <f aca="false">IFERROR(INDEX('Scoring Model'!$B$5:$B$11,MATCH(C241,'Scoring Model'!$A$5:$A$11,0)),0)</f>
        <v>0</v>
      </c>
      <c r="Y241" s="3" t="n">
        <f aca="false">IFERROR(INDEX('Scoring Model'!$E$5:$E$7,MATCH(F241,'Scoring Model'!$D$5:$D$7,0)),0)</f>
        <v>20</v>
      </c>
      <c r="Z241" s="3" t="n">
        <f aca="false">IFERROR(INDEX('Scoring Model'!$H$5:$H$13,MATCH(J241,'Scoring Model'!$G$5:$G$13,0)),0)</f>
        <v>5</v>
      </c>
      <c r="AA241" s="3" t="n">
        <f aca="false">IF(L241&gt;='Scoring Model'!$B$14,'Scoring Model'!$B$15,IF(L241&gt;='Scoring Model'!$B$16,'Scoring Model'!$B$17,0))</f>
        <v>0</v>
      </c>
      <c r="AB241" s="3" t="n">
        <f aca="false">IF(SUMPRODUCT(--ISNUMBER(SEARCH('Scoring Model'!$D$16:$D$25,K241)))&gt;0,'Scoring Model'!$B$18,0)</f>
        <v>0</v>
      </c>
      <c r="AC241" s="3" t="n">
        <f aca="false">IF(SUMPRODUCT(--ISNUMBER(SEARCH('Scoring Model'!$G$16:$G$23,K241)))&gt;0,'Scoring Model'!$B$19,0)</f>
        <v>-30</v>
      </c>
      <c r="AD241" s="3" t="n">
        <f aca="false">IF(W241="Likely Spam","",SUM(X241:AC241))</f>
        <v>-5</v>
      </c>
      <c r="AE241" s="3" t="str">
        <f aca="false">IF(W241="Likely Spam","Spam",IF(AD241&gt;='Scoring Model'!$B$21,"Hot",IF(AD241&gt;='Scoring Model'!$B$22,"Warm","Nurture")))</f>
        <v>Nurture</v>
      </c>
      <c r="AF241" s="3" t="str">
        <f aca="false">IF(W241="Likely Spam","Flagged by spam rules",TRIM(IF(X241&gt;=20,"Strong source. ","")&amp;IF(Y241&gt;0,"Company email. ","")&amp;IF(Z241&gt;=15,"High-value product. ","")&amp;IF(AA241&gt;='Scoring Model'!$B$15,"High engagement. ","")&amp;IF(AB241&gt;0,"Buying intent in message. ","")&amp;IF(AC241&lt;0,"Negative intent in message. ","")))</f>
        <v>Company email. Negative intent in message.</v>
      </c>
      <c r="AG241" s="11" t="n">
        <f aca="false">IF(W241="Likely Spam","",1/(1+EXP(-('Conversion Model'!$B$5+IFERROR(INDEX('Conversion Model'!$B$8:$B$14,MATCH(C241,'Conversion Model'!$A$8:$A$14,0)),0)+IFERROR(INDEX('Conversion Model'!$E$8:$E$9,MATCH(F241,'Conversion Model'!$D$8:$D$9,0)),0)+IFERROR(INDEX('Conversion Model'!$H$8:$H$12,MATCH(IF(LEFT(J241,8)="Payments","Payments",IF(LEFT(J241,7)="Lending","Lending",J241)),'Conversion Model'!$G$8:$G$12,0)),0)+MIN(L241,15)*'Conversion Model'!$B$17+IF(SUMPRODUCT(--ISNUMBER(SEARCH('Scoring Model'!$D$16:$D$25,K241)))&gt;0,'Conversion Model'!$B$18,0)+IF(SUMPRODUCT(--ISNUMBER(SEARCH('Scoring Model'!$G$16:$G$23,K241)))&gt;0,'Conversion Model'!$B$19,0)))))</f>
        <v>0.00507672123694323</v>
      </c>
      <c r="AH241" s="3" t="str">
        <f aca="false">IF(OR(O241="Qualified",O241="Won",O241="Lost"),1,IF(O241="Unqualified",0,""))</f>
        <v/>
      </c>
    </row>
    <row r="242" customFormat="false" ht="15" hidden="false" customHeight="true" outlineLevel="0" collapsed="false">
      <c r="A242" s="3" t="s">
        <v>1038</v>
      </c>
      <c r="B242" s="9" t="n">
        <v>46040.1145833333</v>
      </c>
      <c r="C242" s="3" t="s">
        <v>160</v>
      </c>
      <c r="D242" s="3" t="s">
        <v>771</v>
      </c>
      <c r="E242" s="3" t="s">
        <v>1039</v>
      </c>
      <c r="F242" s="3" t="s">
        <v>22</v>
      </c>
      <c r="G242" s="3" t="s">
        <v>264</v>
      </c>
      <c r="H242" s="3" t="s">
        <v>265</v>
      </c>
      <c r="I242" s="3" t="s">
        <v>88</v>
      </c>
      <c r="J242" s="3" t="s">
        <v>145</v>
      </c>
      <c r="K242" s="3" t="s">
        <v>101</v>
      </c>
      <c r="L242" s="3" t="n">
        <v>2</v>
      </c>
      <c r="M242" s="3" t="n">
        <v>20.4</v>
      </c>
      <c r="N242" s="3" t="s">
        <v>59</v>
      </c>
      <c r="O242" s="3" t="s">
        <v>194</v>
      </c>
      <c r="P242" s="10"/>
      <c r="Q242" s="3" t="n">
        <f aca="false">IF(F242="Disposable",1,0)</f>
        <v>0</v>
      </c>
      <c r="R242" s="3" t="n">
        <f aca="false">IF(SUMPRODUCT(--ISNUMBER(SEARCH('Spam Rules'!$A$22:$A$35,K242)))&gt;0,1,0)</f>
        <v>0</v>
      </c>
      <c r="S242" s="3" t="n">
        <f aca="false">IF(AND(F242="Free",G242=""),1,0)</f>
        <v>0</v>
      </c>
      <c r="T242" s="3" t="n">
        <f aca="false">IF(LEN(TRIM(K242))&lt;15,1,0)</f>
        <v>0</v>
      </c>
      <c r="U242" s="3" t="n">
        <f aca="false">IF(COUNTIF($E$2:$E$801,E242)&gt;1,1,0)</f>
        <v>0</v>
      </c>
      <c r="V242" s="3" t="n">
        <f aca="false">Q242*'Spam Rules'!$H$6+R242*'Spam Rules'!$H$7+S242*'Spam Rules'!$H$8+T242*'Spam Rules'!$H$9+U242*'Spam Rules'!$H$10</f>
        <v>0</v>
      </c>
      <c r="W242" s="3" t="str">
        <f aca="false">IF(V242&gt;='Spam Rules'!$B$3,"Likely Spam","Genuine")</f>
        <v>Genuine</v>
      </c>
      <c r="X242" s="3" t="n">
        <f aca="false">IFERROR(INDEX('Scoring Model'!$B$5:$B$11,MATCH(C242,'Scoring Model'!$A$5:$A$11,0)),0)</f>
        <v>25</v>
      </c>
      <c r="Y242" s="3" t="n">
        <f aca="false">IFERROR(INDEX('Scoring Model'!$E$5:$E$7,MATCH(F242,'Scoring Model'!$D$5:$D$7,0)),0)</f>
        <v>20</v>
      </c>
      <c r="Z242" s="3" t="n">
        <f aca="false">IFERROR(INDEX('Scoring Model'!$H$5:$H$13,MATCH(J242,'Scoring Model'!$G$5:$G$13,0)),0)</f>
        <v>5</v>
      </c>
      <c r="AA242" s="3" t="n">
        <f aca="false">IF(L242&gt;='Scoring Model'!$B$14,'Scoring Model'!$B$15,IF(L242&gt;='Scoring Model'!$B$16,'Scoring Model'!$B$17,0))</f>
        <v>0</v>
      </c>
      <c r="AB242" s="3" t="n">
        <f aca="false">IF(SUMPRODUCT(--ISNUMBER(SEARCH('Scoring Model'!$D$16:$D$25,K242)))&gt;0,'Scoring Model'!$B$18,0)</f>
        <v>0</v>
      </c>
      <c r="AC242" s="3" t="n">
        <f aca="false">IF(SUMPRODUCT(--ISNUMBER(SEARCH('Scoring Model'!$G$16:$G$23,K242)))&gt;0,'Scoring Model'!$B$19,0)</f>
        <v>-30</v>
      </c>
      <c r="AD242" s="3" t="n">
        <f aca="false">IF(W242="Likely Spam","",SUM(X242:AC242))</f>
        <v>20</v>
      </c>
      <c r="AE242" s="3" t="str">
        <f aca="false">IF(W242="Likely Spam","Spam",IF(AD242&gt;='Scoring Model'!$B$21,"Hot",IF(AD242&gt;='Scoring Model'!$B$22,"Warm","Nurture")))</f>
        <v>Nurture</v>
      </c>
      <c r="AF242" s="3" t="str">
        <f aca="false">IF(W242="Likely Spam","Flagged by spam rules",TRIM(IF(X242&gt;=20,"Strong source. ","")&amp;IF(Y242&gt;0,"Company email. ","")&amp;IF(Z242&gt;=15,"High-value product. ","")&amp;IF(AA242&gt;='Scoring Model'!$B$15,"High engagement. ","")&amp;IF(AB242&gt;0,"Buying intent in message. ","")&amp;IF(AC242&lt;0,"Negative intent in message. ","")))</f>
        <v>Strong source. Company email. Negative intent in message.</v>
      </c>
      <c r="AG242" s="11" t="n">
        <f aca="false">IF(W242="Likely Spam","",1/(1+EXP(-('Conversion Model'!$B$5+IFERROR(INDEX('Conversion Model'!$B$8:$B$14,MATCH(C242,'Conversion Model'!$A$8:$A$14,0)),0)+IFERROR(INDEX('Conversion Model'!$E$8:$E$9,MATCH(F242,'Conversion Model'!$D$8:$D$9,0)),0)+IFERROR(INDEX('Conversion Model'!$H$8:$H$12,MATCH(IF(LEFT(J242,8)="Payments","Payments",IF(LEFT(J242,7)="Lending","Lending",J242)),'Conversion Model'!$G$8:$G$12,0)),0)+MIN(L242,15)*'Conversion Model'!$B$17+IF(SUMPRODUCT(--ISNUMBER(SEARCH('Scoring Model'!$D$16:$D$25,K242)))&gt;0,'Conversion Model'!$B$18,0)+IF(SUMPRODUCT(--ISNUMBER(SEARCH('Scoring Model'!$G$16:$G$23,K242)))&gt;0,'Conversion Model'!$B$19,0)))))</f>
        <v>0.0115437524839223</v>
      </c>
      <c r="AH242" s="3" t="n">
        <f aca="false">IF(OR(O242="Qualified",O242="Won",O242="Lost"),1,IF(O242="Unqualified",0,""))</f>
        <v>0</v>
      </c>
    </row>
    <row r="243" customFormat="false" ht="15" hidden="false" customHeight="true" outlineLevel="0" collapsed="false">
      <c r="A243" s="3" t="s">
        <v>1040</v>
      </c>
      <c r="B243" s="9" t="n">
        <v>46040.3638888889</v>
      </c>
      <c r="C243" s="3" t="s">
        <v>76</v>
      </c>
      <c r="D243" s="3" t="s">
        <v>1041</v>
      </c>
      <c r="E243" s="3" t="s">
        <v>1042</v>
      </c>
      <c r="F243" s="3" t="s">
        <v>54</v>
      </c>
      <c r="G243" s="3"/>
      <c r="H243" s="3"/>
      <c r="I243" s="3" t="s">
        <v>94</v>
      </c>
      <c r="J243" s="3" t="s">
        <v>81</v>
      </c>
      <c r="K243" s="3" t="s">
        <v>349</v>
      </c>
      <c r="L243" s="3" t="n">
        <v>4</v>
      </c>
      <c r="M243" s="3" t="n">
        <v>16.9</v>
      </c>
      <c r="N243" s="3" t="s">
        <v>96</v>
      </c>
      <c r="O243" s="3"/>
      <c r="P243" s="10"/>
      <c r="Q243" s="3" t="n">
        <f aca="false">IF(F243="Disposable",1,0)</f>
        <v>0</v>
      </c>
      <c r="R243" s="3" t="n">
        <f aca="false">IF(SUMPRODUCT(--ISNUMBER(SEARCH('Spam Rules'!$A$22:$A$35,K243)))&gt;0,1,0)</f>
        <v>0</v>
      </c>
      <c r="S243" s="3" t="n">
        <f aca="false">IF(AND(F243="Free",G243=""),1,0)</f>
        <v>1</v>
      </c>
      <c r="T243" s="3" t="n">
        <f aca="false">IF(LEN(TRIM(K243))&lt;15,1,0)</f>
        <v>0</v>
      </c>
      <c r="U243" s="3" t="n">
        <f aca="false">IF(COUNTIF($E$2:$E$801,E243)&gt;1,1,0)</f>
        <v>0</v>
      </c>
      <c r="V243" s="3" t="n">
        <f aca="false">Q243*'Spam Rules'!$H$6+R243*'Spam Rules'!$H$7+S243*'Spam Rules'!$H$8+T243*'Spam Rules'!$H$9+U243*'Spam Rules'!$H$10</f>
        <v>0</v>
      </c>
      <c r="W243" s="3" t="str">
        <f aca="false">IF(V243&gt;='Spam Rules'!$B$3,"Likely Spam","Genuine")</f>
        <v>Genuine</v>
      </c>
      <c r="X243" s="3" t="n">
        <f aca="false">IFERROR(INDEX('Scoring Model'!$B$5:$B$11,MATCH(C243,'Scoring Model'!$A$5:$A$11,0)),0)</f>
        <v>0</v>
      </c>
      <c r="Y243" s="3" t="n">
        <f aca="false">IFERROR(INDEX('Scoring Model'!$E$5:$E$7,MATCH(F243,'Scoring Model'!$D$5:$D$7,0)),0)</f>
        <v>0</v>
      </c>
      <c r="Z243" s="3" t="n">
        <f aca="false">IFERROR(INDEX('Scoring Model'!$H$5:$H$13,MATCH(J243,'Scoring Model'!$G$5:$G$13,0)),0)</f>
        <v>5</v>
      </c>
      <c r="AA243" s="3" t="n">
        <f aca="false">IF(L243&gt;='Scoring Model'!$B$14,'Scoring Model'!$B$15,IF(L243&gt;='Scoring Model'!$B$16,'Scoring Model'!$B$17,0))</f>
        <v>8</v>
      </c>
      <c r="AB243" s="3" t="n">
        <f aca="false">IF(SUMPRODUCT(--ISNUMBER(SEARCH('Scoring Model'!$D$16:$D$25,K243)))&gt;0,'Scoring Model'!$B$18,0)</f>
        <v>0</v>
      </c>
      <c r="AC243" s="3" t="n">
        <f aca="false">IF(SUMPRODUCT(--ISNUMBER(SEARCH('Scoring Model'!$G$16:$G$23,K243)))&gt;0,'Scoring Model'!$B$19,0)</f>
        <v>-30</v>
      </c>
      <c r="AD243" s="3" t="n">
        <f aca="false">IF(W243="Likely Spam","",SUM(X243:AC243))</f>
        <v>-17</v>
      </c>
      <c r="AE243" s="3" t="str">
        <f aca="false">IF(W243="Likely Spam","Spam",IF(AD243&gt;='Scoring Model'!$B$21,"Hot",IF(AD243&gt;='Scoring Model'!$B$22,"Warm","Nurture")))</f>
        <v>Nurture</v>
      </c>
      <c r="AF243" s="3" t="str">
        <f aca="false">IF(W243="Likely Spam","Flagged by spam rules",TRIM(IF(X243&gt;=20,"Strong source. ","")&amp;IF(Y243&gt;0,"Company email. ","")&amp;IF(Z243&gt;=15,"High-value product. ","")&amp;IF(AA243&gt;='Scoring Model'!$B$15,"High engagement. ","")&amp;IF(AB243&gt;0,"Buying intent in message. ","")&amp;IF(AC243&lt;0,"Negative intent in message. ","")))</f>
        <v>Negative intent in message.</v>
      </c>
      <c r="AG243" s="11" t="n">
        <f aca="false">IF(W243="Likely Spam","",1/(1+EXP(-('Conversion Model'!$B$5+IFERROR(INDEX('Conversion Model'!$B$8:$B$14,MATCH(C243,'Conversion Model'!$A$8:$A$14,0)),0)+IFERROR(INDEX('Conversion Model'!$E$8:$E$9,MATCH(F243,'Conversion Model'!$D$8:$D$9,0)),0)+IFERROR(INDEX('Conversion Model'!$H$8:$H$12,MATCH(IF(LEFT(J243,8)="Payments","Payments",IF(LEFT(J243,7)="Lending","Lending",J243)),'Conversion Model'!$G$8:$G$12,0)),0)+MIN(L243,15)*'Conversion Model'!$B$17+IF(SUMPRODUCT(--ISNUMBER(SEARCH('Scoring Model'!$D$16:$D$25,K243)))&gt;0,'Conversion Model'!$B$18,0)+IF(SUMPRODUCT(--ISNUMBER(SEARCH('Scoring Model'!$G$16:$G$23,K243)))&gt;0,'Conversion Model'!$B$19,0)))))</f>
        <v>0.0060357567091923</v>
      </c>
      <c r="AH243" s="3" t="str">
        <f aca="false">IF(OR(O243="Qualified",O243="Won",O243="Lost"),1,IF(O243="Unqualified",0,""))</f>
        <v/>
      </c>
    </row>
    <row r="244" customFormat="false" ht="15" hidden="false" customHeight="true" outlineLevel="0" collapsed="false">
      <c r="A244" s="3" t="s">
        <v>1043</v>
      </c>
      <c r="B244" s="9" t="n">
        <v>46040.9354166667</v>
      </c>
      <c r="C244" s="3" t="s">
        <v>112</v>
      </c>
      <c r="D244" s="3" t="s">
        <v>77</v>
      </c>
      <c r="E244" s="3" t="s">
        <v>1044</v>
      </c>
      <c r="F244" s="3" t="s">
        <v>22</v>
      </c>
      <c r="G244" s="3" t="s">
        <v>1045</v>
      </c>
      <c r="H244" s="3" t="s">
        <v>1046</v>
      </c>
      <c r="I244" s="3" t="s">
        <v>116</v>
      </c>
      <c r="J244" s="3" t="s">
        <v>108</v>
      </c>
      <c r="K244" s="3" t="s">
        <v>189</v>
      </c>
      <c r="L244" s="3" t="n">
        <v>5</v>
      </c>
      <c r="M244" s="3" t="n">
        <v>8.8</v>
      </c>
      <c r="N244" s="3" t="s">
        <v>59</v>
      </c>
      <c r="O244" s="3" t="s">
        <v>194</v>
      </c>
      <c r="P244" s="10"/>
      <c r="Q244" s="3" t="n">
        <f aca="false">IF(F244="Disposable",1,0)</f>
        <v>0</v>
      </c>
      <c r="R244" s="3" t="n">
        <f aca="false">IF(SUMPRODUCT(--ISNUMBER(SEARCH('Spam Rules'!$A$22:$A$35,K244)))&gt;0,1,0)</f>
        <v>0</v>
      </c>
      <c r="S244" s="3" t="n">
        <f aca="false">IF(AND(F244="Free",G244=""),1,0)</f>
        <v>0</v>
      </c>
      <c r="T244" s="3" t="n">
        <f aca="false">IF(LEN(TRIM(K244))&lt;15,1,0)</f>
        <v>0</v>
      </c>
      <c r="U244" s="3" t="n">
        <f aca="false">IF(COUNTIF($E$2:$E$801,E244)&gt;1,1,0)</f>
        <v>0</v>
      </c>
      <c r="V244" s="3" t="n">
        <f aca="false">Q244*'Spam Rules'!$H$6+R244*'Spam Rules'!$H$7+S244*'Spam Rules'!$H$8+T244*'Spam Rules'!$H$9+U244*'Spam Rules'!$H$10</f>
        <v>0</v>
      </c>
      <c r="W244" s="3" t="str">
        <f aca="false">IF(V244&gt;='Spam Rules'!$B$3,"Likely Spam","Genuine")</f>
        <v>Genuine</v>
      </c>
      <c r="X244" s="3" t="n">
        <f aca="false">IFERROR(INDEX('Scoring Model'!$B$5:$B$11,MATCH(C244,'Scoring Model'!$A$5:$A$11,0)),0)</f>
        <v>15</v>
      </c>
      <c r="Y244" s="3" t="n">
        <f aca="false">IFERROR(INDEX('Scoring Model'!$E$5:$E$7,MATCH(F244,'Scoring Model'!$D$5:$D$7,0)),0)</f>
        <v>20</v>
      </c>
      <c r="Z244" s="3" t="n">
        <f aca="false">IFERROR(INDEX('Scoring Model'!$H$5:$H$13,MATCH(J244,'Scoring Model'!$G$5:$G$13,0)),0)</f>
        <v>15</v>
      </c>
      <c r="AA244" s="3" t="n">
        <f aca="false">IF(L244&gt;='Scoring Model'!$B$14,'Scoring Model'!$B$15,IF(L244&gt;='Scoring Model'!$B$16,'Scoring Model'!$B$17,0))</f>
        <v>8</v>
      </c>
      <c r="AB244" s="3" t="n">
        <f aca="false">IF(SUMPRODUCT(--ISNUMBER(SEARCH('Scoring Model'!$D$16:$D$25,K244)))&gt;0,'Scoring Model'!$B$18,0)</f>
        <v>15</v>
      </c>
      <c r="AC244" s="3" t="n">
        <f aca="false">IF(SUMPRODUCT(--ISNUMBER(SEARCH('Scoring Model'!$G$16:$G$23,K244)))&gt;0,'Scoring Model'!$B$19,0)</f>
        <v>0</v>
      </c>
      <c r="AD244" s="3" t="n">
        <f aca="false">IF(W244="Likely Spam","",SUM(X244:AC244))</f>
        <v>73</v>
      </c>
      <c r="AE244" s="3" t="str">
        <f aca="false">IF(W244="Likely Spam","Spam",IF(AD244&gt;='Scoring Model'!$B$21,"Hot",IF(AD244&gt;='Scoring Model'!$B$22,"Warm","Nurture")))</f>
        <v>Hot</v>
      </c>
      <c r="AF244" s="3" t="str">
        <f aca="false">IF(W244="Likely Spam","Flagged by spam rules",TRIM(IF(X244&gt;=20,"Strong source. ","")&amp;IF(Y244&gt;0,"Company email. ","")&amp;IF(Z244&gt;=15,"High-value product. ","")&amp;IF(AA244&gt;='Scoring Model'!$B$15,"High engagement. ","")&amp;IF(AB244&gt;0,"Buying intent in message. ","")&amp;IF(AC244&lt;0,"Negative intent in message. ","")))</f>
        <v>Company email. High-value product. Buying intent in message.</v>
      </c>
      <c r="AG244" s="11" t="n">
        <f aca="false">IF(W244="Likely Spam","",1/(1+EXP(-('Conversion Model'!$B$5+IFERROR(INDEX('Conversion Model'!$B$8:$B$14,MATCH(C244,'Conversion Model'!$A$8:$A$14,0)),0)+IFERROR(INDEX('Conversion Model'!$E$8:$E$9,MATCH(F244,'Conversion Model'!$D$8:$D$9,0)),0)+IFERROR(INDEX('Conversion Model'!$H$8:$H$12,MATCH(IF(LEFT(J244,8)="Payments","Payments",IF(LEFT(J244,7)="Lending","Lending",J244)),'Conversion Model'!$G$8:$G$12,0)),0)+MIN(L244,15)*'Conversion Model'!$B$17+IF(SUMPRODUCT(--ISNUMBER(SEARCH('Scoring Model'!$D$16:$D$25,K244)))&gt;0,'Conversion Model'!$B$18,0)+IF(SUMPRODUCT(--ISNUMBER(SEARCH('Scoring Model'!$G$16:$G$23,K244)))&gt;0,'Conversion Model'!$B$19,0)))))</f>
        <v>0.693386592056496</v>
      </c>
      <c r="AH244" s="3" t="n">
        <f aca="false">IF(OR(O244="Qualified",O244="Won",O244="Lost"),1,IF(O244="Unqualified",0,""))</f>
        <v>0</v>
      </c>
    </row>
    <row r="245" customFormat="false" ht="15" hidden="false" customHeight="true" outlineLevel="0" collapsed="false">
      <c r="A245" s="3" t="s">
        <v>1047</v>
      </c>
      <c r="B245" s="9" t="n">
        <v>46041.1576388889</v>
      </c>
      <c r="C245" s="3" t="s">
        <v>51</v>
      </c>
      <c r="D245" s="3" t="s">
        <v>1048</v>
      </c>
      <c r="E245" s="3" t="s">
        <v>1049</v>
      </c>
      <c r="F245" s="3" t="s">
        <v>54</v>
      </c>
      <c r="G245" s="3" t="s">
        <v>977</v>
      </c>
      <c r="H245" s="3"/>
      <c r="I245" s="3" t="s">
        <v>116</v>
      </c>
      <c r="J245" s="3" t="s">
        <v>145</v>
      </c>
      <c r="K245" s="3" t="s">
        <v>101</v>
      </c>
      <c r="L245" s="3" t="n">
        <v>4</v>
      </c>
      <c r="M245" s="3" t="n">
        <v>16.4</v>
      </c>
      <c r="N245" s="3" t="s">
        <v>67</v>
      </c>
      <c r="O245" s="3"/>
      <c r="P245" s="10"/>
      <c r="Q245" s="3" t="n">
        <f aca="false">IF(F245="Disposable",1,0)</f>
        <v>0</v>
      </c>
      <c r="R245" s="3" t="n">
        <f aca="false">IF(SUMPRODUCT(--ISNUMBER(SEARCH('Spam Rules'!$A$22:$A$35,K245)))&gt;0,1,0)</f>
        <v>0</v>
      </c>
      <c r="S245" s="3" t="n">
        <f aca="false">IF(AND(F245="Free",G245=""),1,0)</f>
        <v>0</v>
      </c>
      <c r="T245" s="3" t="n">
        <f aca="false">IF(LEN(TRIM(K245))&lt;15,1,0)</f>
        <v>0</v>
      </c>
      <c r="U245" s="3" t="n">
        <f aca="false">IF(COUNTIF($E$2:$E$801,E245)&gt;1,1,0)</f>
        <v>0</v>
      </c>
      <c r="V245" s="3" t="n">
        <f aca="false">Q245*'Spam Rules'!$H$6+R245*'Spam Rules'!$H$7+S245*'Spam Rules'!$H$8+T245*'Spam Rules'!$H$9+U245*'Spam Rules'!$H$10</f>
        <v>0</v>
      </c>
      <c r="W245" s="3" t="str">
        <f aca="false">IF(V245&gt;='Spam Rules'!$B$3,"Likely Spam","Genuine")</f>
        <v>Genuine</v>
      </c>
      <c r="X245" s="3" t="n">
        <f aca="false">IFERROR(INDEX('Scoring Model'!$B$5:$B$11,MATCH(C245,'Scoring Model'!$A$5:$A$11,0)),0)</f>
        <v>10</v>
      </c>
      <c r="Y245" s="3" t="n">
        <f aca="false">IFERROR(INDEX('Scoring Model'!$E$5:$E$7,MATCH(F245,'Scoring Model'!$D$5:$D$7,0)),0)</f>
        <v>0</v>
      </c>
      <c r="Z245" s="3" t="n">
        <f aca="false">IFERROR(INDEX('Scoring Model'!$H$5:$H$13,MATCH(J245,'Scoring Model'!$G$5:$G$13,0)),0)</f>
        <v>5</v>
      </c>
      <c r="AA245" s="3" t="n">
        <f aca="false">IF(L245&gt;='Scoring Model'!$B$14,'Scoring Model'!$B$15,IF(L245&gt;='Scoring Model'!$B$16,'Scoring Model'!$B$17,0))</f>
        <v>8</v>
      </c>
      <c r="AB245" s="3" t="n">
        <f aca="false">IF(SUMPRODUCT(--ISNUMBER(SEARCH('Scoring Model'!$D$16:$D$25,K245)))&gt;0,'Scoring Model'!$B$18,0)</f>
        <v>0</v>
      </c>
      <c r="AC245" s="3" t="n">
        <f aca="false">IF(SUMPRODUCT(--ISNUMBER(SEARCH('Scoring Model'!$G$16:$G$23,K245)))&gt;0,'Scoring Model'!$B$19,0)</f>
        <v>-30</v>
      </c>
      <c r="AD245" s="3" t="n">
        <f aca="false">IF(W245="Likely Spam","",SUM(X245:AC245))</f>
        <v>-7</v>
      </c>
      <c r="AE245" s="3" t="str">
        <f aca="false">IF(W245="Likely Spam","Spam",IF(AD245&gt;='Scoring Model'!$B$21,"Hot",IF(AD245&gt;='Scoring Model'!$B$22,"Warm","Nurture")))</f>
        <v>Nurture</v>
      </c>
      <c r="AF245" s="3" t="str">
        <f aca="false">IF(W245="Likely Spam","Flagged by spam rules",TRIM(IF(X245&gt;=20,"Strong source. ","")&amp;IF(Y245&gt;0,"Company email. ","")&amp;IF(Z245&gt;=15,"High-value product. ","")&amp;IF(AA245&gt;='Scoring Model'!$B$15,"High engagement. ","")&amp;IF(AB245&gt;0,"Buying intent in message. ","")&amp;IF(AC245&lt;0,"Negative intent in message. ","")))</f>
        <v>Negative intent in message.</v>
      </c>
      <c r="AG245" s="11" t="n">
        <f aca="false">IF(W245="Likely Spam","",1/(1+EXP(-('Conversion Model'!$B$5+IFERROR(INDEX('Conversion Model'!$B$8:$B$14,MATCH(C245,'Conversion Model'!$A$8:$A$14,0)),0)+IFERROR(INDEX('Conversion Model'!$E$8:$E$9,MATCH(F245,'Conversion Model'!$D$8:$D$9,0)),0)+IFERROR(INDEX('Conversion Model'!$H$8:$H$12,MATCH(IF(LEFT(J245,8)="Payments","Payments",IF(LEFT(J245,7)="Lending","Lending",J245)),'Conversion Model'!$G$8:$G$12,0)),0)+MIN(L245,15)*'Conversion Model'!$B$17+IF(SUMPRODUCT(--ISNUMBER(SEARCH('Scoring Model'!$D$16:$D$25,K245)))&gt;0,'Conversion Model'!$B$18,0)+IF(SUMPRODUCT(--ISNUMBER(SEARCH('Scoring Model'!$G$16:$G$23,K245)))&gt;0,'Conversion Model'!$B$19,0)))))</f>
        <v>0.0141470651151213</v>
      </c>
      <c r="AH245" s="3" t="str">
        <f aca="false">IF(OR(O245="Qualified",O245="Won",O245="Lost"),1,IF(O245="Unqualified",0,""))</f>
        <v/>
      </c>
    </row>
    <row r="246" customFormat="false" ht="15" hidden="false" customHeight="true" outlineLevel="0" collapsed="false">
      <c r="A246" s="3" t="s">
        <v>1050</v>
      </c>
      <c r="B246" s="9" t="n">
        <v>46041.2923611111</v>
      </c>
      <c r="C246" s="3" t="s">
        <v>91</v>
      </c>
      <c r="D246" s="3" t="s">
        <v>1051</v>
      </c>
      <c r="E246" s="3" t="s">
        <v>1052</v>
      </c>
      <c r="F246" s="3" t="s">
        <v>54</v>
      </c>
      <c r="G246" s="3"/>
      <c r="H246" s="3"/>
      <c r="I246" s="3" t="s">
        <v>88</v>
      </c>
      <c r="J246" s="3" t="s">
        <v>65</v>
      </c>
      <c r="K246" s="3" t="s">
        <v>74</v>
      </c>
      <c r="L246" s="3" t="n">
        <v>1</v>
      </c>
      <c r="M246" s="3" t="n">
        <v>88.8</v>
      </c>
      <c r="N246" s="3" t="s">
        <v>171</v>
      </c>
      <c r="O246" s="3"/>
      <c r="P246" s="10"/>
      <c r="Q246" s="3" t="n">
        <f aca="false">IF(F246="Disposable",1,0)</f>
        <v>0</v>
      </c>
      <c r="R246" s="3" t="n">
        <f aca="false">IF(SUMPRODUCT(--ISNUMBER(SEARCH('Spam Rules'!$A$22:$A$35,K246)))&gt;0,1,0)</f>
        <v>0</v>
      </c>
      <c r="S246" s="3" t="n">
        <f aca="false">IF(AND(F246="Free",G246=""),1,0)</f>
        <v>1</v>
      </c>
      <c r="T246" s="3" t="n">
        <f aca="false">IF(LEN(TRIM(K246))&lt;15,1,0)</f>
        <v>0</v>
      </c>
      <c r="U246" s="3" t="n">
        <f aca="false">IF(COUNTIF($E$2:$E$801,E246)&gt;1,1,0)</f>
        <v>0</v>
      </c>
      <c r="V246" s="3" t="n">
        <f aca="false">Q246*'Spam Rules'!$H$6+R246*'Spam Rules'!$H$7+S246*'Spam Rules'!$H$8+T246*'Spam Rules'!$H$9+U246*'Spam Rules'!$H$10</f>
        <v>0</v>
      </c>
      <c r="W246" s="3" t="str">
        <f aca="false">IF(V246&gt;='Spam Rules'!$B$3,"Likely Spam","Genuine")</f>
        <v>Genuine</v>
      </c>
      <c r="X246" s="3" t="n">
        <f aca="false">IFERROR(INDEX('Scoring Model'!$B$5:$B$11,MATCH(C246,'Scoring Model'!$A$5:$A$11,0)),0)</f>
        <v>5</v>
      </c>
      <c r="Y246" s="3" t="n">
        <f aca="false">IFERROR(INDEX('Scoring Model'!$E$5:$E$7,MATCH(F246,'Scoring Model'!$D$5:$D$7,0)),0)</f>
        <v>0</v>
      </c>
      <c r="Z246" s="3" t="n">
        <f aca="false">IFERROR(INDEX('Scoring Model'!$H$5:$H$13,MATCH(J246,'Scoring Model'!$G$5:$G$13,0)),0)</f>
        <v>0</v>
      </c>
      <c r="AA246" s="3" t="n">
        <f aca="false">IF(L246&gt;='Scoring Model'!$B$14,'Scoring Model'!$B$15,IF(L246&gt;='Scoring Model'!$B$16,'Scoring Model'!$B$17,0))</f>
        <v>0</v>
      </c>
      <c r="AB246" s="3" t="n">
        <f aca="false">IF(SUMPRODUCT(--ISNUMBER(SEARCH('Scoring Model'!$D$16:$D$25,K246)))&gt;0,'Scoring Model'!$B$18,0)</f>
        <v>0</v>
      </c>
      <c r="AC246" s="3" t="n">
        <f aca="false">IF(SUMPRODUCT(--ISNUMBER(SEARCH('Scoring Model'!$G$16:$G$23,K246)))&gt;0,'Scoring Model'!$B$19,0)</f>
        <v>-30</v>
      </c>
      <c r="AD246" s="3" t="n">
        <f aca="false">IF(W246="Likely Spam","",SUM(X246:AC246))</f>
        <v>-25</v>
      </c>
      <c r="AE246" s="3" t="str">
        <f aca="false">IF(W246="Likely Spam","Spam",IF(AD246&gt;='Scoring Model'!$B$21,"Hot",IF(AD246&gt;='Scoring Model'!$B$22,"Warm","Nurture")))</f>
        <v>Nurture</v>
      </c>
      <c r="AF246" s="3" t="str">
        <f aca="false">IF(W246="Likely Spam","Flagged by spam rules",TRIM(IF(X246&gt;=20,"Strong source. ","")&amp;IF(Y246&gt;0,"Company email. ","")&amp;IF(Z246&gt;=15,"High-value product. ","")&amp;IF(AA246&gt;='Scoring Model'!$B$15,"High engagement. ","")&amp;IF(AB246&gt;0,"Buying intent in message. ","")&amp;IF(AC246&lt;0,"Negative intent in message. ","")))</f>
        <v>Negative intent in message.</v>
      </c>
      <c r="AG246" s="11" t="n">
        <f aca="false">IF(W246="Likely Spam","",1/(1+EXP(-('Conversion Model'!$B$5+IFERROR(INDEX('Conversion Model'!$B$8:$B$14,MATCH(C246,'Conversion Model'!$A$8:$A$14,0)),0)+IFERROR(INDEX('Conversion Model'!$E$8:$E$9,MATCH(F246,'Conversion Model'!$D$8:$D$9,0)),0)+IFERROR(INDEX('Conversion Model'!$H$8:$H$12,MATCH(IF(LEFT(J246,8)="Payments","Payments",IF(LEFT(J246,7)="Lending","Lending",J246)),'Conversion Model'!$G$8:$G$12,0)),0)+MIN(L246,15)*'Conversion Model'!$B$17+IF(SUMPRODUCT(--ISNUMBER(SEARCH('Scoring Model'!$D$16:$D$25,K246)))&gt;0,'Conversion Model'!$B$18,0)+IF(SUMPRODUCT(--ISNUMBER(SEARCH('Scoring Model'!$G$16:$G$23,K246)))&gt;0,'Conversion Model'!$B$19,0)))))</f>
        <v>0.000679142643711316</v>
      </c>
      <c r="AH246" s="3" t="str">
        <f aca="false">IF(OR(O246="Qualified",O246="Won",O246="Lost"),1,IF(O246="Unqualified",0,""))</f>
        <v/>
      </c>
    </row>
    <row r="247" customFormat="false" ht="15" hidden="false" customHeight="true" outlineLevel="0" collapsed="false">
      <c r="A247" s="3" t="s">
        <v>1053</v>
      </c>
      <c r="B247" s="9" t="n">
        <v>46041.5722222222</v>
      </c>
      <c r="C247" s="3" t="s">
        <v>91</v>
      </c>
      <c r="D247" s="3" t="s">
        <v>1054</v>
      </c>
      <c r="E247" s="3" t="s">
        <v>1055</v>
      </c>
      <c r="F247" s="3" t="s">
        <v>54</v>
      </c>
      <c r="G247" s="3" t="s">
        <v>79</v>
      </c>
      <c r="H247" s="3"/>
      <c r="I247" s="3" t="s">
        <v>260</v>
      </c>
      <c r="J247" s="3" t="s">
        <v>81</v>
      </c>
      <c r="K247" s="3" t="s">
        <v>89</v>
      </c>
      <c r="L247" s="3" t="n">
        <v>1</v>
      </c>
      <c r="M247" s="3"/>
      <c r="N247" s="3" t="s">
        <v>67</v>
      </c>
      <c r="O247" s="3" t="s">
        <v>68</v>
      </c>
      <c r="P247" s="10"/>
      <c r="Q247" s="3" t="n">
        <f aca="false">IF(F247="Disposable",1,0)</f>
        <v>0</v>
      </c>
      <c r="R247" s="3" t="n">
        <f aca="false">IF(SUMPRODUCT(--ISNUMBER(SEARCH('Spam Rules'!$A$22:$A$35,K247)))&gt;0,1,0)</f>
        <v>1</v>
      </c>
      <c r="S247" s="3" t="n">
        <f aca="false">IF(AND(F247="Free",G247=""),1,0)</f>
        <v>0</v>
      </c>
      <c r="T247" s="3" t="n">
        <f aca="false">IF(LEN(TRIM(K247))&lt;15,1,0)</f>
        <v>0</v>
      </c>
      <c r="U247" s="3" t="n">
        <f aca="false">IF(COUNTIF($E$2:$E$801,E247)&gt;1,1,0)</f>
        <v>0</v>
      </c>
      <c r="V247" s="3" t="n">
        <f aca="false">Q247*'Spam Rules'!$H$6+R247*'Spam Rules'!$H$7+S247*'Spam Rules'!$H$8+T247*'Spam Rules'!$H$9+U247*'Spam Rules'!$H$10</f>
        <v>1</v>
      </c>
      <c r="W247" s="3" t="str">
        <f aca="false">IF(V247&gt;='Spam Rules'!$B$3,"Likely Spam","Genuine")</f>
        <v>Likely Spam</v>
      </c>
      <c r="X247" s="3" t="n">
        <f aca="false">IFERROR(INDEX('Scoring Model'!$B$5:$B$11,MATCH(C247,'Scoring Model'!$A$5:$A$11,0)),0)</f>
        <v>5</v>
      </c>
      <c r="Y247" s="3" t="n">
        <f aca="false">IFERROR(INDEX('Scoring Model'!$E$5:$E$7,MATCH(F247,'Scoring Model'!$D$5:$D$7,0)),0)</f>
        <v>0</v>
      </c>
      <c r="Z247" s="3" t="n">
        <f aca="false">IFERROR(INDEX('Scoring Model'!$H$5:$H$13,MATCH(J247,'Scoring Model'!$G$5:$G$13,0)),0)</f>
        <v>5</v>
      </c>
      <c r="AA247" s="3" t="n">
        <f aca="false">IF(L247&gt;='Scoring Model'!$B$14,'Scoring Model'!$B$15,IF(L247&gt;='Scoring Model'!$B$16,'Scoring Model'!$B$17,0))</f>
        <v>0</v>
      </c>
      <c r="AB247" s="3" t="n">
        <f aca="false">IF(SUMPRODUCT(--ISNUMBER(SEARCH('Scoring Model'!$D$16:$D$25,K247)))&gt;0,'Scoring Model'!$B$18,0)</f>
        <v>0</v>
      </c>
      <c r="AC247" s="3" t="n">
        <f aca="false">IF(SUMPRODUCT(--ISNUMBER(SEARCH('Scoring Model'!$G$16:$G$23,K247)))&gt;0,'Scoring Model'!$B$19,0)</f>
        <v>0</v>
      </c>
      <c r="AD247" s="3" t="str">
        <f aca="false">IF(W247="Likely Spam","",SUM(X247:AC247))</f>
        <v/>
      </c>
      <c r="AE247" s="3" t="str">
        <f aca="false">IF(W247="Likely Spam","Spam",IF(AD247&gt;='Scoring Model'!$B$21,"Hot",IF(AD247&gt;='Scoring Model'!$B$22,"Warm","Nurture")))</f>
        <v>Spam</v>
      </c>
      <c r="AF247" s="3" t="str">
        <f aca="false">IF(W247="Likely Spam","Flagged by spam rules",TRIM(IF(X247&gt;=20,"Strong source. ","")&amp;IF(Y247&gt;0,"Company email. ","")&amp;IF(Z247&gt;=15,"High-value product. ","")&amp;IF(AA247&gt;='Scoring Model'!$B$15,"High engagement. ","")&amp;IF(AB247&gt;0,"Buying intent in message. ","")&amp;IF(AC247&lt;0,"Negative intent in message. ","")))</f>
        <v>Flagged by spam rules</v>
      </c>
      <c r="AG247" s="11" t="str">
        <f aca="false">IF(W247="Likely Spam","",1/(1+EXP(-('Conversion Model'!$B$5+IFERROR(INDEX('Conversion Model'!$B$8:$B$14,MATCH(C247,'Conversion Model'!$A$8:$A$14,0)),0)+IFERROR(INDEX('Conversion Model'!$E$8:$E$9,MATCH(F247,'Conversion Model'!$D$8:$D$9,0)),0)+IFERROR(INDEX('Conversion Model'!$H$8:$H$12,MATCH(IF(LEFT(J247,8)="Payments","Payments",IF(LEFT(J247,7)="Lending","Lending",J247)),'Conversion Model'!$G$8:$G$12,0)),0)+MIN(L247,15)*'Conversion Model'!$B$17+IF(SUMPRODUCT(--ISNUMBER(SEARCH('Scoring Model'!$D$16:$D$25,K247)))&gt;0,'Conversion Model'!$B$18,0)+IF(SUMPRODUCT(--ISNUMBER(SEARCH('Scoring Model'!$G$16:$G$23,K247)))&gt;0,'Conversion Model'!$B$19,0)))))</f>
        <v/>
      </c>
      <c r="AH247" s="3" t="str">
        <f aca="false">IF(OR(O247="Qualified",O247="Won",O247="Lost"),1,IF(O247="Unqualified",0,""))</f>
        <v/>
      </c>
    </row>
    <row r="248" customFormat="false" ht="15" hidden="false" customHeight="true" outlineLevel="0" collapsed="false">
      <c r="A248" s="3" t="s">
        <v>1056</v>
      </c>
      <c r="B248" s="9" t="n">
        <v>46042.1881944445</v>
      </c>
      <c r="C248" s="3" t="s">
        <v>135</v>
      </c>
      <c r="D248" s="3" t="s">
        <v>1057</v>
      </c>
      <c r="E248" s="3" t="s">
        <v>1058</v>
      </c>
      <c r="F248" s="3" t="s">
        <v>54</v>
      </c>
      <c r="G248" s="3"/>
      <c r="H248" s="3"/>
      <c r="I248" s="3" t="s">
        <v>94</v>
      </c>
      <c r="J248" s="3" t="s">
        <v>145</v>
      </c>
      <c r="K248" s="3" t="s">
        <v>101</v>
      </c>
      <c r="L248" s="3" t="n">
        <v>3</v>
      </c>
      <c r="M248" s="3" t="n">
        <v>8.1</v>
      </c>
      <c r="N248" s="3" t="s">
        <v>96</v>
      </c>
      <c r="O248" s="3" t="s">
        <v>194</v>
      </c>
      <c r="P248" s="10"/>
      <c r="Q248" s="3" t="n">
        <f aca="false">IF(F248="Disposable",1,0)</f>
        <v>0</v>
      </c>
      <c r="R248" s="3" t="n">
        <f aca="false">IF(SUMPRODUCT(--ISNUMBER(SEARCH('Spam Rules'!$A$22:$A$35,K248)))&gt;0,1,0)</f>
        <v>0</v>
      </c>
      <c r="S248" s="3" t="n">
        <f aca="false">IF(AND(F248="Free",G248=""),1,0)</f>
        <v>1</v>
      </c>
      <c r="T248" s="3" t="n">
        <f aca="false">IF(LEN(TRIM(K248))&lt;15,1,0)</f>
        <v>0</v>
      </c>
      <c r="U248" s="3" t="n">
        <f aca="false">IF(COUNTIF($E$2:$E$801,E248)&gt;1,1,0)</f>
        <v>0</v>
      </c>
      <c r="V248" s="3" t="n">
        <f aca="false">Q248*'Spam Rules'!$H$6+R248*'Spam Rules'!$H$7+S248*'Spam Rules'!$H$8+T248*'Spam Rules'!$H$9+U248*'Spam Rules'!$H$10</f>
        <v>0</v>
      </c>
      <c r="W248" s="3" t="str">
        <f aca="false">IF(V248&gt;='Spam Rules'!$B$3,"Likely Spam","Genuine")</f>
        <v>Genuine</v>
      </c>
      <c r="X248" s="3" t="n">
        <f aca="false">IFERROR(INDEX('Scoring Model'!$B$5:$B$11,MATCH(C248,'Scoring Model'!$A$5:$A$11,0)),0)</f>
        <v>20</v>
      </c>
      <c r="Y248" s="3" t="n">
        <f aca="false">IFERROR(INDEX('Scoring Model'!$E$5:$E$7,MATCH(F248,'Scoring Model'!$D$5:$D$7,0)),0)</f>
        <v>0</v>
      </c>
      <c r="Z248" s="3" t="n">
        <f aca="false">IFERROR(INDEX('Scoring Model'!$H$5:$H$13,MATCH(J248,'Scoring Model'!$G$5:$G$13,0)),0)</f>
        <v>5</v>
      </c>
      <c r="AA248" s="3" t="n">
        <f aca="false">IF(L248&gt;='Scoring Model'!$B$14,'Scoring Model'!$B$15,IF(L248&gt;='Scoring Model'!$B$16,'Scoring Model'!$B$17,0))</f>
        <v>0</v>
      </c>
      <c r="AB248" s="3" t="n">
        <f aca="false">IF(SUMPRODUCT(--ISNUMBER(SEARCH('Scoring Model'!$D$16:$D$25,K248)))&gt;0,'Scoring Model'!$B$18,0)</f>
        <v>0</v>
      </c>
      <c r="AC248" s="3" t="n">
        <f aca="false">IF(SUMPRODUCT(--ISNUMBER(SEARCH('Scoring Model'!$G$16:$G$23,K248)))&gt;0,'Scoring Model'!$B$19,0)</f>
        <v>-30</v>
      </c>
      <c r="AD248" s="3" t="n">
        <f aca="false">IF(W248="Likely Spam","",SUM(X248:AC248))</f>
        <v>-5</v>
      </c>
      <c r="AE248" s="3" t="str">
        <f aca="false">IF(W248="Likely Spam","Spam",IF(AD248&gt;='Scoring Model'!$B$21,"Hot",IF(AD248&gt;='Scoring Model'!$B$22,"Warm","Nurture")))</f>
        <v>Nurture</v>
      </c>
      <c r="AF248" s="3" t="str">
        <f aca="false">IF(W248="Likely Spam","Flagged by spam rules",TRIM(IF(X248&gt;=20,"Strong source. ","")&amp;IF(Y248&gt;0,"Company email. ","")&amp;IF(Z248&gt;=15,"High-value product. ","")&amp;IF(AA248&gt;='Scoring Model'!$B$15,"High engagement. ","")&amp;IF(AB248&gt;0,"Buying intent in message. ","")&amp;IF(AC248&lt;0,"Negative intent in message. ","")))</f>
        <v>Strong source. Negative intent in message.</v>
      </c>
      <c r="AG248" s="11" t="n">
        <f aca="false">IF(W248="Likely Spam","",1/(1+EXP(-('Conversion Model'!$B$5+IFERROR(INDEX('Conversion Model'!$B$8:$B$14,MATCH(C248,'Conversion Model'!$A$8:$A$14,0)),0)+IFERROR(INDEX('Conversion Model'!$E$8:$E$9,MATCH(F248,'Conversion Model'!$D$8:$D$9,0)),0)+IFERROR(INDEX('Conversion Model'!$H$8:$H$12,MATCH(IF(LEFT(J248,8)="Payments","Payments",IF(LEFT(J248,7)="Lending","Lending",J248)),'Conversion Model'!$G$8:$G$12,0)),0)+MIN(L248,15)*'Conversion Model'!$B$17+IF(SUMPRODUCT(--ISNUMBER(SEARCH('Scoring Model'!$D$16:$D$25,K248)))&gt;0,'Conversion Model'!$B$18,0)+IF(SUMPRODUCT(--ISNUMBER(SEARCH('Scoring Model'!$G$16:$G$23,K248)))&gt;0,'Conversion Model'!$B$19,0)))))</f>
        <v>0.0152171212086563</v>
      </c>
      <c r="AH248" s="3" t="n">
        <f aca="false">IF(OR(O248="Qualified",O248="Won",O248="Lost"),1,IF(O248="Unqualified",0,""))</f>
        <v>0</v>
      </c>
    </row>
    <row r="249" customFormat="false" ht="15" hidden="false" customHeight="true" outlineLevel="0" collapsed="false">
      <c r="A249" s="3" t="s">
        <v>1059</v>
      </c>
      <c r="B249" s="9" t="n">
        <v>46042.19375</v>
      </c>
      <c r="C249" s="3" t="s">
        <v>76</v>
      </c>
      <c r="D249" s="3" t="s">
        <v>1060</v>
      </c>
      <c r="E249" s="3" t="s">
        <v>1061</v>
      </c>
      <c r="F249" s="3" t="s">
        <v>63</v>
      </c>
      <c r="G249" s="3"/>
      <c r="H249" s="3"/>
      <c r="I249" s="3" t="s">
        <v>139</v>
      </c>
      <c r="J249" s="3" t="s">
        <v>122</v>
      </c>
      <c r="K249" s="3" t="s">
        <v>322</v>
      </c>
      <c r="L249" s="3" t="n">
        <v>1</v>
      </c>
      <c r="M249" s="3" t="n">
        <v>9.9</v>
      </c>
      <c r="N249" s="3" t="s">
        <v>171</v>
      </c>
      <c r="O249" s="3"/>
      <c r="P249" s="10"/>
      <c r="Q249" s="3" t="n">
        <f aca="false">IF(F249="Disposable",1,0)</f>
        <v>1</v>
      </c>
      <c r="R249" s="3" t="n">
        <f aca="false">IF(SUMPRODUCT(--ISNUMBER(SEARCH('Spam Rules'!$A$22:$A$35,K249)))&gt;0,1,0)</f>
        <v>0</v>
      </c>
      <c r="S249" s="3" t="n">
        <f aca="false">IF(AND(F249="Free",G249=""),1,0)</f>
        <v>0</v>
      </c>
      <c r="T249" s="3" t="n">
        <f aca="false">IF(LEN(TRIM(K249))&lt;15,1,0)</f>
        <v>1</v>
      </c>
      <c r="U249" s="3" t="n">
        <f aca="false">IF(COUNTIF($E$2:$E$801,E249)&gt;1,1,0)</f>
        <v>0</v>
      </c>
      <c r="V249" s="3" t="n">
        <f aca="false">Q249*'Spam Rules'!$H$6+R249*'Spam Rules'!$H$7+S249*'Spam Rules'!$H$8+T249*'Spam Rules'!$H$9+U249*'Spam Rules'!$H$10</f>
        <v>2</v>
      </c>
      <c r="W249" s="3" t="str">
        <f aca="false">IF(V249&gt;='Spam Rules'!$B$3,"Likely Spam","Genuine")</f>
        <v>Likely Spam</v>
      </c>
      <c r="X249" s="3" t="n">
        <f aca="false">IFERROR(INDEX('Scoring Model'!$B$5:$B$11,MATCH(C249,'Scoring Model'!$A$5:$A$11,0)),0)</f>
        <v>0</v>
      </c>
      <c r="Y249" s="3" t="n">
        <f aca="false">IFERROR(INDEX('Scoring Model'!$E$5:$E$7,MATCH(F249,'Scoring Model'!$D$5:$D$7,0)),0)</f>
        <v>0</v>
      </c>
      <c r="Z249" s="3" t="n">
        <f aca="false">IFERROR(INDEX('Scoring Model'!$H$5:$H$13,MATCH(J249,'Scoring Model'!$G$5:$G$13,0)),0)</f>
        <v>15</v>
      </c>
      <c r="AA249" s="3" t="n">
        <f aca="false">IF(L249&gt;='Scoring Model'!$B$14,'Scoring Model'!$B$15,IF(L249&gt;='Scoring Model'!$B$16,'Scoring Model'!$B$17,0))</f>
        <v>0</v>
      </c>
      <c r="AB249" s="3" t="n">
        <f aca="false">IF(SUMPRODUCT(--ISNUMBER(SEARCH('Scoring Model'!$D$16:$D$25,K249)))&gt;0,'Scoring Model'!$B$18,0)</f>
        <v>0</v>
      </c>
      <c r="AC249" s="3" t="n">
        <f aca="false">IF(SUMPRODUCT(--ISNUMBER(SEARCH('Scoring Model'!$G$16:$G$23,K249)))&gt;0,'Scoring Model'!$B$19,0)</f>
        <v>0</v>
      </c>
      <c r="AD249" s="3" t="str">
        <f aca="false">IF(W249="Likely Spam","",SUM(X249:AC249))</f>
        <v/>
      </c>
      <c r="AE249" s="3" t="str">
        <f aca="false">IF(W249="Likely Spam","Spam",IF(AD249&gt;='Scoring Model'!$B$21,"Hot",IF(AD249&gt;='Scoring Model'!$B$22,"Warm","Nurture")))</f>
        <v>Spam</v>
      </c>
      <c r="AF249" s="3" t="str">
        <f aca="false">IF(W249="Likely Spam","Flagged by spam rules",TRIM(IF(X249&gt;=20,"Strong source. ","")&amp;IF(Y249&gt;0,"Company email. ","")&amp;IF(Z249&gt;=15,"High-value product. ","")&amp;IF(AA249&gt;='Scoring Model'!$B$15,"High engagement. ","")&amp;IF(AB249&gt;0,"Buying intent in message. ","")&amp;IF(AC249&lt;0,"Negative intent in message. ","")))</f>
        <v>Flagged by spam rules</v>
      </c>
      <c r="AG249" s="11" t="str">
        <f aca="false">IF(W249="Likely Spam","",1/(1+EXP(-('Conversion Model'!$B$5+IFERROR(INDEX('Conversion Model'!$B$8:$B$14,MATCH(C249,'Conversion Model'!$A$8:$A$14,0)),0)+IFERROR(INDEX('Conversion Model'!$E$8:$E$9,MATCH(F249,'Conversion Model'!$D$8:$D$9,0)),0)+IFERROR(INDEX('Conversion Model'!$H$8:$H$12,MATCH(IF(LEFT(J249,8)="Payments","Payments",IF(LEFT(J249,7)="Lending","Lending",J249)),'Conversion Model'!$G$8:$G$12,0)),0)+MIN(L249,15)*'Conversion Model'!$B$17+IF(SUMPRODUCT(--ISNUMBER(SEARCH('Scoring Model'!$D$16:$D$25,K249)))&gt;0,'Conversion Model'!$B$18,0)+IF(SUMPRODUCT(--ISNUMBER(SEARCH('Scoring Model'!$G$16:$G$23,K249)))&gt;0,'Conversion Model'!$B$19,0)))))</f>
        <v/>
      </c>
      <c r="AH249" s="3" t="str">
        <f aca="false">IF(OR(O249="Qualified",O249="Won",O249="Lost"),1,IF(O249="Unqualified",0,""))</f>
        <v/>
      </c>
    </row>
    <row r="250" customFormat="false" ht="15" hidden="false" customHeight="true" outlineLevel="0" collapsed="false">
      <c r="A250" s="3" t="s">
        <v>1062</v>
      </c>
      <c r="B250" s="9" t="n">
        <v>46042.3326388889</v>
      </c>
      <c r="C250" s="3" t="s">
        <v>76</v>
      </c>
      <c r="D250" s="3" t="s">
        <v>508</v>
      </c>
      <c r="E250" s="3" t="s">
        <v>1063</v>
      </c>
      <c r="F250" s="3" t="s">
        <v>54</v>
      </c>
      <c r="G250" s="3"/>
      <c r="H250" s="3"/>
      <c r="I250" s="3" t="s">
        <v>188</v>
      </c>
      <c r="J250" s="3" t="s">
        <v>65</v>
      </c>
      <c r="K250" s="3" t="s">
        <v>363</v>
      </c>
      <c r="L250" s="3" t="n">
        <v>1</v>
      </c>
      <c r="M250" s="3" t="n">
        <v>30.2</v>
      </c>
      <c r="N250" s="3" t="s">
        <v>67</v>
      </c>
      <c r="O250" s="3"/>
      <c r="P250" s="10"/>
      <c r="Q250" s="3" t="n">
        <f aca="false">IF(F250="Disposable",1,0)</f>
        <v>0</v>
      </c>
      <c r="R250" s="3" t="n">
        <f aca="false">IF(SUMPRODUCT(--ISNUMBER(SEARCH('Spam Rules'!$A$22:$A$35,K250)))&gt;0,1,0)</f>
        <v>1</v>
      </c>
      <c r="S250" s="3" t="n">
        <f aca="false">IF(AND(F250="Free",G250=""),1,0)</f>
        <v>1</v>
      </c>
      <c r="T250" s="3" t="n">
        <f aca="false">IF(LEN(TRIM(K250))&lt;15,1,0)</f>
        <v>0</v>
      </c>
      <c r="U250" s="3" t="n">
        <f aca="false">IF(COUNTIF($E$2:$E$801,E250)&gt;1,1,0)</f>
        <v>1</v>
      </c>
      <c r="V250" s="3" t="n">
        <f aca="false">Q250*'Spam Rules'!$H$6+R250*'Spam Rules'!$H$7+S250*'Spam Rules'!$H$8+T250*'Spam Rules'!$H$9+U250*'Spam Rules'!$H$10</f>
        <v>1</v>
      </c>
      <c r="W250" s="3" t="str">
        <f aca="false">IF(V250&gt;='Spam Rules'!$B$3,"Likely Spam","Genuine")</f>
        <v>Likely Spam</v>
      </c>
      <c r="X250" s="3" t="n">
        <f aca="false">IFERROR(INDEX('Scoring Model'!$B$5:$B$11,MATCH(C250,'Scoring Model'!$A$5:$A$11,0)),0)</f>
        <v>0</v>
      </c>
      <c r="Y250" s="3" t="n">
        <f aca="false">IFERROR(INDEX('Scoring Model'!$E$5:$E$7,MATCH(F250,'Scoring Model'!$D$5:$D$7,0)),0)</f>
        <v>0</v>
      </c>
      <c r="Z250" s="3" t="n">
        <f aca="false">IFERROR(INDEX('Scoring Model'!$H$5:$H$13,MATCH(J250,'Scoring Model'!$G$5:$G$13,0)),0)</f>
        <v>0</v>
      </c>
      <c r="AA250" s="3" t="n">
        <f aca="false">IF(L250&gt;='Scoring Model'!$B$14,'Scoring Model'!$B$15,IF(L250&gt;='Scoring Model'!$B$16,'Scoring Model'!$B$17,0))</f>
        <v>0</v>
      </c>
      <c r="AB250" s="3" t="n">
        <f aca="false">IF(SUMPRODUCT(--ISNUMBER(SEARCH('Scoring Model'!$D$16:$D$25,K250)))&gt;0,'Scoring Model'!$B$18,0)</f>
        <v>0</v>
      </c>
      <c r="AC250" s="3" t="n">
        <f aca="false">IF(SUMPRODUCT(--ISNUMBER(SEARCH('Scoring Model'!$G$16:$G$23,K250)))&gt;0,'Scoring Model'!$B$19,0)</f>
        <v>0</v>
      </c>
      <c r="AD250" s="3" t="str">
        <f aca="false">IF(W250="Likely Spam","",SUM(X250:AC250))</f>
        <v/>
      </c>
      <c r="AE250" s="3" t="str">
        <f aca="false">IF(W250="Likely Spam","Spam",IF(AD250&gt;='Scoring Model'!$B$21,"Hot",IF(AD250&gt;='Scoring Model'!$B$22,"Warm","Nurture")))</f>
        <v>Spam</v>
      </c>
      <c r="AF250" s="3" t="str">
        <f aca="false">IF(W250="Likely Spam","Flagged by spam rules",TRIM(IF(X250&gt;=20,"Strong source. ","")&amp;IF(Y250&gt;0,"Company email. ","")&amp;IF(Z250&gt;=15,"High-value product. ","")&amp;IF(AA250&gt;='Scoring Model'!$B$15,"High engagement. ","")&amp;IF(AB250&gt;0,"Buying intent in message. ","")&amp;IF(AC250&lt;0,"Negative intent in message. ","")))</f>
        <v>Flagged by spam rules</v>
      </c>
      <c r="AG250" s="11" t="str">
        <f aca="false">IF(W250="Likely Spam","",1/(1+EXP(-('Conversion Model'!$B$5+IFERROR(INDEX('Conversion Model'!$B$8:$B$14,MATCH(C250,'Conversion Model'!$A$8:$A$14,0)),0)+IFERROR(INDEX('Conversion Model'!$E$8:$E$9,MATCH(F250,'Conversion Model'!$D$8:$D$9,0)),0)+IFERROR(INDEX('Conversion Model'!$H$8:$H$12,MATCH(IF(LEFT(J250,8)="Payments","Payments",IF(LEFT(J250,7)="Lending","Lending",J250)),'Conversion Model'!$G$8:$G$12,0)),0)+MIN(L250,15)*'Conversion Model'!$B$17+IF(SUMPRODUCT(--ISNUMBER(SEARCH('Scoring Model'!$D$16:$D$25,K250)))&gt;0,'Conversion Model'!$B$18,0)+IF(SUMPRODUCT(--ISNUMBER(SEARCH('Scoring Model'!$G$16:$G$23,K250)))&gt;0,'Conversion Model'!$B$19,0)))))</f>
        <v/>
      </c>
      <c r="AH250" s="3" t="str">
        <f aca="false">IF(OR(O250="Qualified",O250="Won",O250="Lost"),1,IF(O250="Unqualified",0,""))</f>
        <v/>
      </c>
    </row>
    <row r="251" customFormat="false" ht="15" hidden="false" customHeight="true" outlineLevel="0" collapsed="false">
      <c r="A251" s="3" t="s">
        <v>1064</v>
      </c>
      <c r="B251" s="9" t="n">
        <v>46042.5541666667</v>
      </c>
      <c r="C251" s="3" t="s">
        <v>135</v>
      </c>
      <c r="D251" s="3" t="s">
        <v>700</v>
      </c>
      <c r="E251" s="3" t="s">
        <v>1065</v>
      </c>
      <c r="F251" s="3" t="s">
        <v>54</v>
      </c>
      <c r="G251" s="3" t="s">
        <v>1066</v>
      </c>
      <c r="H251" s="3"/>
      <c r="I251" s="3" t="s">
        <v>107</v>
      </c>
      <c r="J251" s="3" t="s">
        <v>81</v>
      </c>
      <c r="K251" s="3" t="s">
        <v>74</v>
      </c>
      <c r="L251" s="3" t="n">
        <v>3</v>
      </c>
      <c r="M251" s="3" t="n">
        <v>41.5</v>
      </c>
      <c r="N251" s="3" t="s">
        <v>67</v>
      </c>
      <c r="O251" s="3"/>
      <c r="P251" s="10"/>
      <c r="Q251" s="3" t="n">
        <f aca="false">IF(F251="Disposable",1,0)</f>
        <v>0</v>
      </c>
      <c r="R251" s="3" t="n">
        <f aca="false">IF(SUMPRODUCT(--ISNUMBER(SEARCH('Spam Rules'!$A$22:$A$35,K251)))&gt;0,1,0)</f>
        <v>0</v>
      </c>
      <c r="S251" s="3" t="n">
        <f aca="false">IF(AND(F251="Free",G251=""),1,0)</f>
        <v>0</v>
      </c>
      <c r="T251" s="3" t="n">
        <f aca="false">IF(LEN(TRIM(K251))&lt;15,1,0)</f>
        <v>0</v>
      </c>
      <c r="U251" s="3" t="n">
        <f aca="false">IF(COUNTIF($E$2:$E$801,E251)&gt;1,1,0)</f>
        <v>0</v>
      </c>
      <c r="V251" s="3" t="n">
        <f aca="false">Q251*'Spam Rules'!$H$6+R251*'Spam Rules'!$H$7+S251*'Spam Rules'!$H$8+T251*'Spam Rules'!$H$9+U251*'Spam Rules'!$H$10</f>
        <v>0</v>
      </c>
      <c r="W251" s="3" t="str">
        <f aca="false">IF(V251&gt;='Spam Rules'!$B$3,"Likely Spam","Genuine")</f>
        <v>Genuine</v>
      </c>
      <c r="X251" s="3" t="n">
        <f aca="false">IFERROR(INDEX('Scoring Model'!$B$5:$B$11,MATCH(C251,'Scoring Model'!$A$5:$A$11,0)),0)</f>
        <v>20</v>
      </c>
      <c r="Y251" s="3" t="n">
        <f aca="false">IFERROR(INDEX('Scoring Model'!$E$5:$E$7,MATCH(F251,'Scoring Model'!$D$5:$D$7,0)),0)</f>
        <v>0</v>
      </c>
      <c r="Z251" s="3" t="n">
        <f aca="false">IFERROR(INDEX('Scoring Model'!$H$5:$H$13,MATCH(J251,'Scoring Model'!$G$5:$G$13,0)),0)</f>
        <v>5</v>
      </c>
      <c r="AA251" s="3" t="n">
        <f aca="false">IF(L251&gt;='Scoring Model'!$B$14,'Scoring Model'!$B$15,IF(L251&gt;='Scoring Model'!$B$16,'Scoring Model'!$B$17,0))</f>
        <v>0</v>
      </c>
      <c r="AB251" s="3" t="n">
        <f aca="false">IF(SUMPRODUCT(--ISNUMBER(SEARCH('Scoring Model'!$D$16:$D$25,K251)))&gt;0,'Scoring Model'!$B$18,0)</f>
        <v>0</v>
      </c>
      <c r="AC251" s="3" t="n">
        <f aca="false">IF(SUMPRODUCT(--ISNUMBER(SEARCH('Scoring Model'!$G$16:$G$23,K251)))&gt;0,'Scoring Model'!$B$19,0)</f>
        <v>-30</v>
      </c>
      <c r="AD251" s="3" t="n">
        <f aca="false">IF(W251="Likely Spam","",SUM(X251:AC251))</f>
        <v>-5</v>
      </c>
      <c r="AE251" s="3" t="str">
        <f aca="false">IF(W251="Likely Spam","Spam",IF(AD251&gt;='Scoring Model'!$B$21,"Hot",IF(AD251&gt;='Scoring Model'!$B$22,"Warm","Nurture")))</f>
        <v>Nurture</v>
      </c>
      <c r="AF251" s="3" t="str">
        <f aca="false">IF(W251="Likely Spam","Flagged by spam rules",TRIM(IF(X251&gt;=20,"Strong source. ","")&amp;IF(Y251&gt;0,"Company email. ","")&amp;IF(Z251&gt;=15,"High-value product. ","")&amp;IF(AA251&gt;='Scoring Model'!$B$15,"High engagement. ","")&amp;IF(AB251&gt;0,"Buying intent in message. ","")&amp;IF(AC251&lt;0,"Negative intent in message. ","")))</f>
        <v>Strong source. Negative intent in message.</v>
      </c>
      <c r="AG251" s="11" t="n">
        <f aca="false">IF(W251="Likely Spam","",1/(1+EXP(-('Conversion Model'!$B$5+IFERROR(INDEX('Conversion Model'!$B$8:$B$14,MATCH(C251,'Conversion Model'!$A$8:$A$14,0)),0)+IFERROR(INDEX('Conversion Model'!$E$8:$E$9,MATCH(F251,'Conversion Model'!$D$8:$D$9,0)),0)+IFERROR(INDEX('Conversion Model'!$H$8:$H$12,MATCH(IF(LEFT(J251,8)="Payments","Payments",IF(LEFT(J251,7)="Lending","Lending",J251)),'Conversion Model'!$G$8:$G$12,0)),0)+MIN(L251,15)*'Conversion Model'!$B$17+IF(SUMPRODUCT(--ISNUMBER(SEARCH('Scoring Model'!$D$16:$D$25,K251)))&gt;0,'Conversion Model'!$B$18,0)+IF(SUMPRODUCT(--ISNUMBER(SEARCH('Scoring Model'!$G$16:$G$23,K251)))&gt;0,'Conversion Model'!$B$19,0)))))</f>
        <v>0.00884516308224579</v>
      </c>
      <c r="AH251" s="3" t="str">
        <f aca="false">IF(OR(O251="Qualified",O251="Won",O251="Lost"),1,IF(O251="Unqualified",0,""))</f>
        <v/>
      </c>
    </row>
    <row r="252" customFormat="false" ht="15" hidden="false" customHeight="true" outlineLevel="0" collapsed="false">
      <c r="A252" s="3" t="s">
        <v>1067</v>
      </c>
      <c r="B252" s="9" t="n">
        <v>46042.6451388889</v>
      </c>
      <c r="C252" s="3" t="s">
        <v>135</v>
      </c>
      <c r="D252" s="3" t="s">
        <v>341</v>
      </c>
      <c r="E252" s="3" t="s">
        <v>1068</v>
      </c>
      <c r="F252" s="3" t="s">
        <v>54</v>
      </c>
      <c r="G252" s="3" t="s">
        <v>1069</v>
      </c>
      <c r="H252" s="3"/>
      <c r="I252" s="3" t="s">
        <v>204</v>
      </c>
      <c r="J252" s="3" t="s">
        <v>122</v>
      </c>
      <c r="K252" s="3" t="s">
        <v>101</v>
      </c>
      <c r="L252" s="3" t="n">
        <v>2</v>
      </c>
      <c r="M252" s="3" t="n">
        <v>5.4</v>
      </c>
      <c r="N252" s="3" t="s">
        <v>171</v>
      </c>
      <c r="O252" s="3"/>
      <c r="P252" s="10"/>
      <c r="Q252" s="3" t="n">
        <f aca="false">IF(F252="Disposable",1,0)</f>
        <v>0</v>
      </c>
      <c r="R252" s="3" t="n">
        <f aca="false">IF(SUMPRODUCT(--ISNUMBER(SEARCH('Spam Rules'!$A$22:$A$35,K252)))&gt;0,1,0)</f>
        <v>0</v>
      </c>
      <c r="S252" s="3" t="n">
        <f aca="false">IF(AND(F252="Free",G252=""),1,0)</f>
        <v>0</v>
      </c>
      <c r="T252" s="3" t="n">
        <f aca="false">IF(LEN(TRIM(K252))&lt;15,1,0)</f>
        <v>0</v>
      </c>
      <c r="U252" s="3" t="n">
        <f aca="false">IF(COUNTIF($E$2:$E$801,E252)&gt;1,1,0)</f>
        <v>0</v>
      </c>
      <c r="V252" s="3" t="n">
        <f aca="false">Q252*'Spam Rules'!$H$6+R252*'Spam Rules'!$H$7+S252*'Spam Rules'!$H$8+T252*'Spam Rules'!$H$9+U252*'Spam Rules'!$H$10</f>
        <v>0</v>
      </c>
      <c r="W252" s="3" t="str">
        <f aca="false">IF(V252&gt;='Spam Rules'!$B$3,"Likely Spam","Genuine")</f>
        <v>Genuine</v>
      </c>
      <c r="X252" s="3" t="n">
        <f aca="false">IFERROR(INDEX('Scoring Model'!$B$5:$B$11,MATCH(C252,'Scoring Model'!$A$5:$A$11,0)),0)</f>
        <v>20</v>
      </c>
      <c r="Y252" s="3" t="n">
        <f aca="false">IFERROR(INDEX('Scoring Model'!$E$5:$E$7,MATCH(F252,'Scoring Model'!$D$5:$D$7,0)),0)</f>
        <v>0</v>
      </c>
      <c r="Z252" s="3" t="n">
        <f aca="false">IFERROR(INDEX('Scoring Model'!$H$5:$H$13,MATCH(J252,'Scoring Model'!$G$5:$G$13,0)),0)</f>
        <v>15</v>
      </c>
      <c r="AA252" s="3" t="n">
        <f aca="false">IF(L252&gt;='Scoring Model'!$B$14,'Scoring Model'!$B$15,IF(L252&gt;='Scoring Model'!$B$16,'Scoring Model'!$B$17,0))</f>
        <v>0</v>
      </c>
      <c r="AB252" s="3" t="n">
        <f aca="false">IF(SUMPRODUCT(--ISNUMBER(SEARCH('Scoring Model'!$D$16:$D$25,K252)))&gt;0,'Scoring Model'!$B$18,0)</f>
        <v>0</v>
      </c>
      <c r="AC252" s="3" t="n">
        <f aca="false">IF(SUMPRODUCT(--ISNUMBER(SEARCH('Scoring Model'!$G$16:$G$23,K252)))&gt;0,'Scoring Model'!$B$19,0)</f>
        <v>-30</v>
      </c>
      <c r="AD252" s="3" t="n">
        <f aca="false">IF(W252="Likely Spam","",SUM(X252:AC252))</f>
        <v>5</v>
      </c>
      <c r="AE252" s="3" t="str">
        <f aca="false">IF(W252="Likely Spam","Spam",IF(AD252&gt;='Scoring Model'!$B$21,"Hot",IF(AD252&gt;='Scoring Model'!$B$22,"Warm","Nurture")))</f>
        <v>Nurture</v>
      </c>
      <c r="AF252" s="3" t="str">
        <f aca="false">IF(W252="Likely Spam","Flagged by spam rules",TRIM(IF(X252&gt;=20,"Strong source. ","")&amp;IF(Y252&gt;0,"Company email. ","")&amp;IF(Z252&gt;=15,"High-value product. ","")&amp;IF(AA252&gt;='Scoring Model'!$B$15,"High engagement. ","")&amp;IF(AB252&gt;0,"Buying intent in message. ","")&amp;IF(AC252&lt;0,"Negative intent in message. ","")))</f>
        <v>Strong source. High-value product. Negative intent in message.</v>
      </c>
      <c r="AG252" s="11" t="n">
        <f aca="false">IF(W252="Likely Spam","",1/(1+EXP(-('Conversion Model'!$B$5+IFERROR(INDEX('Conversion Model'!$B$8:$B$14,MATCH(C252,'Conversion Model'!$A$8:$A$14,0)),0)+IFERROR(INDEX('Conversion Model'!$E$8:$E$9,MATCH(F252,'Conversion Model'!$D$8:$D$9,0)),0)+IFERROR(INDEX('Conversion Model'!$H$8:$H$12,MATCH(IF(LEFT(J252,8)="Payments","Payments",IF(LEFT(J252,7)="Lending","Lending",J252)),'Conversion Model'!$G$8:$G$12,0)),0)+MIN(L252,15)*'Conversion Model'!$B$17+IF(SUMPRODUCT(--ISNUMBER(SEARCH('Scoring Model'!$D$16:$D$25,K252)))&gt;0,'Conversion Model'!$B$18,0)+IF(SUMPRODUCT(--ISNUMBER(SEARCH('Scoring Model'!$G$16:$G$23,K252)))&gt;0,'Conversion Model'!$B$19,0)))))</f>
        <v>0.00585259696543684</v>
      </c>
      <c r="AH252" s="3" t="str">
        <f aca="false">IF(OR(O252="Qualified",O252="Won",O252="Lost"),1,IF(O252="Unqualified",0,""))</f>
        <v/>
      </c>
    </row>
    <row r="253" customFormat="false" ht="15" hidden="false" customHeight="true" outlineLevel="0" collapsed="false">
      <c r="A253" s="3" t="s">
        <v>1070</v>
      </c>
      <c r="B253" s="9" t="n">
        <v>46044.7763888889</v>
      </c>
      <c r="C253" s="3" t="s">
        <v>51</v>
      </c>
      <c r="D253" s="3" t="s">
        <v>1071</v>
      </c>
      <c r="E253" s="3" t="s">
        <v>1072</v>
      </c>
      <c r="F253" s="3" t="s">
        <v>54</v>
      </c>
      <c r="G253" s="3" t="s">
        <v>321</v>
      </c>
      <c r="H253" s="3"/>
      <c r="I253" s="3" t="s">
        <v>64</v>
      </c>
      <c r="J253" s="3" t="s">
        <v>122</v>
      </c>
      <c r="K253" s="3" t="s">
        <v>126</v>
      </c>
      <c r="L253" s="3" t="n">
        <v>1</v>
      </c>
      <c r="M253" s="3" t="n">
        <v>26.5</v>
      </c>
      <c r="N253" s="3" t="s">
        <v>96</v>
      </c>
      <c r="O253" s="3" t="s">
        <v>68</v>
      </c>
      <c r="P253" s="10"/>
      <c r="Q253" s="3" t="n">
        <f aca="false">IF(F253="Disposable",1,0)</f>
        <v>0</v>
      </c>
      <c r="R253" s="3" t="n">
        <f aca="false">IF(SUMPRODUCT(--ISNUMBER(SEARCH('Spam Rules'!$A$22:$A$35,K253)))&gt;0,1,0)</f>
        <v>0</v>
      </c>
      <c r="S253" s="3" t="n">
        <f aca="false">IF(AND(F253="Free",G253=""),1,0)</f>
        <v>0</v>
      </c>
      <c r="T253" s="3" t="n">
        <f aca="false">IF(LEN(TRIM(K253))&lt;15,1,0)</f>
        <v>1</v>
      </c>
      <c r="U253" s="3" t="n">
        <f aca="false">IF(COUNTIF($E$2:$E$801,E253)&gt;1,1,0)</f>
        <v>0</v>
      </c>
      <c r="V253" s="3" t="n">
        <f aca="false">Q253*'Spam Rules'!$H$6+R253*'Spam Rules'!$H$7+S253*'Spam Rules'!$H$8+T253*'Spam Rules'!$H$9+U253*'Spam Rules'!$H$10</f>
        <v>1</v>
      </c>
      <c r="W253" s="3" t="str">
        <f aca="false">IF(V253&gt;='Spam Rules'!$B$3,"Likely Spam","Genuine")</f>
        <v>Likely Spam</v>
      </c>
      <c r="X253" s="3" t="n">
        <f aca="false">IFERROR(INDEX('Scoring Model'!$B$5:$B$11,MATCH(C253,'Scoring Model'!$A$5:$A$11,0)),0)</f>
        <v>10</v>
      </c>
      <c r="Y253" s="3" t="n">
        <f aca="false">IFERROR(INDEX('Scoring Model'!$E$5:$E$7,MATCH(F253,'Scoring Model'!$D$5:$D$7,0)),0)</f>
        <v>0</v>
      </c>
      <c r="Z253" s="3" t="n">
        <f aca="false">IFERROR(INDEX('Scoring Model'!$H$5:$H$13,MATCH(J253,'Scoring Model'!$G$5:$G$13,0)),0)</f>
        <v>15</v>
      </c>
      <c r="AA253" s="3" t="n">
        <f aca="false">IF(L253&gt;='Scoring Model'!$B$14,'Scoring Model'!$B$15,IF(L253&gt;='Scoring Model'!$B$16,'Scoring Model'!$B$17,0))</f>
        <v>0</v>
      </c>
      <c r="AB253" s="3" t="n">
        <f aca="false">IF(SUMPRODUCT(--ISNUMBER(SEARCH('Scoring Model'!$D$16:$D$25,K253)))&gt;0,'Scoring Model'!$B$18,0)</f>
        <v>0</v>
      </c>
      <c r="AC253" s="3" t="n">
        <f aca="false">IF(SUMPRODUCT(--ISNUMBER(SEARCH('Scoring Model'!$G$16:$G$23,K253)))&gt;0,'Scoring Model'!$B$19,0)</f>
        <v>0</v>
      </c>
      <c r="AD253" s="3" t="str">
        <f aca="false">IF(W253="Likely Spam","",SUM(X253:AC253))</f>
        <v/>
      </c>
      <c r="AE253" s="3" t="str">
        <f aca="false">IF(W253="Likely Spam","Spam",IF(AD253&gt;='Scoring Model'!$B$21,"Hot",IF(AD253&gt;='Scoring Model'!$B$22,"Warm","Nurture")))</f>
        <v>Spam</v>
      </c>
      <c r="AF253" s="3" t="str">
        <f aca="false">IF(W253="Likely Spam","Flagged by spam rules",TRIM(IF(X253&gt;=20,"Strong source. ","")&amp;IF(Y253&gt;0,"Company email. ","")&amp;IF(Z253&gt;=15,"High-value product. ","")&amp;IF(AA253&gt;='Scoring Model'!$B$15,"High engagement. ","")&amp;IF(AB253&gt;0,"Buying intent in message. ","")&amp;IF(AC253&lt;0,"Negative intent in message. ","")))</f>
        <v>Flagged by spam rules</v>
      </c>
      <c r="AG253" s="11" t="str">
        <f aca="false">IF(W253="Likely Spam","",1/(1+EXP(-('Conversion Model'!$B$5+IFERROR(INDEX('Conversion Model'!$B$8:$B$14,MATCH(C253,'Conversion Model'!$A$8:$A$14,0)),0)+IFERROR(INDEX('Conversion Model'!$E$8:$E$9,MATCH(F253,'Conversion Model'!$D$8:$D$9,0)),0)+IFERROR(INDEX('Conversion Model'!$H$8:$H$12,MATCH(IF(LEFT(J253,8)="Payments","Payments",IF(LEFT(J253,7)="Lending","Lending",J253)),'Conversion Model'!$G$8:$G$12,0)),0)+MIN(L253,15)*'Conversion Model'!$B$17+IF(SUMPRODUCT(--ISNUMBER(SEARCH('Scoring Model'!$D$16:$D$25,K253)))&gt;0,'Conversion Model'!$B$18,0)+IF(SUMPRODUCT(--ISNUMBER(SEARCH('Scoring Model'!$G$16:$G$23,K253)))&gt;0,'Conversion Model'!$B$19,0)))))</f>
        <v/>
      </c>
      <c r="AH253" s="3" t="str">
        <f aca="false">IF(OR(O253="Qualified",O253="Won",O253="Lost"),1,IF(O253="Unqualified",0,""))</f>
        <v/>
      </c>
    </row>
    <row r="254" customFormat="false" ht="15" hidden="false" customHeight="true" outlineLevel="0" collapsed="false">
      <c r="A254" s="3" t="s">
        <v>1073</v>
      </c>
      <c r="B254" s="9" t="n">
        <v>46045.2694444444</v>
      </c>
      <c r="C254" s="3" t="s">
        <v>51</v>
      </c>
      <c r="D254" s="3" t="s">
        <v>519</v>
      </c>
      <c r="E254" s="3" t="s">
        <v>1074</v>
      </c>
      <c r="F254" s="3" t="s">
        <v>54</v>
      </c>
      <c r="G254" s="3" t="s">
        <v>667</v>
      </c>
      <c r="H254" s="3"/>
      <c r="I254" s="3" t="s">
        <v>139</v>
      </c>
      <c r="J254" s="3" t="s">
        <v>65</v>
      </c>
      <c r="K254" s="3" t="s">
        <v>378</v>
      </c>
      <c r="L254" s="3" t="n">
        <v>2</v>
      </c>
      <c r="M254" s="3" t="n">
        <v>7.4</v>
      </c>
      <c r="N254" s="3" t="s">
        <v>59</v>
      </c>
      <c r="O254" s="3"/>
      <c r="P254" s="10"/>
      <c r="Q254" s="3" t="n">
        <f aca="false">IF(F254="Disposable",1,0)</f>
        <v>0</v>
      </c>
      <c r="R254" s="3" t="n">
        <f aca="false">IF(SUMPRODUCT(--ISNUMBER(SEARCH('Spam Rules'!$A$22:$A$35,K254)))&gt;0,1,0)</f>
        <v>0</v>
      </c>
      <c r="S254" s="3" t="n">
        <f aca="false">IF(AND(F254="Free",G254=""),1,0)</f>
        <v>0</v>
      </c>
      <c r="T254" s="3" t="n">
        <f aca="false">IF(LEN(TRIM(K254))&lt;15,1,0)</f>
        <v>0</v>
      </c>
      <c r="U254" s="3" t="n">
        <f aca="false">IF(COUNTIF($E$2:$E$801,E254)&gt;1,1,0)</f>
        <v>0</v>
      </c>
      <c r="V254" s="3" t="n">
        <f aca="false">Q254*'Spam Rules'!$H$6+R254*'Spam Rules'!$H$7+S254*'Spam Rules'!$H$8+T254*'Spam Rules'!$H$9+U254*'Spam Rules'!$H$10</f>
        <v>0</v>
      </c>
      <c r="W254" s="3" t="str">
        <f aca="false">IF(V254&gt;='Spam Rules'!$B$3,"Likely Spam","Genuine")</f>
        <v>Genuine</v>
      </c>
      <c r="X254" s="3" t="n">
        <f aca="false">IFERROR(INDEX('Scoring Model'!$B$5:$B$11,MATCH(C254,'Scoring Model'!$A$5:$A$11,0)),0)</f>
        <v>10</v>
      </c>
      <c r="Y254" s="3" t="n">
        <f aca="false">IFERROR(INDEX('Scoring Model'!$E$5:$E$7,MATCH(F254,'Scoring Model'!$D$5:$D$7,0)),0)</f>
        <v>0</v>
      </c>
      <c r="Z254" s="3" t="n">
        <f aca="false">IFERROR(INDEX('Scoring Model'!$H$5:$H$13,MATCH(J254,'Scoring Model'!$G$5:$G$13,0)),0)</f>
        <v>0</v>
      </c>
      <c r="AA254" s="3" t="n">
        <f aca="false">IF(L254&gt;='Scoring Model'!$B$14,'Scoring Model'!$B$15,IF(L254&gt;='Scoring Model'!$B$16,'Scoring Model'!$B$17,0))</f>
        <v>0</v>
      </c>
      <c r="AB254" s="3" t="n">
        <f aca="false">IF(SUMPRODUCT(--ISNUMBER(SEARCH('Scoring Model'!$D$16:$D$25,K254)))&gt;0,'Scoring Model'!$B$18,0)</f>
        <v>0</v>
      </c>
      <c r="AC254" s="3" t="n">
        <f aca="false">IF(SUMPRODUCT(--ISNUMBER(SEARCH('Scoring Model'!$G$16:$G$23,K254)))&gt;0,'Scoring Model'!$B$19,0)</f>
        <v>-30</v>
      </c>
      <c r="AD254" s="3" t="n">
        <f aca="false">IF(W254="Likely Spam","",SUM(X254:AC254))</f>
        <v>-20</v>
      </c>
      <c r="AE254" s="3" t="str">
        <f aca="false">IF(W254="Likely Spam","Spam",IF(AD254&gt;='Scoring Model'!$B$21,"Hot",IF(AD254&gt;='Scoring Model'!$B$22,"Warm","Nurture")))</f>
        <v>Nurture</v>
      </c>
      <c r="AF254" s="3" t="str">
        <f aca="false">IF(W254="Likely Spam","Flagged by spam rules",TRIM(IF(X254&gt;=20,"Strong source. ","")&amp;IF(Y254&gt;0,"Company email. ","")&amp;IF(Z254&gt;=15,"High-value product. ","")&amp;IF(AA254&gt;='Scoring Model'!$B$15,"High engagement. ","")&amp;IF(AB254&gt;0,"Buying intent in message. ","")&amp;IF(AC254&lt;0,"Negative intent in message. ","")))</f>
        <v>Negative intent in message.</v>
      </c>
      <c r="AG254" s="11" t="n">
        <f aca="false">IF(W254="Likely Spam","",1/(1+EXP(-('Conversion Model'!$B$5+IFERROR(INDEX('Conversion Model'!$B$8:$B$14,MATCH(C254,'Conversion Model'!$A$8:$A$14,0)),0)+IFERROR(INDEX('Conversion Model'!$E$8:$E$9,MATCH(F254,'Conversion Model'!$D$8:$D$9,0)),0)+IFERROR(INDEX('Conversion Model'!$H$8:$H$12,MATCH(IF(LEFT(J254,8)="Payments","Payments",IF(LEFT(J254,7)="Lending","Lending",J254)),'Conversion Model'!$G$8:$G$12,0)),0)+MIN(L254,15)*'Conversion Model'!$B$17+IF(SUMPRODUCT(--ISNUMBER(SEARCH('Scoring Model'!$D$16:$D$25,K254)))&gt;0,'Conversion Model'!$B$18,0)+IF(SUMPRODUCT(--ISNUMBER(SEARCH('Scoring Model'!$G$16:$G$23,K254)))&gt;0,'Conversion Model'!$B$19,0)))))</f>
        <v>0.00206615004004548</v>
      </c>
      <c r="AH254" s="3" t="str">
        <f aca="false">IF(OR(O254="Qualified",O254="Won",O254="Lost"),1,IF(O254="Unqualified",0,""))</f>
        <v/>
      </c>
    </row>
    <row r="255" customFormat="false" ht="15" hidden="false" customHeight="true" outlineLevel="0" collapsed="false">
      <c r="A255" s="3" t="s">
        <v>1075</v>
      </c>
      <c r="B255" s="9" t="n">
        <v>46045.7645833333</v>
      </c>
      <c r="C255" s="3" t="s">
        <v>135</v>
      </c>
      <c r="D255" s="3" t="s">
        <v>1076</v>
      </c>
      <c r="E255" s="3" t="s">
        <v>1077</v>
      </c>
      <c r="F255" s="3" t="s">
        <v>22</v>
      </c>
      <c r="G255" s="3" t="s">
        <v>143</v>
      </c>
      <c r="H255" s="3" t="s">
        <v>144</v>
      </c>
      <c r="I255" s="3" t="s">
        <v>139</v>
      </c>
      <c r="J255" s="3" t="s">
        <v>145</v>
      </c>
      <c r="K255" s="3" t="s">
        <v>1078</v>
      </c>
      <c r="L255" s="3" t="n">
        <v>10</v>
      </c>
      <c r="M255" s="3" t="n">
        <v>5.8</v>
      </c>
      <c r="N255" s="3" t="s">
        <v>67</v>
      </c>
      <c r="O255" s="3"/>
      <c r="P255" s="10"/>
      <c r="Q255" s="3" t="n">
        <f aca="false">IF(F255="Disposable",1,0)</f>
        <v>0</v>
      </c>
      <c r="R255" s="3" t="n">
        <f aca="false">IF(SUMPRODUCT(--ISNUMBER(SEARCH('Spam Rules'!$A$22:$A$35,K255)))&gt;0,1,0)</f>
        <v>0</v>
      </c>
      <c r="S255" s="3" t="n">
        <f aca="false">IF(AND(F255="Free",G255=""),1,0)</f>
        <v>0</v>
      </c>
      <c r="T255" s="3" t="n">
        <f aca="false">IF(LEN(TRIM(K255))&lt;15,1,0)</f>
        <v>0</v>
      </c>
      <c r="U255" s="3" t="n">
        <f aca="false">IF(COUNTIF($E$2:$E$801,E255)&gt;1,1,0)</f>
        <v>0</v>
      </c>
      <c r="V255" s="3" t="n">
        <f aca="false">Q255*'Spam Rules'!$H$6+R255*'Spam Rules'!$H$7+S255*'Spam Rules'!$H$8+T255*'Spam Rules'!$H$9+U255*'Spam Rules'!$H$10</f>
        <v>0</v>
      </c>
      <c r="W255" s="3" t="str">
        <f aca="false">IF(V255&gt;='Spam Rules'!$B$3,"Likely Spam","Genuine")</f>
        <v>Genuine</v>
      </c>
      <c r="X255" s="3" t="n">
        <f aca="false">IFERROR(INDEX('Scoring Model'!$B$5:$B$11,MATCH(C255,'Scoring Model'!$A$5:$A$11,0)),0)</f>
        <v>20</v>
      </c>
      <c r="Y255" s="3" t="n">
        <f aca="false">IFERROR(INDEX('Scoring Model'!$E$5:$E$7,MATCH(F255,'Scoring Model'!$D$5:$D$7,0)),0)</f>
        <v>20</v>
      </c>
      <c r="Z255" s="3" t="n">
        <f aca="false">IFERROR(INDEX('Scoring Model'!$H$5:$H$13,MATCH(J255,'Scoring Model'!$G$5:$G$13,0)),0)</f>
        <v>5</v>
      </c>
      <c r="AA255" s="3" t="n">
        <f aca="false">IF(L255&gt;='Scoring Model'!$B$14,'Scoring Model'!$B$15,IF(L255&gt;='Scoring Model'!$B$16,'Scoring Model'!$B$17,0))</f>
        <v>15</v>
      </c>
      <c r="AB255" s="3" t="n">
        <f aca="false">IF(SUMPRODUCT(--ISNUMBER(SEARCH('Scoring Model'!$D$16:$D$25,K255)))&gt;0,'Scoring Model'!$B$18,0)</f>
        <v>15</v>
      </c>
      <c r="AC255" s="3" t="n">
        <f aca="false">IF(SUMPRODUCT(--ISNUMBER(SEARCH('Scoring Model'!$G$16:$G$23,K255)))&gt;0,'Scoring Model'!$B$19,0)</f>
        <v>0</v>
      </c>
      <c r="AD255" s="3" t="n">
        <f aca="false">IF(W255="Likely Spam","",SUM(X255:AC255))</f>
        <v>75</v>
      </c>
      <c r="AE255" s="3" t="str">
        <f aca="false">IF(W255="Likely Spam","Spam",IF(AD255&gt;='Scoring Model'!$B$21,"Hot",IF(AD255&gt;='Scoring Model'!$B$22,"Warm","Nurture")))</f>
        <v>Hot</v>
      </c>
      <c r="AF255" s="3" t="str">
        <f aca="false">IF(W255="Likely Spam","Flagged by spam rules",TRIM(IF(X255&gt;=20,"Strong source. ","")&amp;IF(Y255&gt;0,"Company email. ","")&amp;IF(Z255&gt;=15,"High-value product. ","")&amp;IF(AA255&gt;='Scoring Model'!$B$15,"High engagement. ","")&amp;IF(AB255&gt;0,"Buying intent in message. ","")&amp;IF(AC255&lt;0,"Negative intent in message. ","")))</f>
        <v>Strong source. Company email. High engagement. Buying intent in message.</v>
      </c>
      <c r="AG255" s="11" t="n">
        <f aca="false">IF(W255="Likely Spam","",1/(1+EXP(-('Conversion Model'!$B$5+IFERROR(INDEX('Conversion Model'!$B$8:$B$14,MATCH(C255,'Conversion Model'!$A$8:$A$14,0)),0)+IFERROR(INDEX('Conversion Model'!$E$8:$E$9,MATCH(F255,'Conversion Model'!$D$8:$D$9,0)),0)+IFERROR(INDEX('Conversion Model'!$H$8:$H$12,MATCH(IF(LEFT(J255,8)="Payments","Payments",IF(LEFT(J255,7)="Lending","Lending",J255)),'Conversion Model'!$G$8:$G$12,0)),0)+MIN(L255,15)*'Conversion Model'!$B$17+IF(SUMPRODUCT(--ISNUMBER(SEARCH('Scoring Model'!$D$16:$D$25,K255)))&gt;0,'Conversion Model'!$B$18,0)+IF(SUMPRODUCT(--ISNUMBER(SEARCH('Scoring Model'!$G$16:$G$23,K255)))&gt;0,'Conversion Model'!$B$19,0)))))</f>
        <v>0.997082190381157</v>
      </c>
      <c r="AH255" s="3" t="str">
        <f aca="false">IF(OR(O255="Qualified",O255="Won",O255="Lost"),1,IF(O255="Unqualified",0,""))</f>
        <v/>
      </c>
    </row>
    <row r="256" customFormat="false" ht="15" hidden="false" customHeight="true" outlineLevel="0" collapsed="false">
      <c r="A256" s="3" t="s">
        <v>1079</v>
      </c>
      <c r="B256" s="9" t="n">
        <v>46045.9618055556</v>
      </c>
      <c r="C256" s="3" t="s">
        <v>160</v>
      </c>
      <c r="D256" s="3" t="s">
        <v>693</v>
      </c>
      <c r="E256" s="3" t="s">
        <v>1080</v>
      </c>
      <c r="F256" s="3" t="s">
        <v>22</v>
      </c>
      <c r="G256" s="3" t="s">
        <v>1081</v>
      </c>
      <c r="H256" s="3" t="s">
        <v>1082</v>
      </c>
      <c r="I256" s="3" t="s">
        <v>73</v>
      </c>
      <c r="J256" s="3" t="s">
        <v>145</v>
      </c>
      <c r="K256" s="3" t="s">
        <v>1083</v>
      </c>
      <c r="L256" s="3" t="n">
        <v>4</v>
      </c>
      <c r="M256" s="3" t="n">
        <v>59</v>
      </c>
      <c r="N256" s="3" t="s">
        <v>171</v>
      </c>
      <c r="O256" s="3" t="s">
        <v>147</v>
      </c>
      <c r="P256" s="10" t="n">
        <v>120000</v>
      </c>
      <c r="Q256" s="3" t="n">
        <f aca="false">IF(F256="Disposable",1,0)</f>
        <v>0</v>
      </c>
      <c r="R256" s="3" t="n">
        <f aca="false">IF(SUMPRODUCT(--ISNUMBER(SEARCH('Spam Rules'!$A$22:$A$35,K256)))&gt;0,1,0)</f>
        <v>0</v>
      </c>
      <c r="S256" s="3" t="n">
        <f aca="false">IF(AND(F256="Free",G256=""),1,0)</f>
        <v>0</v>
      </c>
      <c r="T256" s="3" t="n">
        <f aca="false">IF(LEN(TRIM(K256))&lt;15,1,0)</f>
        <v>0</v>
      </c>
      <c r="U256" s="3" t="n">
        <f aca="false">IF(COUNTIF($E$2:$E$801,E256)&gt;1,1,0)</f>
        <v>0</v>
      </c>
      <c r="V256" s="3" t="n">
        <f aca="false">Q256*'Spam Rules'!$H$6+R256*'Spam Rules'!$H$7+S256*'Spam Rules'!$H$8+T256*'Spam Rules'!$H$9+U256*'Spam Rules'!$H$10</f>
        <v>0</v>
      </c>
      <c r="W256" s="3" t="str">
        <f aca="false">IF(V256&gt;='Spam Rules'!$B$3,"Likely Spam","Genuine")</f>
        <v>Genuine</v>
      </c>
      <c r="X256" s="3" t="n">
        <f aca="false">IFERROR(INDEX('Scoring Model'!$B$5:$B$11,MATCH(C256,'Scoring Model'!$A$5:$A$11,0)),0)</f>
        <v>25</v>
      </c>
      <c r="Y256" s="3" t="n">
        <f aca="false">IFERROR(INDEX('Scoring Model'!$E$5:$E$7,MATCH(F256,'Scoring Model'!$D$5:$D$7,0)),0)</f>
        <v>20</v>
      </c>
      <c r="Z256" s="3" t="n">
        <f aca="false">IFERROR(INDEX('Scoring Model'!$H$5:$H$13,MATCH(J256,'Scoring Model'!$G$5:$G$13,0)),0)</f>
        <v>5</v>
      </c>
      <c r="AA256" s="3" t="n">
        <f aca="false">IF(L256&gt;='Scoring Model'!$B$14,'Scoring Model'!$B$15,IF(L256&gt;='Scoring Model'!$B$16,'Scoring Model'!$B$17,0))</f>
        <v>8</v>
      </c>
      <c r="AB256" s="3" t="n">
        <f aca="false">IF(SUMPRODUCT(--ISNUMBER(SEARCH('Scoring Model'!$D$16:$D$25,K256)))&gt;0,'Scoring Model'!$B$18,0)</f>
        <v>15</v>
      </c>
      <c r="AC256" s="3" t="n">
        <f aca="false">IF(SUMPRODUCT(--ISNUMBER(SEARCH('Scoring Model'!$G$16:$G$23,K256)))&gt;0,'Scoring Model'!$B$19,0)</f>
        <v>0</v>
      </c>
      <c r="AD256" s="3" t="n">
        <f aca="false">IF(W256="Likely Spam","",SUM(X256:AC256))</f>
        <v>73</v>
      </c>
      <c r="AE256" s="3" t="str">
        <f aca="false">IF(W256="Likely Spam","Spam",IF(AD256&gt;='Scoring Model'!$B$21,"Hot",IF(AD256&gt;='Scoring Model'!$B$22,"Warm","Nurture")))</f>
        <v>Hot</v>
      </c>
      <c r="AF256" s="3" t="str">
        <f aca="false">IF(W256="Likely Spam","Flagged by spam rules",TRIM(IF(X256&gt;=20,"Strong source. ","")&amp;IF(Y256&gt;0,"Company email. ","")&amp;IF(Z256&gt;=15,"High-value product. ","")&amp;IF(AA256&gt;='Scoring Model'!$B$15,"High engagement. ","")&amp;IF(AB256&gt;0,"Buying intent in message. ","")&amp;IF(AC256&lt;0,"Negative intent in message. ","")))</f>
        <v>Strong source. Company email. Buying intent in message.</v>
      </c>
      <c r="AG256" s="11" t="n">
        <f aca="false">IF(W256="Likely Spam","",1/(1+EXP(-('Conversion Model'!$B$5+IFERROR(INDEX('Conversion Model'!$B$8:$B$14,MATCH(C256,'Conversion Model'!$A$8:$A$14,0)),0)+IFERROR(INDEX('Conversion Model'!$E$8:$E$9,MATCH(F256,'Conversion Model'!$D$8:$D$9,0)),0)+IFERROR(INDEX('Conversion Model'!$H$8:$H$12,MATCH(IF(LEFT(J256,8)="Payments","Payments",IF(LEFT(J256,7)="Lending","Lending",J256)),'Conversion Model'!$G$8:$G$12,0)),0)+MIN(L256,15)*'Conversion Model'!$B$17+IF(SUMPRODUCT(--ISNUMBER(SEARCH('Scoring Model'!$D$16:$D$25,K256)))&gt;0,'Conversion Model'!$B$18,0)+IF(SUMPRODUCT(--ISNUMBER(SEARCH('Scoring Model'!$G$16:$G$23,K256)))&gt;0,'Conversion Model'!$B$19,0)))))</f>
        <v>0.659933974505477</v>
      </c>
      <c r="AH256" s="3" t="n">
        <f aca="false">IF(OR(O256="Qualified",O256="Won",O256="Lost"),1,IF(O256="Unqualified",0,""))</f>
        <v>1</v>
      </c>
    </row>
    <row r="257" customFormat="false" ht="15" hidden="false" customHeight="true" outlineLevel="0" collapsed="false">
      <c r="A257" s="3" t="s">
        <v>1084</v>
      </c>
      <c r="B257" s="9" t="n">
        <v>46046.0930555556</v>
      </c>
      <c r="C257" s="3" t="s">
        <v>160</v>
      </c>
      <c r="D257" s="3" t="s">
        <v>409</v>
      </c>
      <c r="E257" s="3" t="s">
        <v>1085</v>
      </c>
      <c r="F257" s="3" t="s">
        <v>22</v>
      </c>
      <c r="G257" s="3" t="s">
        <v>1086</v>
      </c>
      <c r="H257" s="3" t="s">
        <v>1087</v>
      </c>
      <c r="I257" s="3" t="s">
        <v>56</v>
      </c>
      <c r="J257" s="3" t="s">
        <v>165</v>
      </c>
      <c r="K257" s="3" t="s">
        <v>317</v>
      </c>
      <c r="L257" s="3" t="n">
        <v>6</v>
      </c>
      <c r="M257" s="3" t="n">
        <v>7.4</v>
      </c>
      <c r="N257" s="3" t="s">
        <v>67</v>
      </c>
      <c r="O257" s="3"/>
      <c r="P257" s="10"/>
      <c r="Q257" s="3" t="n">
        <f aca="false">IF(F257="Disposable",1,0)</f>
        <v>0</v>
      </c>
      <c r="R257" s="3" t="n">
        <f aca="false">IF(SUMPRODUCT(--ISNUMBER(SEARCH('Spam Rules'!$A$22:$A$35,K257)))&gt;0,1,0)</f>
        <v>0</v>
      </c>
      <c r="S257" s="3" t="n">
        <f aca="false">IF(AND(F257="Free",G257=""),1,0)</f>
        <v>0</v>
      </c>
      <c r="T257" s="3" t="n">
        <f aca="false">IF(LEN(TRIM(K257))&lt;15,1,0)</f>
        <v>0</v>
      </c>
      <c r="U257" s="3" t="n">
        <f aca="false">IF(COUNTIF($E$2:$E$801,E257)&gt;1,1,0)</f>
        <v>0</v>
      </c>
      <c r="V257" s="3" t="n">
        <f aca="false">Q257*'Spam Rules'!$H$6+R257*'Spam Rules'!$H$7+S257*'Spam Rules'!$H$8+T257*'Spam Rules'!$H$9+U257*'Spam Rules'!$H$10</f>
        <v>0</v>
      </c>
      <c r="W257" s="3" t="str">
        <f aca="false">IF(V257&gt;='Spam Rules'!$B$3,"Likely Spam","Genuine")</f>
        <v>Genuine</v>
      </c>
      <c r="X257" s="3" t="n">
        <f aca="false">IFERROR(INDEX('Scoring Model'!$B$5:$B$11,MATCH(C257,'Scoring Model'!$A$5:$A$11,0)),0)</f>
        <v>25</v>
      </c>
      <c r="Y257" s="3" t="n">
        <f aca="false">IFERROR(INDEX('Scoring Model'!$E$5:$E$7,MATCH(F257,'Scoring Model'!$D$5:$D$7,0)),0)</f>
        <v>20</v>
      </c>
      <c r="Z257" s="3" t="n">
        <f aca="false">IFERROR(INDEX('Scoring Model'!$H$5:$H$13,MATCH(J257,'Scoring Model'!$G$5:$G$13,0)),0)</f>
        <v>15</v>
      </c>
      <c r="AA257" s="3" t="n">
        <f aca="false">IF(L257&gt;='Scoring Model'!$B$14,'Scoring Model'!$B$15,IF(L257&gt;='Scoring Model'!$B$16,'Scoring Model'!$B$17,0))</f>
        <v>8</v>
      </c>
      <c r="AB257" s="3" t="n">
        <f aca="false">IF(SUMPRODUCT(--ISNUMBER(SEARCH('Scoring Model'!$D$16:$D$25,K257)))&gt;0,'Scoring Model'!$B$18,0)</f>
        <v>15</v>
      </c>
      <c r="AC257" s="3" t="n">
        <f aca="false">IF(SUMPRODUCT(--ISNUMBER(SEARCH('Scoring Model'!$G$16:$G$23,K257)))&gt;0,'Scoring Model'!$B$19,0)</f>
        <v>0</v>
      </c>
      <c r="AD257" s="3" t="n">
        <f aca="false">IF(W257="Likely Spam","",SUM(X257:AC257))</f>
        <v>83</v>
      </c>
      <c r="AE257" s="3" t="str">
        <f aca="false">IF(W257="Likely Spam","Spam",IF(AD257&gt;='Scoring Model'!$B$21,"Hot",IF(AD257&gt;='Scoring Model'!$B$22,"Warm","Nurture")))</f>
        <v>Hot</v>
      </c>
      <c r="AF257" s="3" t="str">
        <f aca="false">IF(W257="Likely Spam","Flagged by spam rules",TRIM(IF(X257&gt;=20,"Strong source. ","")&amp;IF(Y257&gt;0,"Company email. ","")&amp;IF(Z257&gt;=15,"High-value product. ","")&amp;IF(AA257&gt;='Scoring Model'!$B$15,"High engagement. ","")&amp;IF(AB257&gt;0,"Buying intent in message. ","")&amp;IF(AC257&lt;0,"Negative intent in message. ","")))</f>
        <v>Strong source. Company email. High-value product. Buying intent in message.</v>
      </c>
      <c r="AG257" s="11" t="n">
        <f aca="false">IF(W257="Likely Spam","",1/(1+EXP(-('Conversion Model'!$B$5+IFERROR(INDEX('Conversion Model'!$B$8:$B$14,MATCH(C257,'Conversion Model'!$A$8:$A$14,0)),0)+IFERROR(INDEX('Conversion Model'!$E$8:$E$9,MATCH(F257,'Conversion Model'!$D$8:$D$9,0)),0)+IFERROR(INDEX('Conversion Model'!$H$8:$H$12,MATCH(IF(LEFT(J257,8)="Payments","Payments",IF(LEFT(J257,7)="Lending","Lending",J257)),'Conversion Model'!$G$8:$G$12,0)),0)+MIN(L257,15)*'Conversion Model'!$B$17+IF(SUMPRODUCT(--ISNUMBER(SEARCH('Scoring Model'!$D$16:$D$25,K257)))&gt;0,'Conversion Model'!$B$18,0)+IF(SUMPRODUCT(--ISNUMBER(SEARCH('Scoring Model'!$G$16:$G$23,K257)))&gt;0,'Conversion Model'!$B$19,0)))))</f>
        <v>0.891291350156366</v>
      </c>
      <c r="AH257" s="3" t="str">
        <f aca="false">IF(OR(O257="Qualified",O257="Won",O257="Lost"),1,IF(O257="Unqualified",0,""))</f>
        <v/>
      </c>
    </row>
    <row r="258" customFormat="false" ht="15" hidden="false" customHeight="true" outlineLevel="0" collapsed="false">
      <c r="A258" s="3" t="s">
        <v>1088</v>
      </c>
      <c r="B258" s="9" t="n">
        <v>46046.5423611111</v>
      </c>
      <c r="C258" s="3" t="s">
        <v>91</v>
      </c>
      <c r="D258" s="3" t="s">
        <v>1089</v>
      </c>
      <c r="E258" s="3" t="s">
        <v>1090</v>
      </c>
      <c r="F258" s="3" t="s">
        <v>54</v>
      </c>
      <c r="G258" s="3"/>
      <c r="H258" s="3"/>
      <c r="I258" s="3" t="s">
        <v>73</v>
      </c>
      <c r="J258" s="3" t="s">
        <v>81</v>
      </c>
      <c r="K258" s="3" t="s">
        <v>322</v>
      </c>
      <c r="L258" s="3" t="n">
        <v>1</v>
      </c>
      <c r="M258" s="3"/>
      <c r="N258" s="3" t="s">
        <v>96</v>
      </c>
      <c r="O258" s="3"/>
      <c r="P258" s="10"/>
      <c r="Q258" s="3" t="n">
        <f aca="false">IF(F258="Disposable",1,0)</f>
        <v>0</v>
      </c>
      <c r="R258" s="3" t="n">
        <f aca="false">IF(SUMPRODUCT(--ISNUMBER(SEARCH('Spam Rules'!$A$22:$A$35,K258)))&gt;0,1,0)</f>
        <v>0</v>
      </c>
      <c r="S258" s="3" t="n">
        <f aca="false">IF(AND(F258="Free",G258=""),1,0)</f>
        <v>1</v>
      </c>
      <c r="T258" s="3" t="n">
        <f aca="false">IF(LEN(TRIM(K258))&lt;15,1,0)</f>
        <v>1</v>
      </c>
      <c r="U258" s="3" t="n">
        <f aca="false">IF(COUNTIF($E$2:$E$801,E258)&gt;1,1,0)</f>
        <v>0</v>
      </c>
      <c r="V258" s="3" t="n">
        <f aca="false">Q258*'Spam Rules'!$H$6+R258*'Spam Rules'!$H$7+S258*'Spam Rules'!$H$8+T258*'Spam Rules'!$H$9+U258*'Spam Rules'!$H$10</f>
        <v>1</v>
      </c>
      <c r="W258" s="3" t="str">
        <f aca="false">IF(V258&gt;='Spam Rules'!$B$3,"Likely Spam","Genuine")</f>
        <v>Likely Spam</v>
      </c>
      <c r="X258" s="3" t="n">
        <f aca="false">IFERROR(INDEX('Scoring Model'!$B$5:$B$11,MATCH(C258,'Scoring Model'!$A$5:$A$11,0)),0)</f>
        <v>5</v>
      </c>
      <c r="Y258" s="3" t="n">
        <f aca="false">IFERROR(INDEX('Scoring Model'!$E$5:$E$7,MATCH(F258,'Scoring Model'!$D$5:$D$7,0)),0)</f>
        <v>0</v>
      </c>
      <c r="Z258" s="3" t="n">
        <f aca="false">IFERROR(INDEX('Scoring Model'!$H$5:$H$13,MATCH(J258,'Scoring Model'!$G$5:$G$13,0)),0)</f>
        <v>5</v>
      </c>
      <c r="AA258" s="3" t="n">
        <f aca="false">IF(L258&gt;='Scoring Model'!$B$14,'Scoring Model'!$B$15,IF(L258&gt;='Scoring Model'!$B$16,'Scoring Model'!$B$17,0))</f>
        <v>0</v>
      </c>
      <c r="AB258" s="3" t="n">
        <f aca="false">IF(SUMPRODUCT(--ISNUMBER(SEARCH('Scoring Model'!$D$16:$D$25,K258)))&gt;0,'Scoring Model'!$B$18,0)</f>
        <v>0</v>
      </c>
      <c r="AC258" s="3" t="n">
        <f aca="false">IF(SUMPRODUCT(--ISNUMBER(SEARCH('Scoring Model'!$G$16:$G$23,K258)))&gt;0,'Scoring Model'!$B$19,0)</f>
        <v>0</v>
      </c>
      <c r="AD258" s="3" t="str">
        <f aca="false">IF(W258="Likely Spam","",SUM(X258:AC258))</f>
        <v/>
      </c>
      <c r="AE258" s="3" t="str">
        <f aca="false">IF(W258="Likely Spam","Spam",IF(AD258&gt;='Scoring Model'!$B$21,"Hot",IF(AD258&gt;='Scoring Model'!$B$22,"Warm","Nurture")))</f>
        <v>Spam</v>
      </c>
      <c r="AF258" s="3" t="str">
        <f aca="false">IF(W258="Likely Spam","Flagged by spam rules",TRIM(IF(X258&gt;=20,"Strong source. ","")&amp;IF(Y258&gt;0,"Company email. ","")&amp;IF(Z258&gt;=15,"High-value product. ","")&amp;IF(AA258&gt;='Scoring Model'!$B$15,"High engagement. ","")&amp;IF(AB258&gt;0,"Buying intent in message. ","")&amp;IF(AC258&lt;0,"Negative intent in message. ","")))</f>
        <v>Flagged by spam rules</v>
      </c>
      <c r="AG258" s="11" t="str">
        <f aca="false">IF(W258="Likely Spam","",1/(1+EXP(-('Conversion Model'!$B$5+IFERROR(INDEX('Conversion Model'!$B$8:$B$14,MATCH(C258,'Conversion Model'!$A$8:$A$14,0)),0)+IFERROR(INDEX('Conversion Model'!$E$8:$E$9,MATCH(F258,'Conversion Model'!$D$8:$D$9,0)),0)+IFERROR(INDEX('Conversion Model'!$H$8:$H$12,MATCH(IF(LEFT(J258,8)="Payments","Payments",IF(LEFT(J258,7)="Lending","Lending",J258)),'Conversion Model'!$G$8:$G$12,0)),0)+MIN(L258,15)*'Conversion Model'!$B$17+IF(SUMPRODUCT(--ISNUMBER(SEARCH('Scoring Model'!$D$16:$D$25,K258)))&gt;0,'Conversion Model'!$B$18,0)+IF(SUMPRODUCT(--ISNUMBER(SEARCH('Scoring Model'!$G$16:$G$23,K258)))&gt;0,'Conversion Model'!$B$19,0)))))</f>
        <v/>
      </c>
      <c r="AH258" s="3" t="str">
        <f aca="false">IF(OR(O258="Qualified",O258="Won",O258="Lost"),1,IF(O258="Unqualified",0,""))</f>
        <v/>
      </c>
    </row>
    <row r="259" customFormat="false" ht="15" hidden="false" customHeight="true" outlineLevel="0" collapsed="false">
      <c r="A259" s="3" t="s">
        <v>1091</v>
      </c>
      <c r="B259" s="9" t="n">
        <v>46046.9916666667</v>
      </c>
      <c r="C259" s="3" t="s">
        <v>91</v>
      </c>
      <c r="D259" s="3" t="s">
        <v>1092</v>
      </c>
      <c r="E259" s="3" t="s">
        <v>1093</v>
      </c>
      <c r="F259" s="3" t="s">
        <v>54</v>
      </c>
      <c r="G259" s="3"/>
      <c r="H259" s="3"/>
      <c r="I259" s="3" t="s">
        <v>260</v>
      </c>
      <c r="J259" s="3" t="s">
        <v>65</v>
      </c>
      <c r="K259" s="3" t="s">
        <v>74</v>
      </c>
      <c r="L259" s="3" t="n">
        <v>2</v>
      </c>
      <c r="M259" s="3" t="n">
        <v>9.3</v>
      </c>
      <c r="N259" s="3" t="s">
        <v>59</v>
      </c>
      <c r="O259" s="3"/>
      <c r="P259" s="10"/>
      <c r="Q259" s="3" t="n">
        <f aca="false">IF(F259="Disposable",1,0)</f>
        <v>0</v>
      </c>
      <c r="R259" s="3" t="n">
        <f aca="false">IF(SUMPRODUCT(--ISNUMBER(SEARCH('Spam Rules'!$A$22:$A$35,K259)))&gt;0,1,0)</f>
        <v>0</v>
      </c>
      <c r="S259" s="3" t="n">
        <f aca="false">IF(AND(F259="Free",G259=""),1,0)</f>
        <v>1</v>
      </c>
      <c r="T259" s="3" t="n">
        <f aca="false">IF(LEN(TRIM(K259))&lt;15,1,0)</f>
        <v>0</v>
      </c>
      <c r="U259" s="3" t="n">
        <f aca="false">IF(COUNTIF($E$2:$E$801,E259)&gt;1,1,0)</f>
        <v>0</v>
      </c>
      <c r="V259" s="3" t="n">
        <f aca="false">Q259*'Spam Rules'!$H$6+R259*'Spam Rules'!$H$7+S259*'Spam Rules'!$H$8+T259*'Spam Rules'!$H$9+U259*'Spam Rules'!$H$10</f>
        <v>0</v>
      </c>
      <c r="W259" s="3" t="str">
        <f aca="false">IF(V259&gt;='Spam Rules'!$B$3,"Likely Spam","Genuine")</f>
        <v>Genuine</v>
      </c>
      <c r="X259" s="3" t="n">
        <f aca="false">IFERROR(INDEX('Scoring Model'!$B$5:$B$11,MATCH(C259,'Scoring Model'!$A$5:$A$11,0)),0)</f>
        <v>5</v>
      </c>
      <c r="Y259" s="3" t="n">
        <f aca="false">IFERROR(INDEX('Scoring Model'!$E$5:$E$7,MATCH(F259,'Scoring Model'!$D$5:$D$7,0)),0)</f>
        <v>0</v>
      </c>
      <c r="Z259" s="3" t="n">
        <f aca="false">IFERROR(INDEX('Scoring Model'!$H$5:$H$13,MATCH(J259,'Scoring Model'!$G$5:$G$13,0)),0)</f>
        <v>0</v>
      </c>
      <c r="AA259" s="3" t="n">
        <f aca="false">IF(L259&gt;='Scoring Model'!$B$14,'Scoring Model'!$B$15,IF(L259&gt;='Scoring Model'!$B$16,'Scoring Model'!$B$17,0))</f>
        <v>0</v>
      </c>
      <c r="AB259" s="3" t="n">
        <f aca="false">IF(SUMPRODUCT(--ISNUMBER(SEARCH('Scoring Model'!$D$16:$D$25,K259)))&gt;0,'Scoring Model'!$B$18,0)</f>
        <v>0</v>
      </c>
      <c r="AC259" s="3" t="n">
        <f aca="false">IF(SUMPRODUCT(--ISNUMBER(SEARCH('Scoring Model'!$G$16:$G$23,K259)))&gt;0,'Scoring Model'!$B$19,0)</f>
        <v>-30</v>
      </c>
      <c r="AD259" s="3" t="n">
        <f aca="false">IF(W259="Likely Spam","",SUM(X259:AC259))</f>
        <v>-25</v>
      </c>
      <c r="AE259" s="3" t="str">
        <f aca="false">IF(W259="Likely Spam","Spam",IF(AD259&gt;='Scoring Model'!$B$21,"Hot",IF(AD259&gt;='Scoring Model'!$B$22,"Warm","Nurture")))</f>
        <v>Nurture</v>
      </c>
      <c r="AF259" s="3" t="str">
        <f aca="false">IF(W259="Likely Spam","Flagged by spam rules",TRIM(IF(X259&gt;=20,"Strong source. ","")&amp;IF(Y259&gt;0,"Company email. ","")&amp;IF(Z259&gt;=15,"High-value product. ","")&amp;IF(AA259&gt;='Scoring Model'!$B$15,"High engagement. ","")&amp;IF(AB259&gt;0,"Buying intent in message. ","")&amp;IF(AC259&lt;0,"Negative intent in message. ","")))</f>
        <v>Negative intent in message.</v>
      </c>
      <c r="AG259" s="11" t="n">
        <f aca="false">IF(W259="Likely Spam","",1/(1+EXP(-('Conversion Model'!$B$5+IFERROR(INDEX('Conversion Model'!$B$8:$B$14,MATCH(C259,'Conversion Model'!$A$8:$A$14,0)),0)+IFERROR(INDEX('Conversion Model'!$E$8:$E$9,MATCH(F259,'Conversion Model'!$D$8:$D$9,0)),0)+IFERROR(INDEX('Conversion Model'!$H$8:$H$12,MATCH(IF(LEFT(J259,8)="Payments","Payments",IF(LEFT(J259,7)="Lending","Lending",J259)),'Conversion Model'!$G$8:$G$12,0)),0)+MIN(L259,15)*'Conversion Model'!$B$17+IF(SUMPRODUCT(--ISNUMBER(SEARCH('Scoring Model'!$D$16:$D$25,K259)))&gt;0,'Conversion Model'!$B$18,0)+IF(SUMPRODUCT(--ISNUMBER(SEARCH('Scoring Model'!$G$16:$G$23,K259)))&gt;0,'Conversion Model'!$B$19,0)))))</f>
        <v>0.00151322163512273</v>
      </c>
      <c r="AH259" s="3" t="str">
        <f aca="false">IF(OR(O259="Qualified",O259="Won",O259="Lost"),1,IF(O259="Unqualified",0,""))</f>
        <v/>
      </c>
    </row>
    <row r="260" customFormat="false" ht="15" hidden="false" customHeight="true" outlineLevel="0" collapsed="false">
      <c r="A260" s="3" t="s">
        <v>1094</v>
      </c>
      <c r="B260" s="9" t="n">
        <v>46047.0256944444</v>
      </c>
      <c r="C260" s="3" t="s">
        <v>51</v>
      </c>
      <c r="D260" s="3" t="s">
        <v>1095</v>
      </c>
      <c r="E260" s="3" t="s">
        <v>121</v>
      </c>
      <c r="F260" s="3" t="s">
        <v>63</v>
      </c>
      <c r="G260" s="3"/>
      <c r="H260" s="3"/>
      <c r="I260" s="3" t="s">
        <v>73</v>
      </c>
      <c r="J260" s="3" t="s">
        <v>65</v>
      </c>
      <c r="K260" s="3" t="s">
        <v>239</v>
      </c>
      <c r="L260" s="3" t="n">
        <v>1</v>
      </c>
      <c r="M260" s="3"/>
      <c r="N260" s="3" t="s">
        <v>67</v>
      </c>
      <c r="O260" s="3" t="s">
        <v>68</v>
      </c>
      <c r="P260" s="10"/>
      <c r="Q260" s="3" t="n">
        <f aca="false">IF(F260="Disposable",1,0)</f>
        <v>1</v>
      </c>
      <c r="R260" s="3" t="n">
        <f aca="false">IF(SUMPRODUCT(--ISNUMBER(SEARCH('Spam Rules'!$A$22:$A$35,K260)))&gt;0,1,0)</f>
        <v>1</v>
      </c>
      <c r="S260" s="3" t="n">
        <f aca="false">IF(AND(F260="Free",G260=""),1,0)</f>
        <v>0</v>
      </c>
      <c r="T260" s="3" t="n">
        <f aca="false">IF(LEN(TRIM(K260))&lt;15,1,0)</f>
        <v>0</v>
      </c>
      <c r="U260" s="3" t="n">
        <f aca="false">IF(COUNTIF($E$2:$E$801,E260)&gt;1,1,0)</f>
        <v>1</v>
      </c>
      <c r="V260" s="3" t="n">
        <f aca="false">Q260*'Spam Rules'!$H$6+R260*'Spam Rules'!$H$7+S260*'Spam Rules'!$H$8+T260*'Spam Rules'!$H$9+U260*'Spam Rules'!$H$10</f>
        <v>2</v>
      </c>
      <c r="W260" s="3" t="str">
        <f aca="false">IF(V260&gt;='Spam Rules'!$B$3,"Likely Spam","Genuine")</f>
        <v>Likely Spam</v>
      </c>
      <c r="X260" s="3" t="n">
        <f aca="false">IFERROR(INDEX('Scoring Model'!$B$5:$B$11,MATCH(C260,'Scoring Model'!$A$5:$A$11,0)),0)</f>
        <v>10</v>
      </c>
      <c r="Y260" s="3" t="n">
        <f aca="false">IFERROR(INDEX('Scoring Model'!$E$5:$E$7,MATCH(F260,'Scoring Model'!$D$5:$D$7,0)),0)</f>
        <v>0</v>
      </c>
      <c r="Z260" s="3" t="n">
        <f aca="false">IFERROR(INDEX('Scoring Model'!$H$5:$H$13,MATCH(J260,'Scoring Model'!$G$5:$G$13,0)),0)</f>
        <v>0</v>
      </c>
      <c r="AA260" s="3" t="n">
        <f aca="false">IF(L260&gt;='Scoring Model'!$B$14,'Scoring Model'!$B$15,IF(L260&gt;='Scoring Model'!$B$16,'Scoring Model'!$B$17,0))</f>
        <v>0</v>
      </c>
      <c r="AB260" s="3" t="n">
        <f aca="false">IF(SUMPRODUCT(--ISNUMBER(SEARCH('Scoring Model'!$D$16:$D$25,K260)))&gt;0,'Scoring Model'!$B$18,0)</f>
        <v>0</v>
      </c>
      <c r="AC260" s="3" t="n">
        <f aca="false">IF(SUMPRODUCT(--ISNUMBER(SEARCH('Scoring Model'!$G$16:$G$23,K260)))&gt;0,'Scoring Model'!$B$19,0)</f>
        <v>0</v>
      </c>
      <c r="AD260" s="3" t="str">
        <f aca="false">IF(W260="Likely Spam","",SUM(X260:AC260))</f>
        <v/>
      </c>
      <c r="AE260" s="3" t="str">
        <f aca="false">IF(W260="Likely Spam","Spam",IF(AD260&gt;='Scoring Model'!$B$21,"Hot",IF(AD260&gt;='Scoring Model'!$B$22,"Warm","Nurture")))</f>
        <v>Spam</v>
      </c>
      <c r="AF260" s="3" t="str">
        <f aca="false">IF(W260="Likely Spam","Flagged by spam rules",TRIM(IF(X260&gt;=20,"Strong source. ","")&amp;IF(Y260&gt;0,"Company email. ","")&amp;IF(Z260&gt;=15,"High-value product. ","")&amp;IF(AA260&gt;='Scoring Model'!$B$15,"High engagement. ","")&amp;IF(AB260&gt;0,"Buying intent in message. ","")&amp;IF(AC260&lt;0,"Negative intent in message. ","")))</f>
        <v>Flagged by spam rules</v>
      </c>
      <c r="AG260" s="11" t="str">
        <f aca="false">IF(W260="Likely Spam","",1/(1+EXP(-('Conversion Model'!$B$5+IFERROR(INDEX('Conversion Model'!$B$8:$B$14,MATCH(C260,'Conversion Model'!$A$8:$A$14,0)),0)+IFERROR(INDEX('Conversion Model'!$E$8:$E$9,MATCH(F260,'Conversion Model'!$D$8:$D$9,0)),0)+IFERROR(INDEX('Conversion Model'!$H$8:$H$12,MATCH(IF(LEFT(J260,8)="Payments","Payments",IF(LEFT(J260,7)="Lending","Lending",J260)),'Conversion Model'!$G$8:$G$12,0)),0)+MIN(L260,15)*'Conversion Model'!$B$17+IF(SUMPRODUCT(--ISNUMBER(SEARCH('Scoring Model'!$D$16:$D$25,K260)))&gt;0,'Conversion Model'!$B$18,0)+IF(SUMPRODUCT(--ISNUMBER(SEARCH('Scoring Model'!$G$16:$G$23,K260)))&gt;0,'Conversion Model'!$B$19,0)))))</f>
        <v/>
      </c>
      <c r="AH260" s="3" t="str">
        <f aca="false">IF(OR(O260="Qualified",O260="Won",O260="Lost"),1,IF(O260="Unqualified",0,""))</f>
        <v/>
      </c>
    </row>
    <row r="261" customFormat="false" ht="15" hidden="false" customHeight="true" outlineLevel="0" collapsed="false">
      <c r="A261" s="3" t="s">
        <v>1096</v>
      </c>
      <c r="B261" s="9" t="n">
        <v>46047.34375</v>
      </c>
      <c r="C261" s="3" t="s">
        <v>128</v>
      </c>
      <c r="D261" s="3" t="s">
        <v>1097</v>
      </c>
      <c r="E261" s="3" t="s">
        <v>1098</v>
      </c>
      <c r="F261" s="3" t="s">
        <v>22</v>
      </c>
      <c r="G261" s="3" t="s">
        <v>917</v>
      </c>
      <c r="H261" s="3" t="s">
        <v>1099</v>
      </c>
      <c r="I261" s="3" t="s">
        <v>94</v>
      </c>
      <c r="J261" s="3" t="s">
        <v>117</v>
      </c>
      <c r="K261" s="3" t="s">
        <v>246</v>
      </c>
      <c r="L261" s="3" t="n">
        <v>8</v>
      </c>
      <c r="M261" s="3" t="n">
        <v>5.4</v>
      </c>
      <c r="N261" s="3" t="s">
        <v>171</v>
      </c>
      <c r="O261" s="3" t="s">
        <v>331</v>
      </c>
      <c r="P261" s="10"/>
      <c r="Q261" s="3" t="n">
        <f aca="false">IF(F261="Disposable",1,0)</f>
        <v>0</v>
      </c>
      <c r="R261" s="3" t="n">
        <f aca="false">IF(SUMPRODUCT(--ISNUMBER(SEARCH('Spam Rules'!$A$22:$A$35,K261)))&gt;0,1,0)</f>
        <v>0</v>
      </c>
      <c r="S261" s="3" t="n">
        <f aca="false">IF(AND(F261="Free",G261=""),1,0)</f>
        <v>0</v>
      </c>
      <c r="T261" s="3" t="n">
        <f aca="false">IF(LEN(TRIM(K261))&lt;15,1,0)</f>
        <v>0</v>
      </c>
      <c r="U261" s="3" t="n">
        <f aca="false">IF(COUNTIF($E$2:$E$801,E261)&gt;1,1,0)</f>
        <v>0</v>
      </c>
      <c r="V261" s="3" t="n">
        <f aca="false">Q261*'Spam Rules'!$H$6+R261*'Spam Rules'!$H$7+S261*'Spam Rules'!$H$8+T261*'Spam Rules'!$H$9+U261*'Spam Rules'!$H$10</f>
        <v>0</v>
      </c>
      <c r="W261" s="3" t="str">
        <f aca="false">IF(V261&gt;='Spam Rules'!$B$3,"Likely Spam","Genuine")</f>
        <v>Genuine</v>
      </c>
      <c r="X261" s="3" t="n">
        <f aca="false">IFERROR(INDEX('Scoring Model'!$B$5:$B$11,MATCH(C261,'Scoring Model'!$A$5:$A$11,0)),0)</f>
        <v>30</v>
      </c>
      <c r="Y261" s="3" t="n">
        <f aca="false">IFERROR(INDEX('Scoring Model'!$E$5:$E$7,MATCH(F261,'Scoring Model'!$D$5:$D$7,0)),0)</f>
        <v>20</v>
      </c>
      <c r="Z261" s="3" t="n">
        <f aca="false">IFERROR(INDEX('Scoring Model'!$H$5:$H$13,MATCH(J261,'Scoring Model'!$G$5:$G$13,0)),0)</f>
        <v>15</v>
      </c>
      <c r="AA261" s="3" t="n">
        <f aca="false">IF(L261&gt;='Scoring Model'!$B$14,'Scoring Model'!$B$15,IF(L261&gt;='Scoring Model'!$B$16,'Scoring Model'!$B$17,0))</f>
        <v>15</v>
      </c>
      <c r="AB261" s="3" t="n">
        <f aca="false">IF(SUMPRODUCT(--ISNUMBER(SEARCH('Scoring Model'!$D$16:$D$25,K261)))&gt;0,'Scoring Model'!$B$18,0)</f>
        <v>15</v>
      </c>
      <c r="AC261" s="3" t="n">
        <f aca="false">IF(SUMPRODUCT(--ISNUMBER(SEARCH('Scoring Model'!$G$16:$G$23,K261)))&gt;0,'Scoring Model'!$B$19,0)</f>
        <v>0</v>
      </c>
      <c r="AD261" s="3" t="n">
        <f aca="false">IF(W261="Likely Spam","",SUM(X261:AC261))</f>
        <v>95</v>
      </c>
      <c r="AE261" s="3" t="str">
        <f aca="false">IF(W261="Likely Spam","Spam",IF(AD261&gt;='Scoring Model'!$B$21,"Hot",IF(AD261&gt;='Scoring Model'!$B$22,"Warm","Nurture")))</f>
        <v>Hot</v>
      </c>
      <c r="AF261" s="3" t="str">
        <f aca="false">IF(W261="Likely Spam","Flagged by spam rules",TRIM(IF(X261&gt;=20,"Strong source. ","")&amp;IF(Y261&gt;0,"Company email. ","")&amp;IF(Z261&gt;=15,"High-value product. ","")&amp;IF(AA261&gt;='Scoring Model'!$B$15,"High engagement. ","")&amp;IF(AB261&gt;0,"Buying intent in message. ","")&amp;IF(AC261&lt;0,"Negative intent in message. ","")))</f>
        <v>Strong source. Company email. High-value product. High engagement. Buying intent in message.</v>
      </c>
      <c r="AG261" s="11" t="n">
        <f aca="false">IF(W261="Likely Spam","",1/(1+EXP(-('Conversion Model'!$B$5+IFERROR(INDEX('Conversion Model'!$B$8:$B$14,MATCH(C261,'Conversion Model'!$A$8:$A$14,0)),0)+IFERROR(INDEX('Conversion Model'!$E$8:$E$9,MATCH(F261,'Conversion Model'!$D$8:$D$9,0)),0)+IFERROR(INDEX('Conversion Model'!$H$8:$H$12,MATCH(IF(LEFT(J261,8)="Payments","Payments",IF(LEFT(J261,7)="Lending","Lending",J261)),'Conversion Model'!$G$8:$G$12,0)),0)+MIN(L261,15)*'Conversion Model'!$B$17+IF(SUMPRODUCT(--ISNUMBER(SEARCH('Scoring Model'!$D$16:$D$25,K261)))&gt;0,'Conversion Model'!$B$18,0)+IF(SUMPRODUCT(--ISNUMBER(SEARCH('Scoring Model'!$G$16:$G$23,K261)))&gt;0,'Conversion Model'!$B$19,0)))))</f>
        <v>0.99514074961593</v>
      </c>
      <c r="AH261" s="3" t="n">
        <f aca="false">IF(OR(O261="Qualified",O261="Won",O261="Lost"),1,IF(O261="Unqualified",0,""))</f>
        <v>1</v>
      </c>
    </row>
    <row r="262" customFormat="false" ht="15" hidden="false" customHeight="true" outlineLevel="0" collapsed="false">
      <c r="A262" s="3" t="s">
        <v>1100</v>
      </c>
      <c r="B262" s="9" t="n">
        <v>46047.4520833333</v>
      </c>
      <c r="C262" s="3" t="s">
        <v>112</v>
      </c>
      <c r="D262" s="3" t="s">
        <v>1101</v>
      </c>
      <c r="E262" s="3" t="s">
        <v>1102</v>
      </c>
      <c r="F262" s="3" t="s">
        <v>22</v>
      </c>
      <c r="G262" s="3" t="s">
        <v>1103</v>
      </c>
      <c r="H262" s="3" t="s">
        <v>1104</v>
      </c>
      <c r="I262" s="3" t="s">
        <v>73</v>
      </c>
      <c r="J262" s="3" t="s">
        <v>145</v>
      </c>
      <c r="K262" s="3" t="s">
        <v>58</v>
      </c>
      <c r="L262" s="3" t="n">
        <v>12</v>
      </c>
      <c r="M262" s="3" t="n">
        <v>7.4</v>
      </c>
      <c r="N262" s="3" t="s">
        <v>96</v>
      </c>
      <c r="O262" s="3" t="s">
        <v>110</v>
      </c>
      <c r="P262" s="10"/>
      <c r="Q262" s="3" t="n">
        <f aca="false">IF(F262="Disposable",1,0)</f>
        <v>0</v>
      </c>
      <c r="R262" s="3" t="n">
        <f aca="false">IF(SUMPRODUCT(--ISNUMBER(SEARCH('Spam Rules'!$A$22:$A$35,K262)))&gt;0,1,0)</f>
        <v>0</v>
      </c>
      <c r="S262" s="3" t="n">
        <f aca="false">IF(AND(F262="Free",G262=""),1,0)</f>
        <v>0</v>
      </c>
      <c r="T262" s="3" t="n">
        <f aca="false">IF(LEN(TRIM(K262))&lt;15,1,0)</f>
        <v>0</v>
      </c>
      <c r="U262" s="3" t="n">
        <f aca="false">IF(COUNTIF($E$2:$E$801,E262)&gt;1,1,0)</f>
        <v>0</v>
      </c>
      <c r="V262" s="3" t="n">
        <f aca="false">Q262*'Spam Rules'!$H$6+R262*'Spam Rules'!$H$7+S262*'Spam Rules'!$H$8+T262*'Spam Rules'!$H$9+U262*'Spam Rules'!$H$10</f>
        <v>0</v>
      </c>
      <c r="W262" s="3" t="str">
        <f aca="false">IF(V262&gt;='Spam Rules'!$B$3,"Likely Spam","Genuine")</f>
        <v>Genuine</v>
      </c>
      <c r="X262" s="3" t="n">
        <f aca="false">IFERROR(INDEX('Scoring Model'!$B$5:$B$11,MATCH(C262,'Scoring Model'!$A$5:$A$11,0)),0)</f>
        <v>15</v>
      </c>
      <c r="Y262" s="3" t="n">
        <f aca="false">IFERROR(INDEX('Scoring Model'!$E$5:$E$7,MATCH(F262,'Scoring Model'!$D$5:$D$7,0)),0)</f>
        <v>20</v>
      </c>
      <c r="Z262" s="3" t="n">
        <f aca="false">IFERROR(INDEX('Scoring Model'!$H$5:$H$13,MATCH(J262,'Scoring Model'!$G$5:$G$13,0)),0)</f>
        <v>5</v>
      </c>
      <c r="AA262" s="3" t="n">
        <f aca="false">IF(L262&gt;='Scoring Model'!$B$14,'Scoring Model'!$B$15,IF(L262&gt;='Scoring Model'!$B$16,'Scoring Model'!$B$17,0))</f>
        <v>15</v>
      </c>
      <c r="AB262" s="3" t="n">
        <f aca="false">IF(SUMPRODUCT(--ISNUMBER(SEARCH('Scoring Model'!$D$16:$D$25,K262)))&gt;0,'Scoring Model'!$B$18,0)</f>
        <v>15</v>
      </c>
      <c r="AC262" s="3" t="n">
        <f aca="false">IF(SUMPRODUCT(--ISNUMBER(SEARCH('Scoring Model'!$G$16:$G$23,K262)))&gt;0,'Scoring Model'!$B$19,0)</f>
        <v>0</v>
      </c>
      <c r="AD262" s="3" t="n">
        <f aca="false">IF(W262="Likely Spam","",SUM(X262:AC262))</f>
        <v>70</v>
      </c>
      <c r="AE262" s="3" t="str">
        <f aca="false">IF(W262="Likely Spam","Spam",IF(AD262&gt;='Scoring Model'!$B$21,"Hot",IF(AD262&gt;='Scoring Model'!$B$22,"Warm","Nurture")))</f>
        <v>Hot</v>
      </c>
      <c r="AF262" s="3" t="str">
        <f aca="false">IF(W262="Likely Spam","Flagged by spam rules",TRIM(IF(X262&gt;=20,"Strong source. ","")&amp;IF(Y262&gt;0,"Company email. ","")&amp;IF(Z262&gt;=15,"High-value product. ","")&amp;IF(AA262&gt;='Scoring Model'!$B$15,"High engagement. ","")&amp;IF(AB262&gt;0,"Buying intent in message. ","")&amp;IF(AC262&lt;0,"Negative intent in message. ","")))</f>
        <v>Company email. High engagement. Buying intent in message.</v>
      </c>
      <c r="AG262" s="11" t="n">
        <f aca="false">IF(W262="Likely Spam","",1/(1+EXP(-('Conversion Model'!$B$5+IFERROR(INDEX('Conversion Model'!$B$8:$B$14,MATCH(C262,'Conversion Model'!$A$8:$A$14,0)),0)+IFERROR(INDEX('Conversion Model'!$E$8:$E$9,MATCH(F262,'Conversion Model'!$D$8:$D$9,0)),0)+IFERROR(INDEX('Conversion Model'!$H$8:$H$12,MATCH(IF(LEFT(J262,8)="Payments","Payments",IF(LEFT(J262,7)="Lending","Lending",J262)),'Conversion Model'!$G$8:$G$12,0)),0)+MIN(L262,15)*'Conversion Model'!$B$17+IF(SUMPRODUCT(--ISNUMBER(SEARCH('Scoring Model'!$D$16:$D$25,K262)))&gt;0,'Conversion Model'!$B$18,0)+IF(SUMPRODUCT(--ISNUMBER(SEARCH('Scoring Model'!$G$16:$G$23,K262)))&gt;0,'Conversion Model'!$B$19,0)))))</f>
        <v>0.998631950103683</v>
      </c>
      <c r="AH262" s="3" t="n">
        <f aca="false">IF(OR(O262="Qualified",O262="Won",O262="Lost"),1,IF(O262="Unqualified",0,""))</f>
        <v>1</v>
      </c>
    </row>
    <row r="263" customFormat="false" ht="15" hidden="false" customHeight="true" outlineLevel="0" collapsed="false">
      <c r="A263" s="3" t="s">
        <v>1105</v>
      </c>
      <c r="B263" s="9" t="n">
        <v>46047.9180555556</v>
      </c>
      <c r="C263" s="3" t="s">
        <v>51</v>
      </c>
      <c r="D263" s="3" t="s">
        <v>1106</v>
      </c>
      <c r="E263" s="3" t="s">
        <v>1107</v>
      </c>
      <c r="F263" s="3" t="s">
        <v>54</v>
      </c>
      <c r="G263" s="3" t="s">
        <v>321</v>
      </c>
      <c r="H263" s="3"/>
      <c r="I263" s="3" t="s">
        <v>88</v>
      </c>
      <c r="J263" s="3" t="s">
        <v>81</v>
      </c>
      <c r="K263" s="3" t="s">
        <v>89</v>
      </c>
      <c r="L263" s="3" t="n">
        <v>2</v>
      </c>
      <c r="M263" s="3"/>
      <c r="N263" s="3" t="s">
        <v>96</v>
      </c>
      <c r="O263" s="3" t="s">
        <v>68</v>
      </c>
      <c r="P263" s="10"/>
      <c r="Q263" s="3" t="n">
        <f aca="false">IF(F263="Disposable",1,0)</f>
        <v>0</v>
      </c>
      <c r="R263" s="3" t="n">
        <f aca="false">IF(SUMPRODUCT(--ISNUMBER(SEARCH('Spam Rules'!$A$22:$A$35,K263)))&gt;0,1,0)</f>
        <v>1</v>
      </c>
      <c r="S263" s="3" t="n">
        <f aca="false">IF(AND(F263="Free",G263=""),1,0)</f>
        <v>0</v>
      </c>
      <c r="T263" s="3" t="n">
        <f aca="false">IF(LEN(TRIM(K263))&lt;15,1,0)</f>
        <v>0</v>
      </c>
      <c r="U263" s="3" t="n">
        <f aca="false">IF(COUNTIF($E$2:$E$801,E263)&gt;1,1,0)</f>
        <v>0</v>
      </c>
      <c r="V263" s="3" t="n">
        <f aca="false">Q263*'Spam Rules'!$H$6+R263*'Spam Rules'!$H$7+S263*'Spam Rules'!$H$8+T263*'Spam Rules'!$H$9+U263*'Spam Rules'!$H$10</f>
        <v>1</v>
      </c>
      <c r="W263" s="3" t="str">
        <f aca="false">IF(V263&gt;='Spam Rules'!$B$3,"Likely Spam","Genuine")</f>
        <v>Likely Spam</v>
      </c>
      <c r="X263" s="3" t="n">
        <f aca="false">IFERROR(INDEX('Scoring Model'!$B$5:$B$11,MATCH(C263,'Scoring Model'!$A$5:$A$11,0)),0)</f>
        <v>10</v>
      </c>
      <c r="Y263" s="3" t="n">
        <f aca="false">IFERROR(INDEX('Scoring Model'!$E$5:$E$7,MATCH(F263,'Scoring Model'!$D$5:$D$7,0)),0)</f>
        <v>0</v>
      </c>
      <c r="Z263" s="3" t="n">
        <f aca="false">IFERROR(INDEX('Scoring Model'!$H$5:$H$13,MATCH(J263,'Scoring Model'!$G$5:$G$13,0)),0)</f>
        <v>5</v>
      </c>
      <c r="AA263" s="3" t="n">
        <f aca="false">IF(L263&gt;='Scoring Model'!$B$14,'Scoring Model'!$B$15,IF(L263&gt;='Scoring Model'!$B$16,'Scoring Model'!$B$17,0))</f>
        <v>0</v>
      </c>
      <c r="AB263" s="3" t="n">
        <f aca="false">IF(SUMPRODUCT(--ISNUMBER(SEARCH('Scoring Model'!$D$16:$D$25,K263)))&gt;0,'Scoring Model'!$B$18,0)</f>
        <v>0</v>
      </c>
      <c r="AC263" s="3" t="n">
        <f aca="false">IF(SUMPRODUCT(--ISNUMBER(SEARCH('Scoring Model'!$G$16:$G$23,K263)))&gt;0,'Scoring Model'!$B$19,0)</f>
        <v>0</v>
      </c>
      <c r="AD263" s="3" t="str">
        <f aca="false">IF(W263="Likely Spam","",SUM(X263:AC263))</f>
        <v/>
      </c>
      <c r="AE263" s="3" t="str">
        <f aca="false">IF(W263="Likely Spam","Spam",IF(AD263&gt;='Scoring Model'!$B$21,"Hot",IF(AD263&gt;='Scoring Model'!$B$22,"Warm","Nurture")))</f>
        <v>Spam</v>
      </c>
      <c r="AF263" s="3" t="str">
        <f aca="false">IF(W263="Likely Spam","Flagged by spam rules",TRIM(IF(X263&gt;=20,"Strong source. ","")&amp;IF(Y263&gt;0,"Company email. ","")&amp;IF(Z263&gt;=15,"High-value product. ","")&amp;IF(AA263&gt;='Scoring Model'!$B$15,"High engagement. ","")&amp;IF(AB263&gt;0,"Buying intent in message. ","")&amp;IF(AC263&lt;0,"Negative intent in message. ","")))</f>
        <v>Flagged by spam rules</v>
      </c>
      <c r="AG263" s="11" t="str">
        <f aca="false">IF(W263="Likely Spam","",1/(1+EXP(-('Conversion Model'!$B$5+IFERROR(INDEX('Conversion Model'!$B$8:$B$14,MATCH(C263,'Conversion Model'!$A$8:$A$14,0)),0)+IFERROR(INDEX('Conversion Model'!$E$8:$E$9,MATCH(F263,'Conversion Model'!$D$8:$D$9,0)),0)+IFERROR(INDEX('Conversion Model'!$H$8:$H$12,MATCH(IF(LEFT(J263,8)="Payments","Payments",IF(LEFT(J263,7)="Lending","Lending",J263)),'Conversion Model'!$G$8:$G$12,0)),0)+MIN(L263,15)*'Conversion Model'!$B$17+IF(SUMPRODUCT(--ISNUMBER(SEARCH('Scoring Model'!$D$16:$D$25,K263)))&gt;0,'Conversion Model'!$B$18,0)+IF(SUMPRODUCT(--ISNUMBER(SEARCH('Scoring Model'!$G$16:$G$23,K263)))&gt;0,'Conversion Model'!$B$19,0)))))</f>
        <v/>
      </c>
      <c r="AH263" s="3" t="str">
        <f aca="false">IF(OR(O263="Qualified",O263="Won",O263="Lost"),1,IF(O263="Unqualified",0,""))</f>
        <v/>
      </c>
    </row>
    <row r="264" customFormat="false" ht="15" hidden="false" customHeight="true" outlineLevel="0" collapsed="false">
      <c r="A264" s="3" t="s">
        <v>1108</v>
      </c>
      <c r="B264" s="9" t="n">
        <v>46048.8986111111</v>
      </c>
      <c r="C264" s="3" t="s">
        <v>112</v>
      </c>
      <c r="D264" s="3" t="s">
        <v>235</v>
      </c>
      <c r="E264" s="3" t="s">
        <v>1109</v>
      </c>
      <c r="F264" s="3" t="s">
        <v>22</v>
      </c>
      <c r="G264" s="3" t="s">
        <v>1066</v>
      </c>
      <c r="H264" s="3" t="s">
        <v>1110</v>
      </c>
      <c r="I264" s="3" t="s">
        <v>188</v>
      </c>
      <c r="J264" s="3" t="s">
        <v>108</v>
      </c>
      <c r="K264" s="3" t="s">
        <v>1111</v>
      </c>
      <c r="L264" s="3" t="n">
        <v>11</v>
      </c>
      <c r="M264" s="3" t="n">
        <v>6.6</v>
      </c>
      <c r="N264" s="3" t="s">
        <v>59</v>
      </c>
      <c r="O264" s="3" t="s">
        <v>331</v>
      </c>
      <c r="P264" s="10"/>
      <c r="Q264" s="3" t="n">
        <f aca="false">IF(F264="Disposable",1,0)</f>
        <v>0</v>
      </c>
      <c r="R264" s="3" t="n">
        <f aca="false">IF(SUMPRODUCT(--ISNUMBER(SEARCH('Spam Rules'!$A$22:$A$35,K264)))&gt;0,1,0)</f>
        <v>0</v>
      </c>
      <c r="S264" s="3" t="n">
        <f aca="false">IF(AND(F264="Free",G264=""),1,0)</f>
        <v>0</v>
      </c>
      <c r="T264" s="3" t="n">
        <f aca="false">IF(LEN(TRIM(K264))&lt;15,1,0)</f>
        <v>0</v>
      </c>
      <c r="U264" s="3" t="n">
        <f aca="false">IF(COUNTIF($E$2:$E$801,E264)&gt;1,1,0)</f>
        <v>0</v>
      </c>
      <c r="V264" s="3" t="n">
        <f aca="false">Q264*'Spam Rules'!$H$6+R264*'Spam Rules'!$H$7+S264*'Spam Rules'!$H$8+T264*'Spam Rules'!$H$9+U264*'Spam Rules'!$H$10</f>
        <v>0</v>
      </c>
      <c r="W264" s="3" t="str">
        <f aca="false">IF(V264&gt;='Spam Rules'!$B$3,"Likely Spam","Genuine")</f>
        <v>Genuine</v>
      </c>
      <c r="X264" s="3" t="n">
        <f aca="false">IFERROR(INDEX('Scoring Model'!$B$5:$B$11,MATCH(C264,'Scoring Model'!$A$5:$A$11,0)),0)</f>
        <v>15</v>
      </c>
      <c r="Y264" s="3" t="n">
        <f aca="false">IFERROR(INDEX('Scoring Model'!$E$5:$E$7,MATCH(F264,'Scoring Model'!$D$5:$D$7,0)),0)</f>
        <v>20</v>
      </c>
      <c r="Z264" s="3" t="n">
        <f aca="false">IFERROR(INDEX('Scoring Model'!$H$5:$H$13,MATCH(J264,'Scoring Model'!$G$5:$G$13,0)),0)</f>
        <v>15</v>
      </c>
      <c r="AA264" s="3" t="n">
        <f aca="false">IF(L264&gt;='Scoring Model'!$B$14,'Scoring Model'!$B$15,IF(L264&gt;='Scoring Model'!$B$16,'Scoring Model'!$B$17,0))</f>
        <v>15</v>
      </c>
      <c r="AB264" s="3" t="n">
        <f aca="false">IF(SUMPRODUCT(--ISNUMBER(SEARCH('Scoring Model'!$D$16:$D$25,K264)))&gt;0,'Scoring Model'!$B$18,0)</f>
        <v>15</v>
      </c>
      <c r="AC264" s="3" t="n">
        <f aca="false">IF(SUMPRODUCT(--ISNUMBER(SEARCH('Scoring Model'!$G$16:$G$23,K264)))&gt;0,'Scoring Model'!$B$19,0)</f>
        <v>0</v>
      </c>
      <c r="AD264" s="3" t="n">
        <f aca="false">IF(W264="Likely Spam","",SUM(X264:AC264))</f>
        <v>80</v>
      </c>
      <c r="AE264" s="3" t="str">
        <f aca="false">IF(W264="Likely Spam","Spam",IF(AD264&gt;='Scoring Model'!$B$21,"Hot",IF(AD264&gt;='Scoring Model'!$B$22,"Warm","Nurture")))</f>
        <v>Hot</v>
      </c>
      <c r="AF264" s="3" t="str">
        <f aca="false">IF(W264="Likely Spam","Flagged by spam rules",TRIM(IF(X264&gt;=20,"Strong source. ","")&amp;IF(Y264&gt;0,"Company email. ","")&amp;IF(Z264&gt;=15,"High-value product. ","")&amp;IF(AA264&gt;='Scoring Model'!$B$15,"High engagement. ","")&amp;IF(AB264&gt;0,"Buying intent in message. ","")&amp;IF(AC264&lt;0,"Negative intent in message. ","")))</f>
        <v>Company email. High-value product. High engagement. Buying intent in message.</v>
      </c>
      <c r="AG264" s="11" t="n">
        <f aca="false">IF(W264="Likely Spam","",1/(1+EXP(-('Conversion Model'!$B$5+IFERROR(INDEX('Conversion Model'!$B$8:$B$14,MATCH(C264,'Conversion Model'!$A$8:$A$14,0)),0)+IFERROR(INDEX('Conversion Model'!$E$8:$E$9,MATCH(F264,'Conversion Model'!$D$8:$D$9,0)),0)+IFERROR(INDEX('Conversion Model'!$H$8:$H$12,MATCH(IF(LEFT(J264,8)="Payments","Payments",IF(LEFT(J264,7)="Lending","Lending",J264)),'Conversion Model'!$G$8:$G$12,0)),0)+MIN(L264,15)*'Conversion Model'!$B$17+IF(SUMPRODUCT(--ISNUMBER(SEARCH('Scoring Model'!$D$16:$D$25,K264)))&gt;0,'Conversion Model'!$B$18,0)+IF(SUMPRODUCT(--ISNUMBER(SEARCH('Scoring Model'!$G$16:$G$23,K264)))&gt;0,'Conversion Model'!$B$19,0)))))</f>
        <v>0.996417123502851</v>
      </c>
      <c r="AH264" s="3" t="n">
        <f aca="false">IF(OR(O264="Qualified",O264="Won",O264="Lost"),1,IF(O264="Unqualified",0,""))</f>
        <v>1</v>
      </c>
    </row>
    <row r="265" customFormat="false" ht="15" hidden="false" customHeight="true" outlineLevel="0" collapsed="false">
      <c r="A265" s="3" t="s">
        <v>1112</v>
      </c>
      <c r="B265" s="9" t="n">
        <v>46049.7902777778</v>
      </c>
      <c r="C265" s="3" t="s">
        <v>160</v>
      </c>
      <c r="D265" s="3" t="s">
        <v>1113</v>
      </c>
      <c r="E265" s="3" t="s">
        <v>1114</v>
      </c>
      <c r="F265" s="3" t="s">
        <v>22</v>
      </c>
      <c r="G265" s="3" t="s">
        <v>186</v>
      </c>
      <c r="H265" s="3" t="s">
        <v>187</v>
      </c>
      <c r="I265" s="3" t="s">
        <v>94</v>
      </c>
      <c r="J265" s="3" t="s">
        <v>108</v>
      </c>
      <c r="K265" s="3" t="s">
        <v>109</v>
      </c>
      <c r="L265" s="3" t="n">
        <v>7</v>
      </c>
      <c r="M265" s="3" t="n">
        <v>13.6</v>
      </c>
      <c r="N265" s="3" t="s">
        <v>59</v>
      </c>
      <c r="O265" s="3" t="s">
        <v>110</v>
      </c>
      <c r="P265" s="10"/>
      <c r="Q265" s="3" t="n">
        <f aca="false">IF(F265="Disposable",1,0)</f>
        <v>0</v>
      </c>
      <c r="R265" s="3" t="n">
        <f aca="false">IF(SUMPRODUCT(--ISNUMBER(SEARCH('Spam Rules'!$A$22:$A$35,K265)))&gt;0,1,0)</f>
        <v>0</v>
      </c>
      <c r="S265" s="3" t="n">
        <f aca="false">IF(AND(F265="Free",G265=""),1,0)</f>
        <v>0</v>
      </c>
      <c r="T265" s="3" t="n">
        <f aca="false">IF(LEN(TRIM(K265))&lt;15,1,0)</f>
        <v>0</v>
      </c>
      <c r="U265" s="3" t="n">
        <f aca="false">IF(COUNTIF($E$2:$E$801,E265)&gt;1,1,0)</f>
        <v>0</v>
      </c>
      <c r="V265" s="3" t="n">
        <f aca="false">Q265*'Spam Rules'!$H$6+R265*'Spam Rules'!$H$7+S265*'Spam Rules'!$H$8+T265*'Spam Rules'!$H$9+U265*'Spam Rules'!$H$10</f>
        <v>0</v>
      </c>
      <c r="W265" s="3" t="str">
        <f aca="false">IF(V265&gt;='Spam Rules'!$B$3,"Likely Spam","Genuine")</f>
        <v>Genuine</v>
      </c>
      <c r="X265" s="3" t="n">
        <f aca="false">IFERROR(INDEX('Scoring Model'!$B$5:$B$11,MATCH(C265,'Scoring Model'!$A$5:$A$11,0)),0)</f>
        <v>25</v>
      </c>
      <c r="Y265" s="3" t="n">
        <f aca="false">IFERROR(INDEX('Scoring Model'!$E$5:$E$7,MATCH(F265,'Scoring Model'!$D$5:$D$7,0)),0)</f>
        <v>20</v>
      </c>
      <c r="Z265" s="3" t="n">
        <f aca="false">IFERROR(INDEX('Scoring Model'!$H$5:$H$13,MATCH(J265,'Scoring Model'!$G$5:$G$13,0)),0)</f>
        <v>15</v>
      </c>
      <c r="AA265" s="3" t="n">
        <f aca="false">IF(L265&gt;='Scoring Model'!$B$14,'Scoring Model'!$B$15,IF(L265&gt;='Scoring Model'!$B$16,'Scoring Model'!$B$17,0))</f>
        <v>8</v>
      </c>
      <c r="AB265" s="3" t="n">
        <f aca="false">IF(SUMPRODUCT(--ISNUMBER(SEARCH('Scoring Model'!$D$16:$D$25,K265)))&gt;0,'Scoring Model'!$B$18,0)</f>
        <v>15</v>
      </c>
      <c r="AC265" s="3" t="n">
        <f aca="false">IF(SUMPRODUCT(--ISNUMBER(SEARCH('Scoring Model'!$G$16:$G$23,K265)))&gt;0,'Scoring Model'!$B$19,0)</f>
        <v>0</v>
      </c>
      <c r="AD265" s="3" t="n">
        <f aca="false">IF(W265="Likely Spam","",SUM(X265:AC265))</f>
        <v>83</v>
      </c>
      <c r="AE265" s="3" t="str">
        <f aca="false">IF(W265="Likely Spam","Spam",IF(AD265&gt;='Scoring Model'!$B$21,"Hot",IF(AD265&gt;='Scoring Model'!$B$22,"Warm","Nurture")))</f>
        <v>Hot</v>
      </c>
      <c r="AF265" s="3" t="str">
        <f aca="false">IF(W265="Likely Spam","Flagged by spam rules",TRIM(IF(X265&gt;=20,"Strong source. ","")&amp;IF(Y265&gt;0,"Company email. ","")&amp;IF(Z265&gt;=15,"High-value product. ","")&amp;IF(AA265&gt;='Scoring Model'!$B$15,"High engagement. ","")&amp;IF(AB265&gt;0,"Buying intent in message. ","")&amp;IF(AC265&lt;0,"Negative intent in message. ","")))</f>
        <v>Strong source. Company email. High-value product. Buying intent in message.</v>
      </c>
      <c r="AG265" s="11" t="n">
        <f aca="false">IF(W265="Likely Spam","",1/(1+EXP(-('Conversion Model'!$B$5+IFERROR(INDEX('Conversion Model'!$B$8:$B$14,MATCH(C265,'Conversion Model'!$A$8:$A$14,0)),0)+IFERROR(INDEX('Conversion Model'!$E$8:$E$9,MATCH(F265,'Conversion Model'!$D$8:$D$9,0)),0)+IFERROR(INDEX('Conversion Model'!$H$8:$H$12,MATCH(IF(LEFT(J265,8)="Payments","Payments",IF(LEFT(J265,7)="Lending","Lending",J265)),'Conversion Model'!$G$8:$G$12,0)),0)+MIN(L265,15)*'Conversion Model'!$B$17+IF(SUMPRODUCT(--ISNUMBER(SEARCH('Scoring Model'!$D$16:$D$25,K265)))&gt;0,'Conversion Model'!$B$18,0)+IF(SUMPRODUCT(--ISNUMBER(SEARCH('Scoring Model'!$G$16:$G$23,K265)))&gt;0,'Conversion Model'!$B$19,0)))))</f>
        <v>0.948142242594685</v>
      </c>
      <c r="AH265" s="3" t="n">
        <f aca="false">IF(OR(O265="Qualified",O265="Won",O265="Lost"),1,IF(O265="Unqualified",0,""))</f>
        <v>1</v>
      </c>
    </row>
    <row r="266" customFormat="false" ht="15" hidden="false" customHeight="true" outlineLevel="0" collapsed="false">
      <c r="A266" s="3" t="s">
        <v>1115</v>
      </c>
      <c r="B266" s="9" t="n">
        <v>46049.7965277778</v>
      </c>
      <c r="C266" s="3" t="s">
        <v>112</v>
      </c>
      <c r="D266" s="3" t="s">
        <v>1116</v>
      </c>
      <c r="E266" s="3" t="s">
        <v>1117</v>
      </c>
      <c r="F266" s="3" t="s">
        <v>54</v>
      </c>
      <c r="G266" s="3" t="s">
        <v>1118</v>
      </c>
      <c r="H266" s="3"/>
      <c r="I266" s="3" t="s">
        <v>204</v>
      </c>
      <c r="J266" s="3" t="s">
        <v>145</v>
      </c>
      <c r="K266" s="3" t="s">
        <v>58</v>
      </c>
      <c r="L266" s="3" t="n">
        <v>4</v>
      </c>
      <c r="M266" s="3" t="n">
        <v>19.2</v>
      </c>
      <c r="N266" s="3" t="s">
        <v>171</v>
      </c>
      <c r="O266" s="3" t="s">
        <v>110</v>
      </c>
      <c r="P266" s="10"/>
      <c r="Q266" s="3" t="n">
        <f aca="false">IF(F266="Disposable",1,0)</f>
        <v>0</v>
      </c>
      <c r="R266" s="3" t="n">
        <f aca="false">IF(SUMPRODUCT(--ISNUMBER(SEARCH('Spam Rules'!$A$22:$A$35,K266)))&gt;0,1,0)</f>
        <v>0</v>
      </c>
      <c r="S266" s="3" t="n">
        <f aca="false">IF(AND(F266="Free",G266=""),1,0)</f>
        <v>0</v>
      </c>
      <c r="T266" s="3" t="n">
        <f aca="false">IF(LEN(TRIM(K266))&lt;15,1,0)</f>
        <v>0</v>
      </c>
      <c r="U266" s="3" t="n">
        <f aca="false">IF(COUNTIF($E$2:$E$801,E266)&gt;1,1,0)</f>
        <v>0</v>
      </c>
      <c r="V266" s="3" t="n">
        <f aca="false">Q266*'Spam Rules'!$H$6+R266*'Spam Rules'!$H$7+S266*'Spam Rules'!$H$8+T266*'Spam Rules'!$H$9+U266*'Spam Rules'!$H$10</f>
        <v>0</v>
      </c>
      <c r="W266" s="3" t="str">
        <f aca="false">IF(V266&gt;='Spam Rules'!$B$3,"Likely Spam","Genuine")</f>
        <v>Genuine</v>
      </c>
      <c r="X266" s="3" t="n">
        <f aca="false">IFERROR(INDEX('Scoring Model'!$B$5:$B$11,MATCH(C266,'Scoring Model'!$A$5:$A$11,0)),0)</f>
        <v>15</v>
      </c>
      <c r="Y266" s="3" t="n">
        <f aca="false">IFERROR(INDEX('Scoring Model'!$E$5:$E$7,MATCH(F266,'Scoring Model'!$D$5:$D$7,0)),0)</f>
        <v>0</v>
      </c>
      <c r="Z266" s="3" t="n">
        <f aca="false">IFERROR(INDEX('Scoring Model'!$H$5:$H$13,MATCH(J266,'Scoring Model'!$G$5:$G$13,0)),0)</f>
        <v>5</v>
      </c>
      <c r="AA266" s="3" t="n">
        <f aca="false">IF(L266&gt;='Scoring Model'!$B$14,'Scoring Model'!$B$15,IF(L266&gt;='Scoring Model'!$B$16,'Scoring Model'!$B$17,0))</f>
        <v>8</v>
      </c>
      <c r="AB266" s="3" t="n">
        <f aca="false">IF(SUMPRODUCT(--ISNUMBER(SEARCH('Scoring Model'!$D$16:$D$25,K266)))&gt;0,'Scoring Model'!$B$18,0)</f>
        <v>15</v>
      </c>
      <c r="AC266" s="3" t="n">
        <f aca="false">IF(SUMPRODUCT(--ISNUMBER(SEARCH('Scoring Model'!$G$16:$G$23,K266)))&gt;0,'Scoring Model'!$B$19,0)</f>
        <v>0</v>
      </c>
      <c r="AD266" s="3" t="n">
        <f aca="false">IF(W266="Likely Spam","",SUM(X266:AC266))</f>
        <v>43</v>
      </c>
      <c r="AE266" s="3" t="str">
        <f aca="false">IF(W266="Likely Spam","Spam",IF(AD266&gt;='Scoring Model'!$B$21,"Hot",IF(AD266&gt;='Scoring Model'!$B$22,"Warm","Nurture")))</f>
        <v>Nurture</v>
      </c>
      <c r="AF266" s="3" t="str">
        <f aca="false">IF(W266="Likely Spam","Flagged by spam rules",TRIM(IF(X266&gt;=20,"Strong source. ","")&amp;IF(Y266&gt;0,"Company email. ","")&amp;IF(Z266&gt;=15,"High-value product. ","")&amp;IF(AA266&gt;='Scoring Model'!$B$15,"High engagement. ","")&amp;IF(AB266&gt;0,"Buying intent in message. ","")&amp;IF(AC266&lt;0,"Negative intent in message. ","")))</f>
        <v>Buying intent in message.</v>
      </c>
      <c r="AG266" s="11" t="n">
        <f aca="false">IF(W266="Likely Spam","",1/(1+EXP(-('Conversion Model'!$B$5+IFERROR(INDEX('Conversion Model'!$B$8:$B$14,MATCH(C266,'Conversion Model'!$A$8:$A$14,0)),0)+IFERROR(INDEX('Conversion Model'!$E$8:$E$9,MATCH(F266,'Conversion Model'!$D$8:$D$9,0)),0)+IFERROR(INDEX('Conversion Model'!$H$8:$H$12,MATCH(IF(LEFT(J266,8)="Payments","Payments",IF(LEFT(J266,7)="Lending","Lending",J266)),'Conversion Model'!$G$8:$G$12,0)),0)+MIN(L266,15)*'Conversion Model'!$B$17+IF(SUMPRODUCT(--ISNUMBER(SEARCH('Scoring Model'!$D$16:$D$25,K266)))&gt;0,'Conversion Model'!$B$18,0)+IF(SUMPRODUCT(--ISNUMBER(SEARCH('Scoring Model'!$G$16:$G$23,K266)))&gt;0,'Conversion Model'!$B$19,0)))))</f>
        <v>0.330925973748733</v>
      </c>
      <c r="AH266" s="3" t="n">
        <f aca="false">IF(OR(O266="Qualified",O266="Won",O266="Lost"),1,IF(O266="Unqualified",0,""))</f>
        <v>1</v>
      </c>
    </row>
    <row r="267" customFormat="false" ht="15" hidden="false" customHeight="true" outlineLevel="0" collapsed="false">
      <c r="A267" s="3" t="s">
        <v>1119</v>
      </c>
      <c r="B267" s="9" t="n">
        <v>46050.4611111111</v>
      </c>
      <c r="C267" s="3" t="s">
        <v>51</v>
      </c>
      <c r="D267" s="3" t="s">
        <v>907</v>
      </c>
      <c r="E267" s="3" t="s">
        <v>1120</v>
      </c>
      <c r="F267" s="3" t="s">
        <v>22</v>
      </c>
      <c r="G267" s="3" t="s">
        <v>1121</v>
      </c>
      <c r="H267" s="3" t="s">
        <v>1122</v>
      </c>
      <c r="I267" s="3" t="s">
        <v>116</v>
      </c>
      <c r="J267" s="3" t="s">
        <v>65</v>
      </c>
      <c r="K267" s="3" t="s">
        <v>378</v>
      </c>
      <c r="L267" s="3" t="n">
        <v>4</v>
      </c>
      <c r="M267" s="3" t="n">
        <v>21.8</v>
      </c>
      <c r="N267" s="3" t="s">
        <v>171</v>
      </c>
      <c r="O267" s="3" t="s">
        <v>194</v>
      </c>
      <c r="P267" s="10"/>
      <c r="Q267" s="3" t="n">
        <f aca="false">IF(F267="Disposable",1,0)</f>
        <v>0</v>
      </c>
      <c r="R267" s="3" t="n">
        <f aca="false">IF(SUMPRODUCT(--ISNUMBER(SEARCH('Spam Rules'!$A$22:$A$35,K267)))&gt;0,1,0)</f>
        <v>0</v>
      </c>
      <c r="S267" s="3" t="n">
        <f aca="false">IF(AND(F267="Free",G267=""),1,0)</f>
        <v>0</v>
      </c>
      <c r="T267" s="3" t="n">
        <f aca="false">IF(LEN(TRIM(K267))&lt;15,1,0)</f>
        <v>0</v>
      </c>
      <c r="U267" s="3" t="n">
        <f aca="false">IF(COUNTIF($E$2:$E$801,E267)&gt;1,1,0)</f>
        <v>0</v>
      </c>
      <c r="V267" s="3" t="n">
        <f aca="false">Q267*'Spam Rules'!$H$6+R267*'Spam Rules'!$H$7+S267*'Spam Rules'!$H$8+T267*'Spam Rules'!$H$9+U267*'Spam Rules'!$H$10</f>
        <v>0</v>
      </c>
      <c r="W267" s="3" t="str">
        <f aca="false">IF(V267&gt;='Spam Rules'!$B$3,"Likely Spam","Genuine")</f>
        <v>Genuine</v>
      </c>
      <c r="X267" s="3" t="n">
        <f aca="false">IFERROR(INDEX('Scoring Model'!$B$5:$B$11,MATCH(C267,'Scoring Model'!$A$5:$A$11,0)),0)</f>
        <v>10</v>
      </c>
      <c r="Y267" s="3" t="n">
        <f aca="false">IFERROR(INDEX('Scoring Model'!$E$5:$E$7,MATCH(F267,'Scoring Model'!$D$5:$D$7,0)),0)</f>
        <v>20</v>
      </c>
      <c r="Z267" s="3" t="n">
        <f aca="false">IFERROR(INDEX('Scoring Model'!$H$5:$H$13,MATCH(J267,'Scoring Model'!$G$5:$G$13,0)),0)</f>
        <v>0</v>
      </c>
      <c r="AA267" s="3" t="n">
        <f aca="false">IF(L267&gt;='Scoring Model'!$B$14,'Scoring Model'!$B$15,IF(L267&gt;='Scoring Model'!$B$16,'Scoring Model'!$B$17,0))</f>
        <v>8</v>
      </c>
      <c r="AB267" s="3" t="n">
        <f aca="false">IF(SUMPRODUCT(--ISNUMBER(SEARCH('Scoring Model'!$D$16:$D$25,K267)))&gt;0,'Scoring Model'!$B$18,0)</f>
        <v>0</v>
      </c>
      <c r="AC267" s="3" t="n">
        <f aca="false">IF(SUMPRODUCT(--ISNUMBER(SEARCH('Scoring Model'!$G$16:$G$23,K267)))&gt;0,'Scoring Model'!$B$19,0)</f>
        <v>-30</v>
      </c>
      <c r="AD267" s="3" t="n">
        <f aca="false">IF(W267="Likely Spam","",SUM(X267:AC267))</f>
        <v>8</v>
      </c>
      <c r="AE267" s="3" t="str">
        <f aca="false">IF(W267="Likely Spam","Spam",IF(AD267&gt;='Scoring Model'!$B$21,"Hot",IF(AD267&gt;='Scoring Model'!$B$22,"Warm","Nurture")))</f>
        <v>Nurture</v>
      </c>
      <c r="AF267" s="3" t="str">
        <f aca="false">IF(W267="Likely Spam","Flagged by spam rules",TRIM(IF(X267&gt;=20,"Strong source. ","")&amp;IF(Y267&gt;0,"Company email. ","")&amp;IF(Z267&gt;=15,"High-value product. ","")&amp;IF(AA267&gt;='Scoring Model'!$B$15,"High engagement. ","")&amp;IF(AB267&gt;0,"Buying intent in message. ","")&amp;IF(AC267&lt;0,"Negative intent in message. ","")))</f>
        <v>Company email. Negative intent in message.</v>
      </c>
      <c r="AG267" s="11" t="n">
        <f aca="false">IF(W267="Likely Spam","",1/(1+EXP(-('Conversion Model'!$B$5+IFERROR(INDEX('Conversion Model'!$B$8:$B$14,MATCH(C267,'Conversion Model'!$A$8:$A$14,0)),0)+IFERROR(INDEX('Conversion Model'!$E$8:$E$9,MATCH(F267,'Conversion Model'!$D$8:$D$9,0)),0)+IFERROR(INDEX('Conversion Model'!$H$8:$H$12,MATCH(IF(LEFT(J267,8)="Payments","Payments",IF(LEFT(J267,7)="Lending","Lending",J267)),'Conversion Model'!$G$8:$G$12,0)),0)+MIN(L267,15)*'Conversion Model'!$B$17+IF(SUMPRODUCT(--ISNUMBER(SEARCH('Scoring Model'!$D$16:$D$25,K267)))&gt;0,'Conversion Model'!$B$18,0)+IF(SUMPRODUCT(--ISNUMBER(SEARCH('Scoring Model'!$G$16:$G$23,K267)))&gt;0,'Conversion Model'!$B$19,0)))))</f>
        <v>0.0242450264902281</v>
      </c>
      <c r="AH267" s="3" t="n">
        <f aca="false">IF(OR(O267="Qualified",O267="Won",O267="Lost"),1,IF(O267="Unqualified",0,""))</f>
        <v>0</v>
      </c>
    </row>
    <row r="268" customFormat="false" ht="15" hidden="false" customHeight="true" outlineLevel="0" collapsed="false">
      <c r="A268" s="3" t="s">
        <v>1123</v>
      </c>
      <c r="B268" s="9" t="n">
        <v>46050.8305555556</v>
      </c>
      <c r="C268" s="3" t="s">
        <v>76</v>
      </c>
      <c r="D268" s="3" t="s">
        <v>1124</v>
      </c>
      <c r="E268" s="3" t="s">
        <v>1125</v>
      </c>
      <c r="F268" s="3" t="s">
        <v>22</v>
      </c>
      <c r="G268" s="3" t="s">
        <v>86</v>
      </c>
      <c r="H268" s="3" t="s">
        <v>87</v>
      </c>
      <c r="I268" s="3" t="s">
        <v>80</v>
      </c>
      <c r="J268" s="3" t="s">
        <v>65</v>
      </c>
      <c r="K268" s="3" t="s">
        <v>82</v>
      </c>
      <c r="L268" s="3" t="n">
        <v>1</v>
      </c>
      <c r="M268" s="3" t="n">
        <v>63</v>
      </c>
      <c r="N268" s="3" t="s">
        <v>96</v>
      </c>
      <c r="O268" s="3"/>
      <c r="P268" s="10"/>
      <c r="Q268" s="3" t="n">
        <f aca="false">IF(F268="Disposable",1,0)</f>
        <v>0</v>
      </c>
      <c r="R268" s="3" t="n">
        <f aca="false">IF(SUMPRODUCT(--ISNUMBER(SEARCH('Spam Rules'!$A$22:$A$35,K268)))&gt;0,1,0)</f>
        <v>1</v>
      </c>
      <c r="S268" s="3" t="n">
        <f aca="false">IF(AND(F268="Free",G268=""),1,0)</f>
        <v>0</v>
      </c>
      <c r="T268" s="3" t="n">
        <f aca="false">IF(LEN(TRIM(K268))&lt;15,1,0)</f>
        <v>0</v>
      </c>
      <c r="U268" s="3" t="n">
        <f aca="false">IF(COUNTIF($E$2:$E$801,E268)&gt;1,1,0)</f>
        <v>0</v>
      </c>
      <c r="V268" s="3" t="n">
        <f aca="false">Q268*'Spam Rules'!$H$6+R268*'Spam Rules'!$H$7+S268*'Spam Rules'!$H$8+T268*'Spam Rules'!$H$9+U268*'Spam Rules'!$H$10</f>
        <v>1</v>
      </c>
      <c r="W268" s="3" t="str">
        <f aca="false">IF(V268&gt;='Spam Rules'!$B$3,"Likely Spam","Genuine")</f>
        <v>Likely Spam</v>
      </c>
      <c r="X268" s="3" t="n">
        <f aca="false">IFERROR(INDEX('Scoring Model'!$B$5:$B$11,MATCH(C268,'Scoring Model'!$A$5:$A$11,0)),0)</f>
        <v>0</v>
      </c>
      <c r="Y268" s="3" t="n">
        <f aca="false">IFERROR(INDEX('Scoring Model'!$E$5:$E$7,MATCH(F268,'Scoring Model'!$D$5:$D$7,0)),0)</f>
        <v>20</v>
      </c>
      <c r="Z268" s="3" t="n">
        <f aca="false">IFERROR(INDEX('Scoring Model'!$H$5:$H$13,MATCH(J268,'Scoring Model'!$G$5:$G$13,0)),0)</f>
        <v>0</v>
      </c>
      <c r="AA268" s="3" t="n">
        <f aca="false">IF(L268&gt;='Scoring Model'!$B$14,'Scoring Model'!$B$15,IF(L268&gt;='Scoring Model'!$B$16,'Scoring Model'!$B$17,0))</f>
        <v>0</v>
      </c>
      <c r="AB268" s="3" t="n">
        <f aca="false">IF(SUMPRODUCT(--ISNUMBER(SEARCH('Scoring Model'!$D$16:$D$25,K268)))&gt;0,'Scoring Model'!$B$18,0)</f>
        <v>0</v>
      </c>
      <c r="AC268" s="3" t="n">
        <f aca="false">IF(SUMPRODUCT(--ISNUMBER(SEARCH('Scoring Model'!$G$16:$G$23,K268)))&gt;0,'Scoring Model'!$B$19,0)</f>
        <v>0</v>
      </c>
      <c r="AD268" s="3" t="str">
        <f aca="false">IF(W268="Likely Spam","",SUM(X268:AC268))</f>
        <v/>
      </c>
      <c r="AE268" s="3" t="str">
        <f aca="false">IF(W268="Likely Spam","Spam",IF(AD268&gt;='Scoring Model'!$B$21,"Hot",IF(AD268&gt;='Scoring Model'!$B$22,"Warm","Nurture")))</f>
        <v>Spam</v>
      </c>
      <c r="AF268" s="3" t="str">
        <f aca="false">IF(W268="Likely Spam","Flagged by spam rules",TRIM(IF(X268&gt;=20,"Strong source. ","")&amp;IF(Y268&gt;0,"Company email. ","")&amp;IF(Z268&gt;=15,"High-value product. ","")&amp;IF(AA268&gt;='Scoring Model'!$B$15,"High engagement. ","")&amp;IF(AB268&gt;0,"Buying intent in message. ","")&amp;IF(AC268&lt;0,"Negative intent in message. ","")))</f>
        <v>Flagged by spam rules</v>
      </c>
      <c r="AG268" s="11" t="str">
        <f aca="false">IF(W268="Likely Spam","",1/(1+EXP(-('Conversion Model'!$B$5+IFERROR(INDEX('Conversion Model'!$B$8:$B$14,MATCH(C268,'Conversion Model'!$A$8:$A$14,0)),0)+IFERROR(INDEX('Conversion Model'!$E$8:$E$9,MATCH(F268,'Conversion Model'!$D$8:$D$9,0)),0)+IFERROR(INDEX('Conversion Model'!$H$8:$H$12,MATCH(IF(LEFT(J268,8)="Payments","Payments",IF(LEFT(J268,7)="Lending","Lending",J268)),'Conversion Model'!$G$8:$G$12,0)),0)+MIN(L268,15)*'Conversion Model'!$B$17+IF(SUMPRODUCT(--ISNUMBER(SEARCH('Scoring Model'!$D$16:$D$25,K268)))&gt;0,'Conversion Model'!$B$18,0)+IF(SUMPRODUCT(--ISNUMBER(SEARCH('Scoring Model'!$G$16:$G$23,K268)))&gt;0,'Conversion Model'!$B$19,0)))))</f>
        <v/>
      </c>
      <c r="AH268" s="3" t="str">
        <f aca="false">IF(OR(O268="Qualified",O268="Won",O268="Lost"),1,IF(O268="Unqualified",0,""))</f>
        <v/>
      </c>
    </row>
    <row r="269" customFormat="false" ht="15" hidden="false" customHeight="true" outlineLevel="0" collapsed="false">
      <c r="A269" s="3" t="s">
        <v>1126</v>
      </c>
      <c r="B269" s="9" t="n">
        <v>46051.4361111111</v>
      </c>
      <c r="C269" s="3" t="s">
        <v>160</v>
      </c>
      <c r="D269" s="3" t="s">
        <v>1127</v>
      </c>
      <c r="E269" s="3" t="s">
        <v>1128</v>
      </c>
      <c r="F269" s="3" t="s">
        <v>54</v>
      </c>
      <c r="G269" s="3"/>
      <c r="H269" s="3"/>
      <c r="I269" s="3" t="s">
        <v>204</v>
      </c>
      <c r="J269" s="3" t="s">
        <v>81</v>
      </c>
      <c r="K269" s="3" t="s">
        <v>74</v>
      </c>
      <c r="L269" s="3" t="n">
        <v>3</v>
      </c>
      <c r="M269" s="3" t="n">
        <v>15.2</v>
      </c>
      <c r="N269" s="3" t="s">
        <v>96</v>
      </c>
      <c r="O269" s="3"/>
      <c r="P269" s="10"/>
      <c r="Q269" s="3" t="n">
        <f aca="false">IF(F269="Disposable",1,0)</f>
        <v>0</v>
      </c>
      <c r="R269" s="3" t="n">
        <f aca="false">IF(SUMPRODUCT(--ISNUMBER(SEARCH('Spam Rules'!$A$22:$A$35,K269)))&gt;0,1,0)</f>
        <v>0</v>
      </c>
      <c r="S269" s="3" t="n">
        <f aca="false">IF(AND(F269="Free",G269=""),1,0)</f>
        <v>1</v>
      </c>
      <c r="T269" s="3" t="n">
        <f aca="false">IF(LEN(TRIM(K269))&lt;15,1,0)</f>
        <v>0</v>
      </c>
      <c r="U269" s="3" t="n">
        <f aca="false">IF(COUNTIF($E$2:$E$801,E269)&gt;1,1,0)</f>
        <v>0</v>
      </c>
      <c r="V269" s="3" t="n">
        <f aca="false">Q269*'Spam Rules'!$H$6+R269*'Spam Rules'!$H$7+S269*'Spam Rules'!$H$8+T269*'Spam Rules'!$H$9+U269*'Spam Rules'!$H$10</f>
        <v>0</v>
      </c>
      <c r="W269" s="3" t="str">
        <f aca="false">IF(V269&gt;='Spam Rules'!$B$3,"Likely Spam","Genuine")</f>
        <v>Genuine</v>
      </c>
      <c r="X269" s="3" t="n">
        <f aca="false">IFERROR(INDEX('Scoring Model'!$B$5:$B$11,MATCH(C269,'Scoring Model'!$A$5:$A$11,0)),0)</f>
        <v>25</v>
      </c>
      <c r="Y269" s="3" t="n">
        <f aca="false">IFERROR(INDEX('Scoring Model'!$E$5:$E$7,MATCH(F269,'Scoring Model'!$D$5:$D$7,0)),0)</f>
        <v>0</v>
      </c>
      <c r="Z269" s="3" t="n">
        <f aca="false">IFERROR(INDEX('Scoring Model'!$H$5:$H$13,MATCH(J269,'Scoring Model'!$G$5:$G$13,0)),0)</f>
        <v>5</v>
      </c>
      <c r="AA269" s="3" t="n">
        <f aca="false">IF(L269&gt;='Scoring Model'!$B$14,'Scoring Model'!$B$15,IF(L269&gt;='Scoring Model'!$B$16,'Scoring Model'!$B$17,0))</f>
        <v>0</v>
      </c>
      <c r="AB269" s="3" t="n">
        <f aca="false">IF(SUMPRODUCT(--ISNUMBER(SEARCH('Scoring Model'!$D$16:$D$25,K269)))&gt;0,'Scoring Model'!$B$18,0)</f>
        <v>0</v>
      </c>
      <c r="AC269" s="3" t="n">
        <f aca="false">IF(SUMPRODUCT(--ISNUMBER(SEARCH('Scoring Model'!$G$16:$G$23,K269)))&gt;0,'Scoring Model'!$B$19,0)</f>
        <v>-30</v>
      </c>
      <c r="AD269" s="3" t="n">
        <f aca="false">IF(W269="Likely Spam","",SUM(X269:AC269))</f>
        <v>0</v>
      </c>
      <c r="AE269" s="3" t="str">
        <f aca="false">IF(W269="Likely Spam","Spam",IF(AD269&gt;='Scoring Model'!$B$21,"Hot",IF(AD269&gt;='Scoring Model'!$B$22,"Warm","Nurture")))</f>
        <v>Nurture</v>
      </c>
      <c r="AF269" s="3" t="str">
        <f aca="false">IF(W269="Likely Spam","Flagged by spam rules",TRIM(IF(X269&gt;=20,"Strong source. ","")&amp;IF(Y269&gt;0,"Company email. ","")&amp;IF(Z269&gt;=15,"High-value product. ","")&amp;IF(AA269&gt;='Scoring Model'!$B$15,"High engagement. ","")&amp;IF(AB269&gt;0,"Buying intent in message. ","")&amp;IF(AC269&lt;0,"Negative intent in message. ","")))</f>
        <v>Strong source. Negative intent in message.</v>
      </c>
      <c r="AG269" s="11" t="n">
        <f aca="false">IF(W269="Likely Spam","",1/(1+EXP(-('Conversion Model'!$B$5+IFERROR(INDEX('Conversion Model'!$B$8:$B$14,MATCH(C269,'Conversion Model'!$A$8:$A$14,0)),0)+IFERROR(INDEX('Conversion Model'!$E$8:$E$9,MATCH(F269,'Conversion Model'!$D$8:$D$9,0)),0)+IFERROR(INDEX('Conversion Model'!$H$8:$H$12,MATCH(IF(LEFT(J269,8)="Payments","Payments",IF(LEFT(J269,7)="Lending","Lending",J269)),'Conversion Model'!$G$8:$G$12,0)),0)+MIN(L269,15)*'Conversion Model'!$B$17+IF(SUMPRODUCT(--ISNUMBER(SEARCH('Scoring Model'!$D$16:$D$25,K269)))&gt;0,'Conversion Model'!$B$18,0)+IF(SUMPRODUCT(--ISNUMBER(SEARCH('Scoring Model'!$G$16:$G$23,K269)))&gt;0,'Conversion Model'!$B$19,0)))))</f>
        <v>0.00619375953497351</v>
      </c>
      <c r="AH269" s="3" t="str">
        <f aca="false">IF(OR(O269="Qualified",O269="Won",O269="Lost"),1,IF(O269="Unqualified",0,""))</f>
        <v/>
      </c>
    </row>
    <row r="270" customFormat="false" ht="15" hidden="false" customHeight="true" outlineLevel="0" collapsed="false">
      <c r="A270" s="3" t="s">
        <v>1129</v>
      </c>
      <c r="B270" s="9" t="n">
        <v>46051.4722222222</v>
      </c>
      <c r="C270" s="3" t="s">
        <v>91</v>
      </c>
      <c r="D270" s="3" t="s">
        <v>1130</v>
      </c>
      <c r="E270" s="3" t="s">
        <v>1131</v>
      </c>
      <c r="F270" s="3" t="s">
        <v>22</v>
      </c>
      <c r="G270" s="3" t="s">
        <v>86</v>
      </c>
      <c r="H270" s="3" t="s">
        <v>87</v>
      </c>
      <c r="I270" s="3" t="s">
        <v>56</v>
      </c>
      <c r="J270" s="3" t="s">
        <v>65</v>
      </c>
      <c r="K270" s="3" t="s">
        <v>322</v>
      </c>
      <c r="L270" s="3" t="n">
        <v>2</v>
      </c>
      <c r="M270" s="3"/>
      <c r="N270" s="3" t="s">
        <v>171</v>
      </c>
      <c r="O270" s="3"/>
      <c r="P270" s="10"/>
      <c r="Q270" s="3" t="n">
        <f aca="false">IF(F270="Disposable",1,0)</f>
        <v>0</v>
      </c>
      <c r="R270" s="3" t="n">
        <f aca="false">IF(SUMPRODUCT(--ISNUMBER(SEARCH('Spam Rules'!$A$22:$A$35,K270)))&gt;0,1,0)</f>
        <v>0</v>
      </c>
      <c r="S270" s="3" t="n">
        <f aca="false">IF(AND(F270="Free",G270=""),1,0)</f>
        <v>0</v>
      </c>
      <c r="T270" s="3" t="n">
        <f aca="false">IF(LEN(TRIM(K270))&lt;15,1,0)</f>
        <v>1</v>
      </c>
      <c r="U270" s="3" t="n">
        <f aca="false">IF(COUNTIF($E$2:$E$801,E270)&gt;1,1,0)</f>
        <v>1</v>
      </c>
      <c r="V270" s="3" t="n">
        <f aca="false">Q270*'Spam Rules'!$H$6+R270*'Spam Rules'!$H$7+S270*'Spam Rules'!$H$8+T270*'Spam Rules'!$H$9+U270*'Spam Rules'!$H$10</f>
        <v>1</v>
      </c>
      <c r="W270" s="3" t="str">
        <f aca="false">IF(V270&gt;='Spam Rules'!$B$3,"Likely Spam","Genuine")</f>
        <v>Likely Spam</v>
      </c>
      <c r="X270" s="3" t="n">
        <f aca="false">IFERROR(INDEX('Scoring Model'!$B$5:$B$11,MATCH(C270,'Scoring Model'!$A$5:$A$11,0)),0)</f>
        <v>5</v>
      </c>
      <c r="Y270" s="3" t="n">
        <f aca="false">IFERROR(INDEX('Scoring Model'!$E$5:$E$7,MATCH(F270,'Scoring Model'!$D$5:$D$7,0)),0)</f>
        <v>20</v>
      </c>
      <c r="Z270" s="3" t="n">
        <f aca="false">IFERROR(INDEX('Scoring Model'!$H$5:$H$13,MATCH(J270,'Scoring Model'!$G$5:$G$13,0)),0)</f>
        <v>0</v>
      </c>
      <c r="AA270" s="3" t="n">
        <f aca="false">IF(L270&gt;='Scoring Model'!$B$14,'Scoring Model'!$B$15,IF(L270&gt;='Scoring Model'!$B$16,'Scoring Model'!$B$17,0))</f>
        <v>0</v>
      </c>
      <c r="AB270" s="3" t="n">
        <f aca="false">IF(SUMPRODUCT(--ISNUMBER(SEARCH('Scoring Model'!$D$16:$D$25,K270)))&gt;0,'Scoring Model'!$B$18,0)</f>
        <v>0</v>
      </c>
      <c r="AC270" s="3" t="n">
        <f aca="false">IF(SUMPRODUCT(--ISNUMBER(SEARCH('Scoring Model'!$G$16:$G$23,K270)))&gt;0,'Scoring Model'!$B$19,0)</f>
        <v>0</v>
      </c>
      <c r="AD270" s="3" t="str">
        <f aca="false">IF(W270="Likely Spam","",SUM(X270:AC270))</f>
        <v/>
      </c>
      <c r="AE270" s="3" t="str">
        <f aca="false">IF(W270="Likely Spam","Spam",IF(AD270&gt;='Scoring Model'!$B$21,"Hot",IF(AD270&gt;='Scoring Model'!$B$22,"Warm","Nurture")))</f>
        <v>Spam</v>
      </c>
      <c r="AF270" s="3" t="str">
        <f aca="false">IF(W270="Likely Spam","Flagged by spam rules",TRIM(IF(X270&gt;=20,"Strong source. ","")&amp;IF(Y270&gt;0,"Company email. ","")&amp;IF(Z270&gt;=15,"High-value product. ","")&amp;IF(AA270&gt;='Scoring Model'!$B$15,"High engagement. ","")&amp;IF(AB270&gt;0,"Buying intent in message. ","")&amp;IF(AC270&lt;0,"Negative intent in message. ","")))</f>
        <v>Flagged by spam rules</v>
      </c>
      <c r="AG270" s="11" t="str">
        <f aca="false">IF(W270="Likely Spam","",1/(1+EXP(-('Conversion Model'!$B$5+IFERROR(INDEX('Conversion Model'!$B$8:$B$14,MATCH(C270,'Conversion Model'!$A$8:$A$14,0)),0)+IFERROR(INDEX('Conversion Model'!$E$8:$E$9,MATCH(F270,'Conversion Model'!$D$8:$D$9,0)),0)+IFERROR(INDEX('Conversion Model'!$H$8:$H$12,MATCH(IF(LEFT(J270,8)="Payments","Payments",IF(LEFT(J270,7)="Lending","Lending",J270)),'Conversion Model'!$G$8:$G$12,0)),0)+MIN(L270,15)*'Conversion Model'!$B$17+IF(SUMPRODUCT(--ISNUMBER(SEARCH('Scoring Model'!$D$16:$D$25,K270)))&gt;0,'Conversion Model'!$B$18,0)+IF(SUMPRODUCT(--ISNUMBER(SEARCH('Scoring Model'!$G$16:$G$23,K270)))&gt;0,'Conversion Model'!$B$19,0)))))</f>
        <v/>
      </c>
      <c r="AH270" s="3" t="str">
        <f aca="false">IF(OR(O270="Qualified",O270="Won",O270="Lost"),1,IF(O270="Unqualified",0,""))</f>
        <v/>
      </c>
    </row>
    <row r="271" customFormat="false" ht="15" hidden="false" customHeight="true" outlineLevel="0" collapsed="false">
      <c r="A271" s="3" t="s">
        <v>1132</v>
      </c>
      <c r="B271" s="9" t="n">
        <v>46052.7625</v>
      </c>
      <c r="C271" s="3" t="s">
        <v>135</v>
      </c>
      <c r="D271" s="3" t="s">
        <v>1133</v>
      </c>
      <c r="E271" s="3" t="s">
        <v>1134</v>
      </c>
      <c r="F271" s="3" t="s">
        <v>22</v>
      </c>
      <c r="G271" s="3" t="s">
        <v>1135</v>
      </c>
      <c r="H271" s="3" t="s">
        <v>1136</v>
      </c>
      <c r="I271" s="3" t="s">
        <v>188</v>
      </c>
      <c r="J271" s="3" t="s">
        <v>165</v>
      </c>
      <c r="K271" s="3" t="s">
        <v>189</v>
      </c>
      <c r="L271" s="3" t="n">
        <v>2</v>
      </c>
      <c r="M271" s="3" t="n">
        <v>29</v>
      </c>
      <c r="N271" s="3" t="s">
        <v>59</v>
      </c>
      <c r="O271" s="3" t="s">
        <v>194</v>
      </c>
      <c r="P271" s="10"/>
      <c r="Q271" s="3" t="n">
        <f aca="false">IF(F271="Disposable",1,0)</f>
        <v>0</v>
      </c>
      <c r="R271" s="3" t="n">
        <f aca="false">IF(SUMPRODUCT(--ISNUMBER(SEARCH('Spam Rules'!$A$22:$A$35,K271)))&gt;0,1,0)</f>
        <v>0</v>
      </c>
      <c r="S271" s="3" t="n">
        <f aca="false">IF(AND(F271="Free",G271=""),1,0)</f>
        <v>0</v>
      </c>
      <c r="T271" s="3" t="n">
        <f aca="false">IF(LEN(TRIM(K271))&lt;15,1,0)</f>
        <v>0</v>
      </c>
      <c r="U271" s="3" t="n">
        <f aca="false">IF(COUNTIF($E$2:$E$801,E271)&gt;1,1,0)</f>
        <v>0</v>
      </c>
      <c r="V271" s="3" t="n">
        <f aca="false">Q271*'Spam Rules'!$H$6+R271*'Spam Rules'!$H$7+S271*'Spam Rules'!$H$8+T271*'Spam Rules'!$H$9+U271*'Spam Rules'!$H$10</f>
        <v>0</v>
      </c>
      <c r="W271" s="3" t="str">
        <f aca="false">IF(V271&gt;='Spam Rules'!$B$3,"Likely Spam","Genuine")</f>
        <v>Genuine</v>
      </c>
      <c r="X271" s="3" t="n">
        <f aca="false">IFERROR(INDEX('Scoring Model'!$B$5:$B$11,MATCH(C271,'Scoring Model'!$A$5:$A$11,0)),0)</f>
        <v>20</v>
      </c>
      <c r="Y271" s="3" t="n">
        <f aca="false">IFERROR(INDEX('Scoring Model'!$E$5:$E$7,MATCH(F271,'Scoring Model'!$D$5:$D$7,0)),0)</f>
        <v>20</v>
      </c>
      <c r="Z271" s="3" t="n">
        <f aca="false">IFERROR(INDEX('Scoring Model'!$H$5:$H$13,MATCH(J271,'Scoring Model'!$G$5:$G$13,0)),0)</f>
        <v>15</v>
      </c>
      <c r="AA271" s="3" t="n">
        <f aca="false">IF(L271&gt;='Scoring Model'!$B$14,'Scoring Model'!$B$15,IF(L271&gt;='Scoring Model'!$B$16,'Scoring Model'!$B$17,0))</f>
        <v>0</v>
      </c>
      <c r="AB271" s="3" t="n">
        <f aca="false">IF(SUMPRODUCT(--ISNUMBER(SEARCH('Scoring Model'!$D$16:$D$25,K271)))&gt;0,'Scoring Model'!$B$18,0)</f>
        <v>15</v>
      </c>
      <c r="AC271" s="3" t="n">
        <f aca="false">IF(SUMPRODUCT(--ISNUMBER(SEARCH('Scoring Model'!$G$16:$G$23,K271)))&gt;0,'Scoring Model'!$B$19,0)</f>
        <v>0</v>
      </c>
      <c r="AD271" s="3" t="n">
        <f aca="false">IF(W271="Likely Spam","",SUM(X271:AC271))</f>
        <v>70</v>
      </c>
      <c r="AE271" s="3" t="str">
        <f aca="false">IF(W271="Likely Spam","Spam",IF(AD271&gt;='Scoring Model'!$B$21,"Hot",IF(AD271&gt;='Scoring Model'!$B$22,"Warm","Nurture")))</f>
        <v>Hot</v>
      </c>
      <c r="AF271" s="3" t="str">
        <f aca="false">IF(W271="Likely Spam","Flagged by spam rules",TRIM(IF(X271&gt;=20,"Strong source. ","")&amp;IF(Y271&gt;0,"Company email. ","")&amp;IF(Z271&gt;=15,"High-value product. ","")&amp;IF(AA271&gt;='Scoring Model'!$B$15,"High engagement. ","")&amp;IF(AB271&gt;0,"Buying intent in message. ","")&amp;IF(AC271&lt;0,"Negative intent in message. ","")))</f>
        <v>Strong source. Company email. High-value product. Buying intent in message.</v>
      </c>
      <c r="AG271" s="11" t="n">
        <f aca="false">IF(W271="Likely Spam","",1/(1+EXP(-('Conversion Model'!$B$5+IFERROR(INDEX('Conversion Model'!$B$8:$B$14,MATCH(C271,'Conversion Model'!$A$8:$A$14,0)),0)+IFERROR(INDEX('Conversion Model'!$E$8:$E$9,MATCH(F271,'Conversion Model'!$D$8:$D$9,0)),0)+IFERROR(INDEX('Conversion Model'!$H$8:$H$12,MATCH(IF(LEFT(J271,8)="Payments","Payments",IF(LEFT(J271,7)="Lending","Lending",J271)),'Conversion Model'!$G$8:$G$12,0)),0)+MIN(L271,15)*'Conversion Model'!$B$17+IF(SUMPRODUCT(--ISNUMBER(SEARCH('Scoring Model'!$D$16:$D$25,K271)))&gt;0,'Conversion Model'!$B$18,0)+IF(SUMPRODUCT(--ISNUMBER(SEARCH('Scoring Model'!$G$16:$G$23,K271)))&gt;0,'Conversion Model'!$B$19,0)))))</f>
        <v>0.321911750448372</v>
      </c>
      <c r="AH271" s="3" t="n">
        <f aca="false">IF(OR(O271="Qualified",O271="Won",O271="Lost"),1,IF(O271="Unqualified",0,""))</f>
        <v>0</v>
      </c>
    </row>
    <row r="272" customFormat="false" ht="15" hidden="false" customHeight="true" outlineLevel="0" collapsed="false">
      <c r="A272" s="3" t="s">
        <v>1137</v>
      </c>
      <c r="B272" s="9" t="n">
        <v>46053.0784722222</v>
      </c>
      <c r="C272" s="3" t="s">
        <v>135</v>
      </c>
      <c r="D272" s="3" t="s">
        <v>1138</v>
      </c>
      <c r="E272" s="3" t="s">
        <v>1139</v>
      </c>
      <c r="F272" s="3" t="s">
        <v>54</v>
      </c>
      <c r="G272" s="3" t="s">
        <v>1140</v>
      </c>
      <c r="H272" s="3"/>
      <c r="I272" s="3" t="s">
        <v>64</v>
      </c>
      <c r="J272" s="3" t="s">
        <v>81</v>
      </c>
      <c r="K272" s="3" t="s">
        <v>189</v>
      </c>
      <c r="L272" s="3" t="n">
        <v>12</v>
      </c>
      <c r="M272" s="3" t="n">
        <v>6.1</v>
      </c>
      <c r="N272" s="3" t="s">
        <v>67</v>
      </c>
      <c r="O272" s="3"/>
      <c r="P272" s="10"/>
      <c r="Q272" s="3" t="n">
        <f aca="false">IF(F272="Disposable",1,0)</f>
        <v>0</v>
      </c>
      <c r="R272" s="3" t="n">
        <f aca="false">IF(SUMPRODUCT(--ISNUMBER(SEARCH('Spam Rules'!$A$22:$A$35,K272)))&gt;0,1,0)</f>
        <v>0</v>
      </c>
      <c r="S272" s="3" t="n">
        <f aca="false">IF(AND(F272="Free",G272=""),1,0)</f>
        <v>0</v>
      </c>
      <c r="T272" s="3" t="n">
        <f aca="false">IF(LEN(TRIM(K272))&lt;15,1,0)</f>
        <v>0</v>
      </c>
      <c r="U272" s="3" t="n">
        <f aca="false">IF(COUNTIF($E$2:$E$801,E272)&gt;1,1,0)</f>
        <v>0</v>
      </c>
      <c r="V272" s="3" t="n">
        <f aca="false">Q272*'Spam Rules'!$H$6+R272*'Spam Rules'!$H$7+S272*'Spam Rules'!$H$8+T272*'Spam Rules'!$H$9+U272*'Spam Rules'!$H$10</f>
        <v>0</v>
      </c>
      <c r="W272" s="3" t="str">
        <f aca="false">IF(V272&gt;='Spam Rules'!$B$3,"Likely Spam","Genuine")</f>
        <v>Genuine</v>
      </c>
      <c r="X272" s="3" t="n">
        <f aca="false">IFERROR(INDEX('Scoring Model'!$B$5:$B$11,MATCH(C272,'Scoring Model'!$A$5:$A$11,0)),0)</f>
        <v>20</v>
      </c>
      <c r="Y272" s="3" t="n">
        <f aca="false">IFERROR(INDEX('Scoring Model'!$E$5:$E$7,MATCH(F272,'Scoring Model'!$D$5:$D$7,0)),0)</f>
        <v>0</v>
      </c>
      <c r="Z272" s="3" t="n">
        <f aca="false">IFERROR(INDEX('Scoring Model'!$H$5:$H$13,MATCH(J272,'Scoring Model'!$G$5:$G$13,0)),0)</f>
        <v>5</v>
      </c>
      <c r="AA272" s="3" t="n">
        <f aca="false">IF(L272&gt;='Scoring Model'!$B$14,'Scoring Model'!$B$15,IF(L272&gt;='Scoring Model'!$B$16,'Scoring Model'!$B$17,0))</f>
        <v>15</v>
      </c>
      <c r="AB272" s="3" t="n">
        <f aca="false">IF(SUMPRODUCT(--ISNUMBER(SEARCH('Scoring Model'!$D$16:$D$25,K272)))&gt;0,'Scoring Model'!$B$18,0)</f>
        <v>15</v>
      </c>
      <c r="AC272" s="3" t="n">
        <f aca="false">IF(SUMPRODUCT(--ISNUMBER(SEARCH('Scoring Model'!$G$16:$G$23,K272)))&gt;0,'Scoring Model'!$B$19,0)</f>
        <v>0</v>
      </c>
      <c r="AD272" s="3" t="n">
        <f aca="false">IF(W272="Likely Spam","",SUM(X272:AC272))</f>
        <v>55</v>
      </c>
      <c r="AE272" s="3" t="str">
        <f aca="false">IF(W272="Likely Spam","Spam",IF(AD272&gt;='Scoring Model'!$B$21,"Hot",IF(AD272&gt;='Scoring Model'!$B$22,"Warm","Nurture")))</f>
        <v>Warm</v>
      </c>
      <c r="AF272" s="3" t="str">
        <f aca="false">IF(W272="Likely Spam","Flagged by spam rules",TRIM(IF(X272&gt;=20,"Strong source. ","")&amp;IF(Y272&gt;0,"Company email. ","")&amp;IF(Z272&gt;=15,"High-value product. ","")&amp;IF(AA272&gt;='Scoring Model'!$B$15,"High engagement. ","")&amp;IF(AB272&gt;0,"Buying intent in message. ","")&amp;IF(AC272&lt;0,"Negative intent in message. ","")))</f>
        <v>Strong source. High engagement. Buying intent in message.</v>
      </c>
      <c r="AG272" s="11" t="n">
        <f aca="false">IF(W272="Likely Spam","",1/(1+EXP(-('Conversion Model'!$B$5+IFERROR(INDEX('Conversion Model'!$B$8:$B$14,MATCH(C272,'Conversion Model'!$A$8:$A$14,0)),0)+IFERROR(INDEX('Conversion Model'!$E$8:$E$9,MATCH(F272,'Conversion Model'!$D$8:$D$9,0)),0)+IFERROR(INDEX('Conversion Model'!$H$8:$H$12,MATCH(IF(LEFT(J272,8)="Payments","Payments",IF(LEFT(J272,7)="Lending","Lending",J272)),'Conversion Model'!$G$8:$G$12,0)),0)+MIN(L272,15)*'Conversion Model'!$B$17+IF(SUMPRODUCT(--ISNUMBER(SEARCH('Scoring Model'!$D$16:$D$25,K272)))&gt;0,'Conversion Model'!$B$18,0)+IF(SUMPRODUCT(--ISNUMBER(SEARCH('Scoring Model'!$G$16:$G$23,K272)))&gt;0,'Conversion Model'!$B$19,0)))))</f>
        <v>0.997547030586674</v>
      </c>
      <c r="AH272" s="3" t="str">
        <f aca="false">IF(OR(O272="Qualified",O272="Won",O272="Lost"),1,IF(O272="Unqualified",0,""))</f>
        <v/>
      </c>
    </row>
    <row r="273" customFormat="false" ht="15" hidden="false" customHeight="true" outlineLevel="0" collapsed="false">
      <c r="A273" s="3" t="s">
        <v>1141</v>
      </c>
      <c r="B273" s="9" t="n">
        <v>46053.3673611111</v>
      </c>
      <c r="C273" s="3" t="s">
        <v>128</v>
      </c>
      <c r="D273" s="3" t="s">
        <v>1142</v>
      </c>
      <c r="E273" s="3" t="s">
        <v>1143</v>
      </c>
      <c r="F273" s="3" t="s">
        <v>22</v>
      </c>
      <c r="G273" s="3" t="s">
        <v>1144</v>
      </c>
      <c r="H273" s="3" t="s">
        <v>1145</v>
      </c>
      <c r="I273" s="3" t="s">
        <v>80</v>
      </c>
      <c r="J273" s="3" t="s">
        <v>122</v>
      </c>
      <c r="K273" s="3" t="s">
        <v>58</v>
      </c>
      <c r="L273" s="3" t="n">
        <v>5</v>
      </c>
      <c r="M273" s="3" t="n">
        <v>64.4</v>
      </c>
      <c r="N273" s="3" t="s">
        <v>171</v>
      </c>
      <c r="O273" s="3"/>
      <c r="P273" s="10"/>
      <c r="Q273" s="3" t="n">
        <f aca="false">IF(F273="Disposable",1,0)</f>
        <v>0</v>
      </c>
      <c r="R273" s="3" t="n">
        <f aca="false">IF(SUMPRODUCT(--ISNUMBER(SEARCH('Spam Rules'!$A$22:$A$35,K273)))&gt;0,1,0)</f>
        <v>0</v>
      </c>
      <c r="S273" s="3" t="n">
        <f aca="false">IF(AND(F273="Free",G273=""),1,0)</f>
        <v>0</v>
      </c>
      <c r="T273" s="3" t="n">
        <f aca="false">IF(LEN(TRIM(K273))&lt;15,1,0)</f>
        <v>0</v>
      </c>
      <c r="U273" s="3" t="n">
        <f aca="false">IF(COUNTIF($E$2:$E$801,E273)&gt;1,1,0)</f>
        <v>0</v>
      </c>
      <c r="V273" s="3" t="n">
        <f aca="false">Q273*'Spam Rules'!$H$6+R273*'Spam Rules'!$H$7+S273*'Spam Rules'!$H$8+T273*'Spam Rules'!$H$9+U273*'Spam Rules'!$H$10</f>
        <v>0</v>
      </c>
      <c r="W273" s="3" t="str">
        <f aca="false">IF(V273&gt;='Spam Rules'!$B$3,"Likely Spam","Genuine")</f>
        <v>Genuine</v>
      </c>
      <c r="X273" s="3" t="n">
        <f aca="false">IFERROR(INDEX('Scoring Model'!$B$5:$B$11,MATCH(C273,'Scoring Model'!$A$5:$A$11,0)),0)</f>
        <v>30</v>
      </c>
      <c r="Y273" s="3" t="n">
        <f aca="false">IFERROR(INDEX('Scoring Model'!$E$5:$E$7,MATCH(F273,'Scoring Model'!$D$5:$D$7,0)),0)</f>
        <v>20</v>
      </c>
      <c r="Z273" s="3" t="n">
        <f aca="false">IFERROR(INDEX('Scoring Model'!$H$5:$H$13,MATCH(J273,'Scoring Model'!$G$5:$G$13,0)),0)</f>
        <v>15</v>
      </c>
      <c r="AA273" s="3" t="n">
        <f aca="false">IF(L273&gt;='Scoring Model'!$B$14,'Scoring Model'!$B$15,IF(L273&gt;='Scoring Model'!$B$16,'Scoring Model'!$B$17,0))</f>
        <v>8</v>
      </c>
      <c r="AB273" s="3" t="n">
        <f aca="false">IF(SUMPRODUCT(--ISNUMBER(SEARCH('Scoring Model'!$D$16:$D$25,K273)))&gt;0,'Scoring Model'!$B$18,0)</f>
        <v>15</v>
      </c>
      <c r="AC273" s="3" t="n">
        <f aca="false">IF(SUMPRODUCT(--ISNUMBER(SEARCH('Scoring Model'!$G$16:$G$23,K273)))&gt;0,'Scoring Model'!$B$19,0)</f>
        <v>0</v>
      </c>
      <c r="AD273" s="3" t="n">
        <f aca="false">IF(W273="Likely Spam","",SUM(X273:AC273))</f>
        <v>88</v>
      </c>
      <c r="AE273" s="3" t="str">
        <f aca="false">IF(W273="Likely Spam","Spam",IF(AD273&gt;='Scoring Model'!$B$21,"Hot",IF(AD273&gt;='Scoring Model'!$B$22,"Warm","Nurture")))</f>
        <v>Hot</v>
      </c>
      <c r="AF273" s="3" t="str">
        <f aca="false">IF(W273="Likely Spam","Flagged by spam rules",TRIM(IF(X273&gt;=20,"Strong source. ","")&amp;IF(Y273&gt;0,"Company email. ","")&amp;IF(Z273&gt;=15,"High-value product. ","")&amp;IF(AA273&gt;='Scoring Model'!$B$15,"High engagement. ","")&amp;IF(AB273&gt;0,"Buying intent in message. ","")&amp;IF(AC273&lt;0,"Negative intent in message. ","")))</f>
        <v>Strong source. Company email. High-value product. Buying intent in message.</v>
      </c>
      <c r="AG273" s="11" t="n">
        <f aca="false">IF(W273="Likely Spam","",1/(1+EXP(-('Conversion Model'!$B$5+IFERROR(INDEX('Conversion Model'!$B$8:$B$14,MATCH(C273,'Conversion Model'!$A$8:$A$14,0)),0)+IFERROR(INDEX('Conversion Model'!$E$8:$E$9,MATCH(F273,'Conversion Model'!$D$8:$D$9,0)),0)+IFERROR(INDEX('Conversion Model'!$H$8:$H$12,MATCH(IF(LEFT(J273,8)="Payments","Payments",IF(LEFT(J273,7)="Lending","Lending",J273)),'Conversion Model'!$G$8:$G$12,0)),0)+MIN(L273,15)*'Conversion Model'!$B$17+IF(SUMPRODUCT(--ISNUMBER(SEARCH('Scoring Model'!$D$16:$D$25,K273)))&gt;0,'Conversion Model'!$B$18,0)+IF(SUMPRODUCT(--ISNUMBER(SEARCH('Scoring Model'!$G$16:$G$23,K273)))&gt;0,'Conversion Model'!$B$19,0)))))</f>
        <v>0.878787722324501</v>
      </c>
      <c r="AH273" s="3" t="str">
        <f aca="false">IF(OR(O273="Qualified",O273="Won",O273="Lost"),1,IF(O273="Unqualified",0,""))</f>
        <v/>
      </c>
    </row>
    <row r="274" customFormat="false" ht="15" hidden="false" customHeight="true" outlineLevel="0" collapsed="false">
      <c r="A274" s="3" t="s">
        <v>1146</v>
      </c>
      <c r="B274" s="9" t="n">
        <v>46053.7236111111</v>
      </c>
      <c r="C274" s="3" t="s">
        <v>51</v>
      </c>
      <c r="D274" s="3" t="s">
        <v>529</v>
      </c>
      <c r="E274" s="3" t="s">
        <v>486</v>
      </c>
      <c r="F274" s="3" t="s">
        <v>54</v>
      </c>
      <c r="G274" s="3" t="s">
        <v>237</v>
      </c>
      <c r="H274" s="3"/>
      <c r="I274" s="3" t="s">
        <v>116</v>
      </c>
      <c r="J274" s="3" t="s">
        <v>65</v>
      </c>
      <c r="K274" s="3" t="s">
        <v>89</v>
      </c>
      <c r="L274" s="3" t="n">
        <v>1</v>
      </c>
      <c r="M274" s="3" t="n">
        <v>8</v>
      </c>
      <c r="N274" s="3" t="s">
        <v>96</v>
      </c>
      <c r="O274" s="3" t="s">
        <v>68</v>
      </c>
      <c r="P274" s="10"/>
      <c r="Q274" s="3" t="n">
        <f aca="false">IF(F274="Disposable",1,0)</f>
        <v>0</v>
      </c>
      <c r="R274" s="3" t="n">
        <f aca="false">IF(SUMPRODUCT(--ISNUMBER(SEARCH('Spam Rules'!$A$22:$A$35,K274)))&gt;0,1,0)</f>
        <v>1</v>
      </c>
      <c r="S274" s="3" t="n">
        <f aca="false">IF(AND(F274="Free",G274=""),1,0)</f>
        <v>0</v>
      </c>
      <c r="T274" s="3" t="n">
        <f aca="false">IF(LEN(TRIM(K274))&lt;15,1,0)</f>
        <v>0</v>
      </c>
      <c r="U274" s="3" t="n">
        <f aca="false">IF(COUNTIF($E$2:$E$801,E274)&gt;1,1,0)</f>
        <v>1</v>
      </c>
      <c r="V274" s="3" t="n">
        <f aca="false">Q274*'Spam Rules'!$H$6+R274*'Spam Rules'!$H$7+S274*'Spam Rules'!$H$8+T274*'Spam Rules'!$H$9+U274*'Spam Rules'!$H$10</f>
        <v>1</v>
      </c>
      <c r="W274" s="3" t="str">
        <f aca="false">IF(V274&gt;='Spam Rules'!$B$3,"Likely Spam","Genuine")</f>
        <v>Likely Spam</v>
      </c>
      <c r="X274" s="3" t="n">
        <f aca="false">IFERROR(INDEX('Scoring Model'!$B$5:$B$11,MATCH(C274,'Scoring Model'!$A$5:$A$11,0)),0)</f>
        <v>10</v>
      </c>
      <c r="Y274" s="3" t="n">
        <f aca="false">IFERROR(INDEX('Scoring Model'!$E$5:$E$7,MATCH(F274,'Scoring Model'!$D$5:$D$7,0)),0)</f>
        <v>0</v>
      </c>
      <c r="Z274" s="3" t="n">
        <f aca="false">IFERROR(INDEX('Scoring Model'!$H$5:$H$13,MATCH(J274,'Scoring Model'!$G$5:$G$13,0)),0)</f>
        <v>0</v>
      </c>
      <c r="AA274" s="3" t="n">
        <f aca="false">IF(L274&gt;='Scoring Model'!$B$14,'Scoring Model'!$B$15,IF(L274&gt;='Scoring Model'!$B$16,'Scoring Model'!$B$17,0))</f>
        <v>0</v>
      </c>
      <c r="AB274" s="3" t="n">
        <f aca="false">IF(SUMPRODUCT(--ISNUMBER(SEARCH('Scoring Model'!$D$16:$D$25,K274)))&gt;0,'Scoring Model'!$B$18,0)</f>
        <v>0</v>
      </c>
      <c r="AC274" s="3" t="n">
        <f aca="false">IF(SUMPRODUCT(--ISNUMBER(SEARCH('Scoring Model'!$G$16:$G$23,K274)))&gt;0,'Scoring Model'!$B$19,0)</f>
        <v>0</v>
      </c>
      <c r="AD274" s="3" t="str">
        <f aca="false">IF(W274="Likely Spam","",SUM(X274:AC274))</f>
        <v/>
      </c>
      <c r="AE274" s="3" t="str">
        <f aca="false">IF(W274="Likely Spam","Spam",IF(AD274&gt;='Scoring Model'!$B$21,"Hot",IF(AD274&gt;='Scoring Model'!$B$22,"Warm","Nurture")))</f>
        <v>Spam</v>
      </c>
      <c r="AF274" s="3" t="str">
        <f aca="false">IF(W274="Likely Spam","Flagged by spam rules",TRIM(IF(X274&gt;=20,"Strong source. ","")&amp;IF(Y274&gt;0,"Company email. ","")&amp;IF(Z274&gt;=15,"High-value product. ","")&amp;IF(AA274&gt;='Scoring Model'!$B$15,"High engagement. ","")&amp;IF(AB274&gt;0,"Buying intent in message. ","")&amp;IF(AC274&lt;0,"Negative intent in message. ","")))</f>
        <v>Flagged by spam rules</v>
      </c>
      <c r="AG274" s="11" t="str">
        <f aca="false">IF(W274="Likely Spam","",1/(1+EXP(-('Conversion Model'!$B$5+IFERROR(INDEX('Conversion Model'!$B$8:$B$14,MATCH(C274,'Conversion Model'!$A$8:$A$14,0)),0)+IFERROR(INDEX('Conversion Model'!$E$8:$E$9,MATCH(F274,'Conversion Model'!$D$8:$D$9,0)),0)+IFERROR(INDEX('Conversion Model'!$H$8:$H$12,MATCH(IF(LEFT(J274,8)="Payments","Payments",IF(LEFT(J274,7)="Lending","Lending",J274)),'Conversion Model'!$G$8:$G$12,0)),0)+MIN(L274,15)*'Conversion Model'!$B$17+IF(SUMPRODUCT(--ISNUMBER(SEARCH('Scoring Model'!$D$16:$D$25,K274)))&gt;0,'Conversion Model'!$B$18,0)+IF(SUMPRODUCT(--ISNUMBER(SEARCH('Scoring Model'!$G$16:$G$23,K274)))&gt;0,'Conversion Model'!$B$19,0)))))</f>
        <v/>
      </c>
      <c r="AH274" s="3" t="str">
        <f aca="false">IF(OR(O274="Qualified",O274="Won",O274="Lost"),1,IF(O274="Unqualified",0,""))</f>
        <v/>
      </c>
    </row>
    <row r="275" customFormat="false" ht="15" hidden="false" customHeight="true" outlineLevel="0" collapsed="false">
      <c r="A275" s="3" t="s">
        <v>1147</v>
      </c>
      <c r="B275" s="9" t="n">
        <v>46053.7368055556</v>
      </c>
      <c r="C275" s="3" t="s">
        <v>76</v>
      </c>
      <c r="D275" s="3" t="s">
        <v>1148</v>
      </c>
      <c r="E275" s="3" t="s">
        <v>1149</v>
      </c>
      <c r="F275" s="3" t="s">
        <v>22</v>
      </c>
      <c r="G275" s="3" t="s">
        <v>1150</v>
      </c>
      <c r="H275" s="3" t="s">
        <v>1151</v>
      </c>
      <c r="I275" s="3" t="s">
        <v>139</v>
      </c>
      <c r="J275" s="3" t="s">
        <v>108</v>
      </c>
      <c r="K275" s="3" t="s">
        <v>189</v>
      </c>
      <c r="L275" s="3" t="n">
        <v>4</v>
      </c>
      <c r="M275" s="3" t="n">
        <v>9.9</v>
      </c>
      <c r="N275" s="3" t="s">
        <v>171</v>
      </c>
      <c r="O275" s="3" t="s">
        <v>194</v>
      </c>
      <c r="P275" s="10"/>
      <c r="Q275" s="3" t="n">
        <f aca="false">IF(F275="Disposable",1,0)</f>
        <v>0</v>
      </c>
      <c r="R275" s="3" t="n">
        <f aca="false">IF(SUMPRODUCT(--ISNUMBER(SEARCH('Spam Rules'!$A$22:$A$35,K275)))&gt;0,1,0)</f>
        <v>0</v>
      </c>
      <c r="S275" s="3" t="n">
        <f aca="false">IF(AND(F275="Free",G275=""),1,0)</f>
        <v>0</v>
      </c>
      <c r="T275" s="3" t="n">
        <f aca="false">IF(LEN(TRIM(K275))&lt;15,1,0)</f>
        <v>0</v>
      </c>
      <c r="U275" s="3" t="n">
        <f aca="false">IF(COUNTIF($E$2:$E$801,E275)&gt;1,1,0)</f>
        <v>0</v>
      </c>
      <c r="V275" s="3" t="n">
        <f aca="false">Q275*'Spam Rules'!$H$6+R275*'Spam Rules'!$H$7+S275*'Spam Rules'!$H$8+T275*'Spam Rules'!$H$9+U275*'Spam Rules'!$H$10</f>
        <v>0</v>
      </c>
      <c r="W275" s="3" t="str">
        <f aca="false">IF(V275&gt;='Spam Rules'!$B$3,"Likely Spam","Genuine")</f>
        <v>Genuine</v>
      </c>
      <c r="X275" s="3" t="n">
        <f aca="false">IFERROR(INDEX('Scoring Model'!$B$5:$B$11,MATCH(C275,'Scoring Model'!$A$5:$A$11,0)),0)</f>
        <v>0</v>
      </c>
      <c r="Y275" s="3" t="n">
        <f aca="false">IFERROR(INDEX('Scoring Model'!$E$5:$E$7,MATCH(F275,'Scoring Model'!$D$5:$D$7,0)),0)</f>
        <v>20</v>
      </c>
      <c r="Z275" s="3" t="n">
        <f aca="false">IFERROR(INDEX('Scoring Model'!$H$5:$H$13,MATCH(J275,'Scoring Model'!$G$5:$G$13,0)),0)</f>
        <v>15</v>
      </c>
      <c r="AA275" s="3" t="n">
        <f aca="false">IF(L275&gt;='Scoring Model'!$B$14,'Scoring Model'!$B$15,IF(L275&gt;='Scoring Model'!$B$16,'Scoring Model'!$B$17,0))</f>
        <v>8</v>
      </c>
      <c r="AB275" s="3" t="n">
        <f aca="false">IF(SUMPRODUCT(--ISNUMBER(SEARCH('Scoring Model'!$D$16:$D$25,K275)))&gt;0,'Scoring Model'!$B$18,0)</f>
        <v>15</v>
      </c>
      <c r="AC275" s="3" t="n">
        <f aca="false">IF(SUMPRODUCT(--ISNUMBER(SEARCH('Scoring Model'!$G$16:$G$23,K275)))&gt;0,'Scoring Model'!$B$19,0)</f>
        <v>0</v>
      </c>
      <c r="AD275" s="3" t="n">
        <f aca="false">IF(W275="Likely Spam","",SUM(X275:AC275))</f>
        <v>58</v>
      </c>
      <c r="AE275" s="3" t="str">
        <f aca="false">IF(W275="Likely Spam","Spam",IF(AD275&gt;='Scoring Model'!$B$21,"Hot",IF(AD275&gt;='Scoring Model'!$B$22,"Warm","Nurture")))</f>
        <v>Warm</v>
      </c>
      <c r="AF275" s="3" t="str">
        <f aca="false">IF(W275="Likely Spam","Flagged by spam rules",TRIM(IF(X275&gt;=20,"Strong source. ","")&amp;IF(Y275&gt;0,"Company email. ","")&amp;IF(Z275&gt;=15,"High-value product. ","")&amp;IF(AA275&gt;='Scoring Model'!$B$15,"High engagement. ","")&amp;IF(AB275&gt;0,"Buying intent in message. ","")&amp;IF(AC275&lt;0,"Negative intent in message. ","")))</f>
        <v>Company email. High-value product. Buying intent in message.</v>
      </c>
      <c r="AG275" s="11" t="n">
        <f aca="false">IF(W275="Likely Spam","",1/(1+EXP(-('Conversion Model'!$B$5+IFERROR(INDEX('Conversion Model'!$B$8:$B$14,MATCH(C275,'Conversion Model'!$A$8:$A$14,0)),0)+IFERROR(INDEX('Conversion Model'!$E$8:$E$9,MATCH(F275,'Conversion Model'!$D$8:$D$9,0)),0)+IFERROR(INDEX('Conversion Model'!$H$8:$H$12,MATCH(IF(LEFT(J275,8)="Payments","Payments",IF(LEFT(J275,7)="Lending","Lending",J275)),'Conversion Model'!$G$8:$G$12,0)),0)+MIN(L275,15)*'Conversion Model'!$B$17+IF(SUMPRODUCT(--ISNUMBER(SEARCH('Scoring Model'!$D$16:$D$25,K275)))&gt;0,'Conversion Model'!$B$18,0)+IF(SUMPRODUCT(--ISNUMBER(SEARCH('Scoring Model'!$G$16:$G$23,K275)))&gt;0,'Conversion Model'!$B$19,0)))))</f>
        <v>0.418727333390775</v>
      </c>
      <c r="AH275" s="3" t="n">
        <f aca="false">IF(OR(O275="Qualified",O275="Won",O275="Lost"),1,IF(O275="Unqualified",0,""))</f>
        <v>0</v>
      </c>
    </row>
    <row r="276" customFormat="false" ht="15" hidden="false" customHeight="true" outlineLevel="0" collapsed="false">
      <c r="A276" s="3" t="s">
        <v>1152</v>
      </c>
      <c r="B276" s="9" t="n">
        <v>46053.7958333333</v>
      </c>
      <c r="C276" s="3" t="s">
        <v>51</v>
      </c>
      <c r="D276" s="3" t="s">
        <v>485</v>
      </c>
      <c r="E276" s="3" t="s">
        <v>1153</v>
      </c>
      <c r="F276" s="3" t="s">
        <v>22</v>
      </c>
      <c r="G276" s="3" t="s">
        <v>1154</v>
      </c>
      <c r="H276" s="3" t="s">
        <v>1155</v>
      </c>
      <c r="I276" s="3" t="s">
        <v>88</v>
      </c>
      <c r="J276" s="3" t="s">
        <v>145</v>
      </c>
      <c r="K276" s="3" t="s">
        <v>345</v>
      </c>
      <c r="L276" s="3" t="n">
        <v>9</v>
      </c>
      <c r="M276" s="3" t="n">
        <v>14.4</v>
      </c>
      <c r="N276" s="3" t="s">
        <v>67</v>
      </c>
      <c r="O276" s="3" t="s">
        <v>110</v>
      </c>
      <c r="P276" s="10"/>
      <c r="Q276" s="3" t="n">
        <f aca="false">IF(F276="Disposable",1,0)</f>
        <v>0</v>
      </c>
      <c r="R276" s="3" t="n">
        <f aca="false">IF(SUMPRODUCT(--ISNUMBER(SEARCH('Spam Rules'!$A$22:$A$35,K276)))&gt;0,1,0)</f>
        <v>0</v>
      </c>
      <c r="S276" s="3" t="n">
        <f aca="false">IF(AND(F276="Free",G276=""),1,0)</f>
        <v>0</v>
      </c>
      <c r="T276" s="3" t="n">
        <f aca="false">IF(LEN(TRIM(K276))&lt;15,1,0)</f>
        <v>0</v>
      </c>
      <c r="U276" s="3" t="n">
        <f aca="false">IF(COUNTIF($E$2:$E$801,E276)&gt;1,1,0)</f>
        <v>0</v>
      </c>
      <c r="V276" s="3" t="n">
        <f aca="false">Q276*'Spam Rules'!$H$6+R276*'Spam Rules'!$H$7+S276*'Spam Rules'!$H$8+T276*'Spam Rules'!$H$9+U276*'Spam Rules'!$H$10</f>
        <v>0</v>
      </c>
      <c r="W276" s="3" t="str">
        <f aca="false">IF(V276&gt;='Spam Rules'!$B$3,"Likely Spam","Genuine")</f>
        <v>Genuine</v>
      </c>
      <c r="X276" s="3" t="n">
        <f aca="false">IFERROR(INDEX('Scoring Model'!$B$5:$B$11,MATCH(C276,'Scoring Model'!$A$5:$A$11,0)),0)</f>
        <v>10</v>
      </c>
      <c r="Y276" s="3" t="n">
        <f aca="false">IFERROR(INDEX('Scoring Model'!$E$5:$E$7,MATCH(F276,'Scoring Model'!$D$5:$D$7,0)),0)</f>
        <v>20</v>
      </c>
      <c r="Z276" s="3" t="n">
        <f aca="false">IFERROR(INDEX('Scoring Model'!$H$5:$H$13,MATCH(J276,'Scoring Model'!$G$5:$G$13,0)),0)</f>
        <v>5</v>
      </c>
      <c r="AA276" s="3" t="n">
        <f aca="false">IF(L276&gt;='Scoring Model'!$B$14,'Scoring Model'!$B$15,IF(L276&gt;='Scoring Model'!$B$16,'Scoring Model'!$B$17,0))</f>
        <v>15</v>
      </c>
      <c r="AB276" s="3" t="n">
        <f aca="false">IF(SUMPRODUCT(--ISNUMBER(SEARCH('Scoring Model'!$D$16:$D$25,K276)))&gt;0,'Scoring Model'!$B$18,0)</f>
        <v>15</v>
      </c>
      <c r="AC276" s="3" t="n">
        <f aca="false">IF(SUMPRODUCT(--ISNUMBER(SEARCH('Scoring Model'!$G$16:$G$23,K276)))&gt;0,'Scoring Model'!$B$19,0)</f>
        <v>0</v>
      </c>
      <c r="AD276" s="3" t="n">
        <f aca="false">IF(W276="Likely Spam","",SUM(X276:AC276))</f>
        <v>65</v>
      </c>
      <c r="AE276" s="3" t="str">
        <f aca="false">IF(W276="Likely Spam","Spam",IF(AD276&gt;='Scoring Model'!$B$21,"Hot",IF(AD276&gt;='Scoring Model'!$B$22,"Warm","Nurture")))</f>
        <v>Warm</v>
      </c>
      <c r="AF276" s="3" t="str">
        <f aca="false">IF(W276="Likely Spam","Flagged by spam rules",TRIM(IF(X276&gt;=20,"Strong source. ","")&amp;IF(Y276&gt;0,"Company email. ","")&amp;IF(Z276&gt;=15,"High-value product. ","")&amp;IF(AA276&gt;='Scoring Model'!$B$15,"High engagement. ","")&amp;IF(AB276&gt;0,"Buying intent in message. ","")&amp;IF(AC276&lt;0,"Negative intent in message. ","")))</f>
        <v>Company email. High engagement. Buying intent in message.</v>
      </c>
      <c r="AG276" s="11" t="n">
        <f aca="false">IF(W276="Likely Spam","",1/(1+EXP(-('Conversion Model'!$B$5+IFERROR(INDEX('Conversion Model'!$B$8:$B$14,MATCH(C276,'Conversion Model'!$A$8:$A$14,0)),0)+IFERROR(INDEX('Conversion Model'!$E$8:$E$9,MATCH(F276,'Conversion Model'!$D$8:$D$9,0)),0)+IFERROR(INDEX('Conversion Model'!$H$8:$H$12,MATCH(IF(LEFT(J276,8)="Payments","Payments",IF(LEFT(J276,7)="Lending","Lending",J276)),'Conversion Model'!$G$8:$G$12,0)),0)+MIN(L276,15)*'Conversion Model'!$B$17+IF(SUMPRODUCT(--ISNUMBER(SEARCH('Scoring Model'!$D$16:$D$25,K276)))&gt;0,'Conversion Model'!$B$18,0)+IF(SUMPRODUCT(--ISNUMBER(SEARCH('Scoring Model'!$G$16:$G$23,K276)))&gt;0,'Conversion Model'!$B$19,0)))))</f>
        <v>0.984571650799362</v>
      </c>
      <c r="AH276" s="3" t="n">
        <f aca="false">IF(OR(O276="Qualified",O276="Won",O276="Lost"),1,IF(O276="Unqualified",0,""))</f>
        <v>1</v>
      </c>
    </row>
    <row r="277" customFormat="false" ht="15" hidden="false" customHeight="true" outlineLevel="0" collapsed="false">
      <c r="A277" s="3" t="s">
        <v>1156</v>
      </c>
      <c r="B277" s="9" t="n">
        <v>46053.9569444444</v>
      </c>
      <c r="C277" s="3" t="s">
        <v>112</v>
      </c>
      <c r="D277" s="3" t="s">
        <v>235</v>
      </c>
      <c r="E277" s="3" t="s">
        <v>1157</v>
      </c>
      <c r="F277" s="3" t="s">
        <v>22</v>
      </c>
      <c r="G277" s="3" t="s">
        <v>1158</v>
      </c>
      <c r="H277" s="3" t="s">
        <v>1159</v>
      </c>
      <c r="I277" s="3" t="s">
        <v>188</v>
      </c>
      <c r="J277" s="3" t="s">
        <v>108</v>
      </c>
      <c r="K277" s="3" t="s">
        <v>189</v>
      </c>
      <c r="L277" s="3" t="n">
        <v>1</v>
      </c>
      <c r="M277" s="3" t="n">
        <v>33.9</v>
      </c>
      <c r="N277" s="3" t="s">
        <v>96</v>
      </c>
      <c r="O277" s="3" t="s">
        <v>194</v>
      </c>
      <c r="P277" s="10"/>
      <c r="Q277" s="3" t="n">
        <f aca="false">IF(F277="Disposable",1,0)</f>
        <v>0</v>
      </c>
      <c r="R277" s="3" t="n">
        <f aca="false">IF(SUMPRODUCT(--ISNUMBER(SEARCH('Spam Rules'!$A$22:$A$35,K277)))&gt;0,1,0)</f>
        <v>0</v>
      </c>
      <c r="S277" s="3" t="n">
        <f aca="false">IF(AND(F277="Free",G277=""),1,0)</f>
        <v>0</v>
      </c>
      <c r="T277" s="3" t="n">
        <f aca="false">IF(LEN(TRIM(K277))&lt;15,1,0)</f>
        <v>0</v>
      </c>
      <c r="U277" s="3" t="n">
        <f aca="false">IF(COUNTIF($E$2:$E$801,E277)&gt;1,1,0)</f>
        <v>0</v>
      </c>
      <c r="V277" s="3" t="n">
        <f aca="false">Q277*'Spam Rules'!$H$6+R277*'Spam Rules'!$H$7+S277*'Spam Rules'!$H$8+T277*'Spam Rules'!$H$9+U277*'Spam Rules'!$H$10</f>
        <v>0</v>
      </c>
      <c r="W277" s="3" t="str">
        <f aca="false">IF(V277&gt;='Spam Rules'!$B$3,"Likely Spam","Genuine")</f>
        <v>Genuine</v>
      </c>
      <c r="X277" s="3" t="n">
        <f aca="false">IFERROR(INDEX('Scoring Model'!$B$5:$B$11,MATCH(C277,'Scoring Model'!$A$5:$A$11,0)),0)</f>
        <v>15</v>
      </c>
      <c r="Y277" s="3" t="n">
        <f aca="false">IFERROR(INDEX('Scoring Model'!$E$5:$E$7,MATCH(F277,'Scoring Model'!$D$5:$D$7,0)),0)</f>
        <v>20</v>
      </c>
      <c r="Z277" s="3" t="n">
        <f aca="false">IFERROR(INDEX('Scoring Model'!$H$5:$H$13,MATCH(J277,'Scoring Model'!$G$5:$G$13,0)),0)</f>
        <v>15</v>
      </c>
      <c r="AA277" s="3" t="n">
        <f aca="false">IF(L277&gt;='Scoring Model'!$B$14,'Scoring Model'!$B$15,IF(L277&gt;='Scoring Model'!$B$16,'Scoring Model'!$B$17,0))</f>
        <v>0</v>
      </c>
      <c r="AB277" s="3" t="n">
        <f aca="false">IF(SUMPRODUCT(--ISNUMBER(SEARCH('Scoring Model'!$D$16:$D$25,K277)))&gt;0,'Scoring Model'!$B$18,0)</f>
        <v>15</v>
      </c>
      <c r="AC277" s="3" t="n">
        <f aca="false">IF(SUMPRODUCT(--ISNUMBER(SEARCH('Scoring Model'!$G$16:$G$23,K277)))&gt;0,'Scoring Model'!$B$19,0)</f>
        <v>0</v>
      </c>
      <c r="AD277" s="3" t="n">
        <f aca="false">IF(W277="Likely Spam","",SUM(X277:AC277))</f>
        <v>65</v>
      </c>
      <c r="AE277" s="3" t="str">
        <f aca="false">IF(W277="Likely Spam","Spam",IF(AD277&gt;='Scoring Model'!$B$21,"Hot",IF(AD277&gt;='Scoring Model'!$B$22,"Warm","Nurture")))</f>
        <v>Warm</v>
      </c>
      <c r="AF277" s="3" t="str">
        <f aca="false">IF(W277="Likely Spam","Flagged by spam rules",TRIM(IF(X277&gt;=20,"Strong source. ","")&amp;IF(Y277&gt;0,"Company email. ","")&amp;IF(Z277&gt;=15,"High-value product. ","")&amp;IF(AA277&gt;='Scoring Model'!$B$15,"High engagement. ","")&amp;IF(AB277&gt;0,"Buying intent in message. ","")&amp;IF(AC277&lt;0,"Negative intent in message. ","")))</f>
        <v>Company email. High-value product. Buying intent in message.</v>
      </c>
      <c r="AG277" s="11" t="n">
        <f aca="false">IF(W277="Likely Spam","",1/(1+EXP(-('Conversion Model'!$B$5+IFERROR(INDEX('Conversion Model'!$B$8:$B$14,MATCH(C277,'Conversion Model'!$A$8:$A$14,0)),0)+IFERROR(INDEX('Conversion Model'!$E$8:$E$9,MATCH(F277,'Conversion Model'!$D$8:$D$9,0)),0)+IFERROR(INDEX('Conversion Model'!$H$8:$H$12,MATCH(IF(LEFT(J277,8)="Payments","Payments",IF(LEFT(J277,7)="Lending","Lending",J277)),'Conversion Model'!$G$8:$G$12,0)),0)+MIN(L277,15)*'Conversion Model'!$B$17+IF(SUMPRODUCT(--ISNUMBER(SEARCH('Scoring Model'!$D$16:$D$25,K277)))&gt;0,'Conversion Model'!$B$18,0)+IF(SUMPRODUCT(--ISNUMBER(SEARCH('Scoring Model'!$G$16:$G$23,K277)))&gt;0,'Conversion Model'!$B$19,0)))))</f>
        <v>0.0837847742677499</v>
      </c>
      <c r="AH277" s="3" t="n">
        <f aca="false">IF(OR(O277="Qualified",O277="Won",O277="Lost"),1,IF(O277="Unqualified",0,""))</f>
        <v>0</v>
      </c>
    </row>
    <row r="278" customFormat="false" ht="15" hidden="false" customHeight="true" outlineLevel="0" collapsed="false">
      <c r="A278" s="3" t="s">
        <v>1160</v>
      </c>
      <c r="B278" s="9" t="n">
        <v>46054.0743055556</v>
      </c>
      <c r="C278" s="3" t="s">
        <v>160</v>
      </c>
      <c r="D278" s="3" t="s">
        <v>1161</v>
      </c>
      <c r="E278" s="3" t="s">
        <v>1162</v>
      </c>
      <c r="F278" s="3" t="s">
        <v>54</v>
      </c>
      <c r="G278" s="3"/>
      <c r="H278" s="3"/>
      <c r="I278" s="3" t="s">
        <v>56</v>
      </c>
      <c r="J278" s="3" t="s">
        <v>145</v>
      </c>
      <c r="K278" s="3" t="s">
        <v>74</v>
      </c>
      <c r="L278" s="3" t="n">
        <v>1</v>
      </c>
      <c r="M278" s="3" t="n">
        <v>4.7</v>
      </c>
      <c r="N278" s="3" t="s">
        <v>59</v>
      </c>
      <c r="O278" s="3" t="s">
        <v>194</v>
      </c>
      <c r="P278" s="10"/>
      <c r="Q278" s="3" t="n">
        <f aca="false">IF(F278="Disposable",1,0)</f>
        <v>0</v>
      </c>
      <c r="R278" s="3" t="n">
        <f aca="false">IF(SUMPRODUCT(--ISNUMBER(SEARCH('Spam Rules'!$A$22:$A$35,K278)))&gt;0,1,0)</f>
        <v>0</v>
      </c>
      <c r="S278" s="3" t="n">
        <f aca="false">IF(AND(F278="Free",G278=""),1,0)</f>
        <v>1</v>
      </c>
      <c r="T278" s="3" t="n">
        <f aca="false">IF(LEN(TRIM(K278))&lt;15,1,0)</f>
        <v>0</v>
      </c>
      <c r="U278" s="3" t="n">
        <f aca="false">IF(COUNTIF($E$2:$E$801,E278)&gt;1,1,0)</f>
        <v>0</v>
      </c>
      <c r="V278" s="3" t="n">
        <f aca="false">Q278*'Spam Rules'!$H$6+R278*'Spam Rules'!$H$7+S278*'Spam Rules'!$H$8+T278*'Spam Rules'!$H$9+U278*'Spam Rules'!$H$10</f>
        <v>0</v>
      </c>
      <c r="W278" s="3" t="str">
        <f aca="false">IF(V278&gt;='Spam Rules'!$B$3,"Likely Spam","Genuine")</f>
        <v>Genuine</v>
      </c>
      <c r="X278" s="3" t="n">
        <f aca="false">IFERROR(INDEX('Scoring Model'!$B$5:$B$11,MATCH(C278,'Scoring Model'!$A$5:$A$11,0)),0)</f>
        <v>25</v>
      </c>
      <c r="Y278" s="3" t="n">
        <f aca="false">IFERROR(INDEX('Scoring Model'!$E$5:$E$7,MATCH(F278,'Scoring Model'!$D$5:$D$7,0)),0)</f>
        <v>0</v>
      </c>
      <c r="Z278" s="3" t="n">
        <f aca="false">IFERROR(INDEX('Scoring Model'!$H$5:$H$13,MATCH(J278,'Scoring Model'!$G$5:$G$13,0)),0)</f>
        <v>5</v>
      </c>
      <c r="AA278" s="3" t="n">
        <f aca="false">IF(L278&gt;='Scoring Model'!$B$14,'Scoring Model'!$B$15,IF(L278&gt;='Scoring Model'!$B$16,'Scoring Model'!$B$17,0))</f>
        <v>0</v>
      </c>
      <c r="AB278" s="3" t="n">
        <f aca="false">IF(SUMPRODUCT(--ISNUMBER(SEARCH('Scoring Model'!$D$16:$D$25,K278)))&gt;0,'Scoring Model'!$B$18,0)</f>
        <v>0</v>
      </c>
      <c r="AC278" s="3" t="n">
        <f aca="false">IF(SUMPRODUCT(--ISNUMBER(SEARCH('Scoring Model'!$G$16:$G$23,K278)))&gt;0,'Scoring Model'!$B$19,0)</f>
        <v>-30</v>
      </c>
      <c r="AD278" s="3" t="n">
        <f aca="false">IF(W278="Likely Spam","",SUM(X278:AC278))</f>
        <v>0</v>
      </c>
      <c r="AE278" s="3" t="str">
        <f aca="false">IF(W278="Likely Spam","Spam",IF(AD278&gt;='Scoring Model'!$B$21,"Hot",IF(AD278&gt;='Scoring Model'!$B$22,"Warm","Nurture")))</f>
        <v>Nurture</v>
      </c>
      <c r="AF278" s="3" t="str">
        <f aca="false">IF(W278="Likely Spam","Flagged by spam rules",TRIM(IF(X278&gt;=20,"Strong source. ","")&amp;IF(Y278&gt;0,"Company email. ","")&amp;IF(Z278&gt;=15,"High-value product. ","")&amp;IF(AA278&gt;='Scoring Model'!$B$15,"High engagement. ","")&amp;IF(AB278&gt;0,"Buying intent in message. ","")&amp;IF(AC278&lt;0,"Negative intent in message. ","")))</f>
        <v>Strong source. Negative intent in message.</v>
      </c>
      <c r="AG278" s="11" t="n">
        <f aca="false">IF(W278="Likely Spam","",1/(1+EXP(-('Conversion Model'!$B$5+IFERROR(INDEX('Conversion Model'!$B$8:$B$14,MATCH(C278,'Conversion Model'!$A$8:$A$14,0)),0)+IFERROR(INDEX('Conversion Model'!$E$8:$E$9,MATCH(F278,'Conversion Model'!$D$8:$D$9,0)),0)+IFERROR(INDEX('Conversion Model'!$H$8:$H$12,MATCH(IF(LEFT(J278,8)="Payments","Payments",IF(LEFT(J278,7)="Lending","Lending",J278)),'Conversion Model'!$G$8:$G$12,0)),0)+MIN(L278,15)*'Conversion Model'!$B$17+IF(SUMPRODUCT(--ISNUMBER(SEARCH('Scoring Model'!$D$16:$D$25,K278)))&gt;0,'Conversion Model'!$B$18,0)+IF(SUMPRODUCT(--ISNUMBER(SEARCH('Scoring Model'!$G$16:$G$23,K278)))&gt;0,'Conversion Model'!$B$19,0)))))</f>
        <v>0.00216536203495134</v>
      </c>
      <c r="AH278" s="3" t="n">
        <f aca="false">IF(OR(O278="Qualified",O278="Won",O278="Lost"),1,IF(O278="Unqualified",0,""))</f>
        <v>0</v>
      </c>
    </row>
    <row r="279" customFormat="false" ht="15" hidden="false" customHeight="true" outlineLevel="0" collapsed="false">
      <c r="A279" s="3" t="s">
        <v>1163</v>
      </c>
      <c r="B279" s="9" t="n">
        <v>46054.1111111111</v>
      </c>
      <c r="C279" s="3" t="s">
        <v>160</v>
      </c>
      <c r="D279" s="3" t="s">
        <v>1164</v>
      </c>
      <c r="E279" s="3" t="s">
        <v>1165</v>
      </c>
      <c r="F279" s="3" t="s">
        <v>22</v>
      </c>
      <c r="G279" s="3" t="s">
        <v>1166</v>
      </c>
      <c r="H279" s="3" t="s">
        <v>1167</v>
      </c>
      <c r="I279" s="3" t="s">
        <v>139</v>
      </c>
      <c r="J279" s="3" t="s">
        <v>81</v>
      </c>
      <c r="K279" s="3" t="s">
        <v>58</v>
      </c>
      <c r="L279" s="3" t="n">
        <v>7</v>
      </c>
      <c r="M279" s="3" t="n">
        <v>62.1</v>
      </c>
      <c r="N279" s="3" t="s">
        <v>67</v>
      </c>
      <c r="O279" s="3" t="s">
        <v>147</v>
      </c>
      <c r="P279" s="10" t="n">
        <v>60000</v>
      </c>
      <c r="Q279" s="3" t="n">
        <f aca="false">IF(F279="Disposable",1,0)</f>
        <v>0</v>
      </c>
      <c r="R279" s="3" t="n">
        <f aca="false">IF(SUMPRODUCT(--ISNUMBER(SEARCH('Spam Rules'!$A$22:$A$35,K279)))&gt;0,1,0)</f>
        <v>0</v>
      </c>
      <c r="S279" s="3" t="n">
        <f aca="false">IF(AND(F279="Free",G279=""),1,0)</f>
        <v>0</v>
      </c>
      <c r="T279" s="3" t="n">
        <f aca="false">IF(LEN(TRIM(K279))&lt;15,1,0)</f>
        <v>0</v>
      </c>
      <c r="U279" s="3" t="n">
        <f aca="false">IF(COUNTIF($E$2:$E$801,E279)&gt;1,1,0)</f>
        <v>0</v>
      </c>
      <c r="V279" s="3" t="n">
        <f aca="false">Q279*'Spam Rules'!$H$6+R279*'Spam Rules'!$H$7+S279*'Spam Rules'!$H$8+T279*'Spam Rules'!$H$9+U279*'Spam Rules'!$H$10</f>
        <v>0</v>
      </c>
      <c r="W279" s="3" t="str">
        <f aca="false">IF(V279&gt;='Spam Rules'!$B$3,"Likely Spam","Genuine")</f>
        <v>Genuine</v>
      </c>
      <c r="X279" s="3" t="n">
        <f aca="false">IFERROR(INDEX('Scoring Model'!$B$5:$B$11,MATCH(C279,'Scoring Model'!$A$5:$A$11,0)),0)</f>
        <v>25</v>
      </c>
      <c r="Y279" s="3" t="n">
        <f aca="false">IFERROR(INDEX('Scoring Model'!$E$5:$E$7,MATCH(F279,'Scoring Model'!$D$5:$D$7,0)),0)</f>
        <v>20</v>
      </c>
      <c r="Z279" s="3" t="n">
        <f aca="false">IFERROR(INDEX('Scoring Model'!$H$5:$H$13,MATCH(J279,'Scoring Model'!$G$5:$G$13,0)),0)</f>
        <v>5</v>
      </c>
      <c r="AA279" s="3" t="n">
        <f aca="false">IF(L279&gt;='Scoring Model'!$B$14,'Scoring Model'!$B$15,IF(L279&gt;='Scoring Model'!$B$16,'Scoring Model'!$B$17,0))</f>
        <v>8</v>
      </c>
      <c r="AB279" s="3" t="n">
        <f aca="false">IF(SUMPRODUCT(--ISNUMBER(SEARCH('Scoring Model'!$D$16:$D$25,K279)))&gt;0,'Scoring Model'!$B$18,0)</f>
        <v>15</v>
      </c>
      <c r="AC279" s="3" t="n">
        <f aca="false">IF(SUMPRODUCT(--ISNUMBER(SEARCH('Scoring Model'!$G$16:$G$23,K279)))&gt;0,'Scoring Model'!$B$19,0)</f>
        <v>0</v>
      </c>
      <c r="AD279" s="3" t="n">
        <f aca="false">IF(W279="Likely Spam","",SUM(X279:AC279))</f>
        <v>73</v>
      </c>
      <c r="AE279" s="3" t="str">
        <f aca="false">IF(W279="Likely Spam","Spam",IF(AD279&gt;='Scoring Model'!$B$21,"Hot",IF(AD279&gt;='Scoring Model'!$B$22,"Warm","Nurture")))</f>
        <v>Hot</v>
      </c>
      <c r="AF279" s="3" t="str">
        <f aca="false">IF(W279="Likely Spam","Flagged by spam rules",TRIM(IF(X279&gt;=20,"Strong source. ","")&amp;IF(Y279&gt;0,"Company email. ","")&amp;IF(Z279&gt;=15,"High-value product. ","")&amp;IF(AA279&gt;='Scoring Model'!$B$15,"High engagement. ","")&amp;IF(AB279&gt;0,"Buying intent in message. ","")&amp;IF(AC279&lt;0,"Negative intent in message. ","")))</f>
        <v>Strong source. Company email. Buying intent in message.</v>
      </c>
      <c r="AG279" s="11" t="n">
        <f aca="false">IF(W279="Likely Spam","",1/(1+EXP(-('Conversion Model'!$B$5+IFERROR(INDEX('Conversion Model'!$B$8:$B$14,MATCH(C279,'Conversion Model'!$A$8:$A$14,0)),0)+IFERROR(INDEX('Conversion Model'!$E$8:$E$9,MATCH(F279,'Conversion Model'!$D$8:$D$9,0)),0)+IFERROR(INDEX('Conversion Model'!$H$8:$H$12,MATCH(IF(LEFT(J279,8)="Payments","Payments",IF(LEFT(J279,7)="Lending","Lending",J279)),'Conversion Model'!$G$8:$G$12,0)),0)+MIN(L279,15)*'Conversion Model'!$B$17+IF(SUMPRODUCT(--ISNUMBER(SEARCH('Scoring Model'!$D$16:$D$25,K279)))&gt;0,'Conversion Model'!$B$18,0)+IF(SUMPRODUCT(--ISNUMBER(SEARCH('Scoring Model'!$G$16:$G$23,K279)))&gt;0,'Conversion Model'!$B$19,0)))))</f>
        <v>0.925532054833972</v>
      </c>
      <c r="AH279" s="3" t="n">
        <f aca="false">IF(OR(O279="Qualified",O279="Won",O279="Lost"),1,IF(O279="Unqualified",0,""))</f>
        <v>1</v>
      </c>
    </row>
    <row r="280" customFormat="false" ht="15" hidden="false" customHeight="true" outlineLevel="0" collapsed="false">
      <c r="A280" s="3" t="s">
        <v>1168</v>
      </c>
      <c r="B280" s="9" t="n">
        <v>46054.3618055556</v>
      </c>
      <c r="C280" s="3" t="s">
        <v>51</v>
      </c>
      <c r="D280" s="3" t="s">
        <v>1169</v>
      </c>
      <c r="E280" s="3" t="s">
        <v>1170</v>
      </c>
      <c r="F280" s="3" t="s">
        <v>22</v>
      </c>
      <c r="G280" s="3" t="s">
        <v>487</v>
      </c>
      <c r="H280" s="3" t="s">
        <v>488</v>
      </c>
      <c r="I280" s="3" t="s">
        <v>88</v>
      </c>
      <c r="J280" s="3" t="s">
        <v>65</v>
      </c>
      <c r="K280" s="3" t="s">
        <v>66</v>
      </c>
      <c r="L280" s="3" t="n">
        <v>2</v>
      </c>
      <c r="M280" s="3"/>
      <c r="N280" s="3" t="s">
        <v>96</v>
      </c>
      <c r="O280" s="3"/>
      <c r="P280" s="10"/>
      <c r="Q280" s="3" t="n">
        <f aca="false">IF(F280="Disposable",1,0)</f>
        <v>0</v>
      </c>
      <c r="R280" s="3" t="n">
        <f aca="false">IF(SUMPRODUCT(--ISNUMBER(SEARCH('Spam Rules'!$A$22:$A$35,K280)))&gt;0,1,0)</f>
        <v>1</v>
      </c>
      <c r="S280" s="3" t="n">
        <f aca="false">IF(AND(F280="Free",G280=""),1,0)</f>
        <v>0</v>
      </c>
      <c r="T280" s="3" t="n">
        <f aca="false">IF(LEN(TRIM(K280))&lt;15,1,0)</f>
        <v>0</v>
      </c>
      <c r="U280" s="3" t="n">
        <f aca="false">IF(COUNTIF($E$2:$E$801,E280)&gt;1,1,0)</f>
        <v>0</v>
      </c>
      <c r="V280" s="3" t="n">
        <f aca="false">Q280*'Spam Rules'!$H$6+R280*'Spam Rules'!$H$7+S280*'Spam Rules'!$H$8+T280*'Spam Rules'!$H$9+U280*'Spam Rules'!$H$10</f>
        <v>1</v>
      </c>
      <c r="W280" s="3" t="str">
        <f aca="false">IF(V280&gt;='Spam Rules'!$B$3,"Likely Spam","Genuine")</f>
        <v>Likely Spam</v>
      </c>
      <c r="X280" s="3" t="n">
        <f aca="false">IFERROR(INDEX('Scoring Model'!$B$5:$B$11,MATCH(C280,'Scoring Model'!$A$5:$A$11,0)),0)</f>
        <v>10</v>
      </c>
      <c r="Y280" s="3" t="n">
        <f aca="false">IFERROR(INDEX('Scoring Model'!$E$5:$E$7,MATCH(F280,'Scoring Model'!$D$5:$D$7,0)),0)</f>
        <v>20</v>
      </c>
      <c r="Z280" s="3" t="n">
        <f aca="false">IFERROR(INDEX('Scoring Model'!$H$5:$H$13,MATCH(J280,'Scoring Model'!$G$5:$G$13,0)),0)</f>
        <v>0</v>
      </c>
      <c r="AA280" s="3" t="n">
        <f aca="false">IF(L280&gt;='Scoring Model'!$B$14,'Scoring Model'!$B$15,IF(L280&gt;='Scoring Model'!$B$16,'Scoring Model'!$B$17,0))</f>
        <v>0</v>
      </c>
      <c r="AB280" s="3" t="n">
        <f aca="false">IF(SUMPRODUCT(--ISNUMBER(SEARCH('Scoring Model'!$D$16:$D$25,K280)))&gt;0,'Scoring Model'!$B$18,0)</f>
        <v>0</v>
      </c>
      <c r="AC280" s="3" t="n">
        <f aca="false">IF(SUMPRODUCT(--ISNUMBER(SEARCH('Scoring Model'!$G$16:$G$23,K280)))&gt;0,'Scoring Model'!$B$19,0)</f>
        <v>0</v>
      </c>
      <c r="AD280" s="3" t="str">
        <f aca="false">IF(W280="Likely Spam","",SUM(X280:AC280))</f>
        <v/>
      </c>
      <c r="AE280" s="3" t="str">
        <f aca="false">IF(W280="Likely Spam","Spam",IF(AD280&gt;='Scoring Model'!$B$21,"Hot",IF(AD280&gt;='Scoring Model'!$B$22,"Warm","Nurture")))</f>
        <v>Spam</v>
      </c>
      <c r="AF280" s="3" t="str">
        <f aca="false">IF(W280="Likely Spam","Flagged by spam rules",TRIM(IF(X280&gt;=20,"Strong source. ","")&amp;IF(Y280&gt;0,"Company email. ","")&amp;IF(Z280&gt;=15,"High-value product. ","")&amp;IF(AA280&gt;='Scoring Model'!$B$15,"High engagement. ","")&amp;IF(AB280&gt;0,"Buying intent in message. ","")&amp;IF(AC280&lt;0,"Negative intent in message. ","")))</f>
        <v>Flagged by spam rules</v>
      </c>
      <c r="AG280" s="11" t="str">
        <f aca="false">IF(W280="Likely Spam","",1/(1+EXP(-('Conversion Model'!$B$5+IFERROR(INDEX('Conversion Model'!$B$8:$B$14,MATCH(C280,'Conversion Model'!$A$8:$A$14,0)),0)+IFERROR(INDEX('Conversion Model'!$E$8:$E$9,MATCH(F280,'Conversion Model'!$D$8:$D$9,0)),0)+IFERROR(INDEX('Conversion Model'!$H$8:$H$12,MATCH(IF(LEFT(J280,8)="Payments","Payments",IF(LEFT(J280,7)="Lending","Lending",J280)),'Conversion Model'!$G$8:$G$12,0)),0)+MIN(L280,15)*'Conversion Model'!$B$17+IF(SUMPRODUCT(--ISNUMBER(SEARCH('Scoring Model'!$D$16:$D$25,K280)))&gt;0,'Conversion Model'!$B$18,0)+IF(SUMPRODUCT(--ISNUMBER(SEARCH('Scoring Model'!$G$16:$G$23,K280)))&gt;0,'Conversion Model'!$B$19,0)))))</f>
        <v/>
      </c>
      <c r="AH280" s="3" t="str">
        <f aca="false">IF(OR(O280="Qualified",O280="Won",O280="Lost"),1,IF(O280="Unqualified",0,""))</f>
        <v/>
      </c>
    </row>
    <row r="281" customFormat="false" ht="15" hidden="false" customHeight="true" outlineLevel="0" collapsed="false">
      <c r="A281" s="3" t="s">
        <v>1171</v>
      </c>
      <c r="B281" s="9" t="n">
        <v>46056.9</v>
      </c>
      <c r="C281" s="3" t="s">
        <v>91</v>
      </c>
      <c r="D281" s="3" t="s">
        <v>859</v>
      </c>
      <c r="E281" s="3" t="s">
        <v>1172</v>
      </c>
      <c r="F281" s="3" t="s">
        <v>54</v>
      </c>
      <c r="G281" s="3"/>
      <c r="H281" s="3"/>
      <c r="I281" s="3" t="s">
        <v>188</v>
      </c>
      <c r="J281" s="3" t="s">
        <v>65</v>
      </c>
      <c r="K281" s="3" t="s">
        <v>349</v>
      </c>
      <c r="L281" s="3" t="n">
        <v>2</v>
      </c>
      <c r="M281" s="3" t="n">
        <v>21.6</v>
      </c>
      <c r="N281" s="3" t="s">
        <v>59</v>
      </c>
      <c r="O281" s="3" t="s">
        <v>194</v>
      </c>
      <c r="P281" s="10"/>
      <c r="Q281" s="3" t="n">
        <f aca="false">IF(F281="Disposable",1,0)</f>
        <v>0</v>
      </c>
      <c r="R281" s="3" t="n">
        <f aca="false">IF(SUMPRODUCT(--ISNUMBER(SEARCH('Spam Rules'!$A$22:$A$35,K281)))&gt;0,1,0)</f>
        <v>0</v>
      </c>
      <c r="S281" s="3" t="n">
        <f aca="false">IF(AND(F281="Free",G281=""),1,0)</f>
        <v>1</v>
      </c>
      <c r="T281" s="3" t="n">
        <f aca="false">IF(LEN(TRIM(K281))&lt;15,1,0)</f>
        <v>0</v>
      </c>
      <c r="U281" s="3" t="n">
        <f aca="false">IF(COUNTIF($E$2:$E$801,E281)&gt;1,1,0)</f>
        <v>0</v>
      </c>
      <c r="V281" s="3" t="n">
        <f aca="false">Q281*'Spam Rules'!$H$6+R281*'Spam Rules'!$H$7+S281*'Spam Rules'!$H$8+T281*'Spam Rules'!$H$9+U281*'Spam Rules'!$H$10</f>
        <v>0</v>
      </c>
      <c r="W281" s="3" t="str">
        <f aca="false">IF(V281&gt;='Spam Rules'!$B$3,"Likely Spam","Genuine")</f>
        <v>Genuine</v>
      </c>
      <c r="X281" s="3" t="n">
        <f aca="false">IFERROR(INDEX('Scoring Model'!$B$5:$B$11,MATCH(C281,'Scoring Model'!$A$5:$A$11,0)),0)</f>
        <v>5</v>
      </c>
      <c r="Y281" s="3" t="n">
        <f aca="false">IFERROR(INDEX('Scoring Model'!$E$5:$E$7,MATCH(F281,'Scoring Model'!$D$5:$D$7,0)),0)</f>
        <v>0</v>
      </c>
      <c r="Z281" s="3" t="n">
        <f aca="false">IFERROR(INDEX('Scoring Model'!$H$5:$H$13,MATCH(J281,'Scoring Model'!$G$5:$G$13,0)),0)</f>
        <v>0</v>
      </c>
      <c r="AA281" s="3" t="n">
        <f aca="false">IF(L281&gt;='Scoring Model'!$B$14,'Scoring Model'!$B$15,IF(L281&gt;='Scoring Model'!$B$16,'Scoring Model'!$B$17,0))</f>
        <v>0</v>
      </c>
      <c r="AB281" s="3" t="n">
        <f aca="false">IF(SUMPRODUCT(--ISNUMBER(SEARCH('Scoring Model'!$D$16:$D$25,K281)))&gt;0,'Scoring Model'!$B$18,0)</f>
        <v>0</v>
      </c>
      <c r="AC281" s="3" t="n">
        <f aca="false">IF(SUMPRODUCT(--ISNUMBER(SEARCH('Scoring Model'!$G$16:$G$23,K281)))&gt;0,'Scoring Model'!$B$19,0)</f>
        <v>-30</v>
      </c>
      <c r="AD281" s="3" t="n">
        <f aca="false">IF(W281="Likely Spam","",SUM(X281:AC281))</f>
        <v>-25</v>
      </c>
      <c r="AE281" s="3" t="str">
        <f aca="false">IF(W281="Likely Spam","Spam",IF(AD281&gt;='Scoring Model'!$B$21,"Hot",IF(AD281&gt;='Scoring Model'!$B$22,"Warm","Nurture")))</f>
        <v>Nurture</v>
      </c>
      <c r="AF281" s="3" t="str">
        <f aca="false">IF(W281="Likely Spam","Flagged by spam rules",TRIM(IF(X281&gt;=20,"Strong source. ","")&amp;IF(Y281&gt;0,"Company email. ","")&amp;IF(Z281&gt;=15,"High-value product. ","")&amp;IF(AA281&gt;='Scoring Model'!$B$15,"High engagement. ","")&amp;IF(AB281&gt;0,"Buying intent in message. ","")&amp;IF(AC281&lt;0,"Negative intent in message. ","")))</f>
        <v>Negative intent in message.</v>
      </c>
      <c r="AG281" s="11" t="n">
        <f aca="false">IF(W281="Likely Spam","",1/(1+EXP(-('Conversion Model'!$B$5+IFERROR(INDEX('Conversion Model'!$B$8:$B$14,MATCH(C281,'Conversion Model'!$A$8:$A$14,0)),0)+IFERROR(INDEX('Conversion Model'!$E$8:$E$9,MATCH(F281,'Conversion Model'!$D$8:$D$9,0)),0)+IFERROR(INDEX('Conversion Model'!$H$8:$H$12,MATCH(IF(LEFT(J281,8)="Payments","Payments",IF(LEFT(J281,7)="Lending","Lending",J281)),'Conversion Model'!$G$8:$G$12,0)),0)+MIN(L281,15)*'Conversion Model'!$B$17+IF(SUMPRODUCT(--ISNUMBER(SEARCH('Scoring Model'!$D$16:$D$25,K281)))&gt;0,'Conversion Model'!$B$18,0)+IF(SUMPRODUCT(--ISNUMBER(SEARCH('Scoring Model'!$G$16:$G$23,K281)))&gt;0,'Conversion Model'!$B$19,0)))))</f>
        <v>0.00151322163512273</v>
      </c>
      <c r="AH281" s="3" t="n">
        <f aca="false">IF(OR(O281="Qualified",O281="Won",O281="Lost"),1,IF(O281="Unqualified",0,""))</f>
        <v>0</v>
      </c>
    </row>
    <row r="282" customFormat="false" ht="15" hidden="false" customHeight="true" outlineLevel="0" collapsed="false">
      <c r="A282" s="3" t="s">
        <v>1173</v>
      </c>
      <c r="B282" s="9" t="n">
        <v>46059.4298611111</v>
      </c>
      <c r="C282" s="3" t="s">
        <v>160</v>
      </c>
      <c r="D282" s="3" t="s">
        <v>1174</v>
      </c>
      <c r="E282" s="3" t="s">
        <v>1175</v>
      </c>
      <c r="F282" s="3" t="s">
        <v>22</v>
      </c>
      <c r="G282" s="3" t="s">
        <v>1176</v>
      </c>
      <c r="H282" s="3" t="s">
        <v>1177</v>
      </c>
      <c r="I282" s="3" t="s">
        <v>64</v>
      </c>
      <c r="J282" s="3" t="s">
        <v>81</v>
      </c>
      <c r="K282" s="3" t="s">
        <v>101</v>
      </c>
      <c r="L282" s="3" t="n">
        <v>2</v>
      </c>
      <c r="M282" s="3" t="n">
        <v>5.3</v>
      </c>
      <c r="N282" s="3" t="s">
        <v>96</v>
      </c>
      <c r="O282" s="3" t="s">
        <v>194</v>
      </c>
      <c r="P282" s="10"/>
      <c r="Q282" s="3" t="n">
        <f aca="false">IF(F282="Disposable",1,0)</f>
        <v>0</v>
      </c>
      <c r="R282" s="3" t="n">
        <f aca="false">IF(SUMPRODUCT(--ISNUMBER(SEARCH('Spam Rules'!$A$22:$A$35,K282)))&gt;0,1,0)</f>
        <v>0</v>
      </c>
      <c r="S282" s="3" t="n">
        <f aca="false">IF(AND(F282="Free",G282=""),1,0)</f>
        <v>0</v>
      </c>
      <c r="T282" s="3" t="n">
        <f aca="false">IF(LEN(TRIM(K282))&lt;15,1,0)</f>
        <v>0</v>
      </c>
      <c r="U282" s="3" t="n">
        <f aca="false">IF(COUNTIF($E$2:$E$801,E282)&gt;1,1,0)</f>
        <v>0</v>
      </c>
      <c r="V282" s="3" t="n">
        <f aca="false">Q282*'Spam Rules'!$H$6+R282*'Spam Rules'!$H$7+S282*'Spam Rules'!$H$8+T282*'Spam Rules'!$H$9+U282*'Spam Rules'!$H$10</f>
        <v>0</v>
      </c>
      <c r="W282" s="3" t="str">
        <f aca="false">IF(V282&gt;='Spam Rules'!$B$3,"Likely Spam","Genuine")</f>
        <v>Genuine</v>
      </c>
      <c r="X282" s="3" t="n">
        <f aca="false">IFERROR(INDEX('Scoring Model'!$B$5:$B$11,MATCH(C282,'Scoring Model'!$A$5:$A$11,0)),0)</f>
        <v>25</v>
      </c>
      <c r="Y282" s="3" t="n">
        <f aca="false">IFERROR(INDEX('Scoring Model'!$E$5:$E$7,MATCH(F282,'Scoring Model'!$D$5:$D$7,0)),0)</f>
        <v>20</v>
      </c>
      <c r="Z282" s="3" t="n">
        <f aca="false">IFERROR(INDEX('Scoring Model'!$H$5:$H$13,MATCH(J282,'Scoring Model'!$G$5:$G$13,0)),0)</f>
        <v>5</v>
      </c>
      <c r="AA282" s="3" t="n">
        <f aca="false">IF(L282&gt;='Scoring Model'!$B$14,'Scoring Model'!$B$15,IF(L282&gt;='Scoring Model'!$B$16,'Scoring Model'!$B$17,0))</f>
        <v>0</v>
      </c>
      <c r="AB282" s="3" t="n">
        <f aca="false">IF(SUMPRODUCT(--ISNUMBER(SEARCH('Scoring Model'!$D$16:$D$25,K282)))&gt;0,'Scoring Model'!$B$18,0)</f>
        <v>0</v>
      </c>
      <c r="AC282" s="3" t="n">
        <f aca="false">IF(SUMPRODUCT(--ISNUMBER(SEARCH('Scoring Model'!$G$16:$G$23,K282)))&gt;0,'Scoring Model'!$B$19,0)</f>
        <v>-30</v>
      </c>
      <c r="AD282" s="3" t="n">
        <f aca="false">IF(W282="Likely Spam","",SUM(X282:AC282))</f>
        <v>20</v>
      </c>
      <c r="AE282" s="3" t="str">
        <f aca="false">IF(W282="Likely Spam","Spam",IF(AD282&gt;='Scoring Model'!$B$21,"Hot",IF(AD282&gt;='Scoring Model'!$B$22,"Warm","Nurture")))</f>
        <v>Nurture</v>
      </c>
      <c r="AF282" s="3" t="str">
        <f aca="false">IF(W282="Likely Spam","Flagged by spam rules",TRIM(IF(X282&gt;=20,"Strong source. ","")&amp;IF(Y282&gt;0,"Company email. ","")&amp;IF(Z282&gt;=15,"High-value product. ","")&amp;IF(AA282&gt;='Scoring Model'!$B$15,"High engagement. ","")&amp;IF(AB282&gt;0,"Buying intent in message. ","")&amp;IF(AC282&lt;0,"Negative intent in message. ","")))</f>
        <v>Strong source. Company email. Negative intent in message.</v>
      </c>
      <c r="AG282" s="11" t="n">
        <f aca="false">IF(W282="Likely Spam","",1/(1+EXP(-('Conversion Model'!$B$5+IFERROR(INDEX('Conversion Model'!$B$8:$B$14,MATCH(C282,'Conversion Model'!$A$8:$A$14,0)),0)+IFERROR(INDEX('Conversion Model'!$E$8:$E$9,MATCH(F282,'Conversion Model'!$D$8:$D$9,0)),0)+IFERROR(INDEX('Conversion Model'!$H$8:$H$12,MATCH(IF(LEFT(J282,8)="Payments","Payments",IF(LEFT(J282,7)="Lending","Lending",J282)),'Conversion Model'!$G$8:$G$12,0)),0)+MIN(L282,15)*'Conversion Model'!$B$17+IF(SUMPRODUCT(--ISNUMBER(SEARCH('Scoring Model'!$D$16:$D$25,K282)))&gt;0,'Conversion Model'!$B$18,0)+IF(SUMPRODUCT(--ISNUMBER(SEARCH('Scoring Model'!$G$16:$G$23,K282)))&gt;0,'Conversion Model'!$B$19,0)))))</f>
        <v>0.00669950226155359</v>
      </c>
      <c r="AH282" s="3" t="n">
        <f aca="false">IF(OR(O282="Qualified",O282="Won",O282="Lost"),1,IF(O282="Unqualified",0,""))</f>
        <v>0</v>
      </c>
    </row>
    <row r="283" customFormat="false" ht="15" hidden="false" customHeight="true" outlineLevel="0" collapsed="false">
      <c r="A283" s="3" t="s">
        <v>1178</v>
      </c>
      <c r="B283" s="9" t="n">
        <v>46059.5652777778</v>
      </c>
      <c r="C283" s="3" t="s">
        <v>135</v>
      </c>
      <c r="D283" s="3" t="s">
        <v>1179</v>
      </c>
      <c r="E283" s="3" t="s">
        <v>1180</v>
      </c>
      <c r="F283" s="3" t="s">
        <v>54</v>
      </c>
      <c r="G283" s="3" t="s">
        <v>338</v>
      </c>
      <c r="H283" s="3"/>
      <c r="I283" s="3" t="s">
        <v>260</v>
      </c>
      <c r="J283" s="3" t="s">
        <v>81</v>
      </c>
      <c r="K283" s="3" t="s">
        <v>193</v>
      </c>
      <c r="L283" s="3" t="n">
        <v>1</v>
      </c>
      <c r="M283" s="3" t="n">
        <v>6.6</v>
      </c>
      <c r="N283" s="3" t="s">
        <v>59</v>
      </c>
      <c r="O283" s="3" t="s">
        <v>194</v>
      </c>
      <c r="P283" s="10"/>
      <c r="Q283" s="3" t="n">
        <f aca="false">IF(F283="Disposable",1,0)</f>
        <v>0</v>
      </c>
      <c r="R283" s="3" t="n">
        <f aca="false">IF(SUMPRODUCT(--ISNUMBER(SEARCH('Spam Rules'!$A$22:$A$35,K283)))&gt;0,1,0)</f>
        <v>0</v>
      </c>
      <c r="S283" s="3" t="n">
        <f aca="false">IF(AND(F283="Free",G283=""),1,0)</f>
        <v>0</v>
      </c>
      <c r="T283" s="3" t="n">
        <f aca="false">IF(LEN(TRIM(K283))&lt;15,1,0)</f>
        <v>0</v>
      </c>
      <c r="U283" s="3" t="n">
        <f aca="false">IF(COUNTIF($E$2:$E$801,E283)&gt;1,1,0)</f>
        <v>0</v>
      </c>
      <c r="V283" s="3" t="n">
        <f aca="false">Q283*'Spam Rules'!$H$6+R283*'Spam Rules'!$H$7+S283*'Spam Rules'!$H$8+T283*'Spam Rules'!$H$9+U283*'Spam Rules'!$H$10</f>
        <v>0</v>
      </c>
      <c r="W283" s="3" t="str">
        <f aca="false">IF(V283&gt;='Spam Rules'!$B$3,"Likely Spam","Genuine")</f>
        <v>Genuine</v>
      </c>
      <c r="X283" s="3" t="n">
        <f aca="false">IFERROR(INDEX('Scoring Model'!$B$5:$B$11,MATCH(C283,'Scoring Model'!$A$5:$A$11,0)),0)</f>
        <v>20</v>
      </c>
      <c r="Y283" s="3" t="n">
        <f aca="false">IFERROR(INDEX('Scoring Model'!$E$5:$E$7,MATCH(F283,'Scoring Model'!$D$5:$D$7,0)),0)</f>
        <v>0</v>
      </c>
      <c r="Z283" s="3" t="n">
        <f aca="false">IFERROR(INDEX('Scoring Model'!$H$5:$H$13,MATCH(J283,'Scoring Model'!$G$5:$G$13,0)),0)</f>
        <v>5</v>
      </c>
      <c r="AA283" s="3" t="n">
        <f aca="false">IF(L283&gt;='Scoring Model'!$B$14,'Scoring Model'!$B$15,IF(L283&gt;='Scoring Model'!$B$16,'Scoring Model'!$B$17,0))</f>
        <v>0</v>
      </c>
      <c r="AB283" s="3" t="n">
        <f aca="false">IF(SUMPRODUCT(--ISNUMBER(SEARCH('Scoring Model'!$D$16:$D$25,K283)))&gt;0,'Scoring Model'!$B$18,0)</f>
        <v>0</v>
      </c>
      <c r="AC283" s="3" t="n">
        <f aca="false">IF(SUMPRODUCT(--ISNUMBER(SEARCH('Scoring Model'!$G$16:$G$23,K283)))&gt;0,'Scoring Model'!$B$19,0)</f>
        <v>-30</v>
      </c>
      <c r="AD283" s="3" t="n">
        <f aca="false">IF(W283="Likely Spam","",SUM(X283:AC283))</f>
        <v>-5</v>
      </c>
      <c r="AE283" s="3" t="str">
        <f aca="false">IF(W283="Likely Spam","Spam",IF(AD283&gt;='Scoring Model'!$B$21,"Hot",IF(AD283&gt;='Scoring Model'!$B$22,"Warm","Nurture")))</f>
        <v>Nurture</v>
      </c>
      <c r="AF283" s="3" t="str">
        <f aca="false">IF(W283="Likely Spam","Flagged by spam rules",TRIM(IF(X283&gt;=20,"Strong source. ","")&amp;IF(Y283&gt;0,"Company email. ","")&amp;IF(Z283&gt;=15,"High-value product. ","")&amp;IF(AA283&gt;='Scoring Model'!$B$15,"High engagement. ","")&amp;IF(AB283&gt;0,"Buying intent in message. ","")&amp;IF(AC283&lt;0,"Negative intent in message. ","")))</f>
        <v>Strong source. Negative intent in message.</v>
      </c>
      <c r="AG283" s="11" t="n">
        <f aca="false">IF(W283="Likely Spam","",1/(1+EXP(-('Conversion Model'!$B$5+IFERROR(INDEX('Conversion Model'!$B$8:$B$14,MATCH(C283,'Conversion Model'!$A$8:$A$14,0)),0)+IFERROR(INDEX('Conversion Model'!$E$8:$E$9,MATCH(F283,'Conversion Model'!$D$8:$D$9,0)),0)+IFERROR(INDEX('Conversion Model'!$H$8:$H$12,MATCH(IF(LEFT(J283,8)="Payments","Payments",IF(LEFT(J283,7)="Lending","Lending",J283)),'Conversion Model'!$G$8:$G$12,0)),0)+MIN(L283,15)*'Conversion Model'!$B$17+IF(SUMPRODUCT(--ISNUMBER(SEARCH('Scoring Model'!$D$16:$D$25,K283)))&gt;0,'Conversion Model'!$B$18,0)+IF(SUMPRODUCT(--ISNUMBER(SEARCH('Scoring Model'!$G$16:$G$23,K283)))&gt;0,'Conversion Model'!$B$19,0)))))</f>
        <v>0.00179133712016906</v>
      </c>
      <c r="AH283" s="3" t="n">
        <f aca="false">IF(OR(O283="Qualified",O283="Won",O283="Lost"),1,IF(O283="Unqualified",0,""))</f>
        <v>0</v>
      </c>
    </row>
    <row r="284" customFormat="false" ht="15" hidden="false" customHeight="true" outlineLevel="0" collapsed="false">
      <c r="A284" s="3" t="s">
        <v>1181</v>
      </c>
      <c r="B284" s="9" t="n">
        <v>46059.71875</v>
      </c>
      <c r="C284" s="3" t="s">
        <v>51</v>
      </c>
      <c r="D284" s="3" t="s">
        <v>1182</v>
      </c>
      <c r="E284" s="3" t="s">
        <v>1183</v>
      </c>
      <c r="F284" s="3" t="s">
        <v>63</v>
      </c>
      <c r="G284" s="3"/>
      <c r="H284" s="3"/>
      <c r="I284" s="3" t="s">
        <v>73</v>
      </c>
      <c r="J284" s="3" t="s">
        <v>122</v>
      </c>
      <c r="K284" s="3" t="s">
        <v>95</v>
      </c>
      <c r="L284" s="3" t="n">
        <v>1</v>
      </c>
      <c r="M284" s="3"/>
      <c r="N284" s="3" t="s">
        <v>67</v>
      </c>
      <c r="O284" s="3"/>
      <c r="P284" s="10"/>
      <c r="Q284" s="3" t="n">
        <f aca="false">IF(F284="Disposable",1,0)</f>
        <v>1</v>
      </c>
      <c r="R284" s="3" t="n">
        <f aca="false">IF(SUMPRODUCT(--ISNUMBER(SEARCH('Spam Rules'!$A$22:$A$35,K284)))&gt;0,1,0)</f>
        <v>1</v>
      </c>
      <c r="S284" s="3" t="n">
        <f aca="false">IF(AND(F284="Free",G284=""),1,0)</f>
        <v>0</v>
      </c>
      <c r="T284" s="3" t="n">
        <f aca="false">IF(LEN(TRIM(K284))&lt;15,1,0)</f>
        <v>0</v>
      </c>
      <c r="U284" s="3" t="n">
        <f aca="false">IF(COUNTIF($E$2:$E$801,E284)&gt;1,1,0)</f>
        <v>0</v>
      </c>
      <c r="V284" s="3" t="n">
        <f aca="false">Q284*'Spam Rules'!$H$6+R284*'Spam Rules'!$H$7+S284*'Spam Rules'!$H$8+T284*'Spam Rules'!$H$9+U284*'Spam Rules'!$H$10</f>
        <v>2</v>
      </c>
      <c r="W284" s="3" t="str">
        <f aca="false">IF(V284&gt;='Spam Rules'!$B$3,"Likely Spam","Genuine")</f>
        <v>Likely Spam</v>
      </c>
      <c r="X284" s="3" t="n">
        <f aca="false">IFERROR(INDEX('Scoring Model'!$B$5:$B$11,MATCH(C284,'Scoring Model'!$A$5:$A$11,0)),0)</f>
        <v>10</v>
      </c>
      <c r="Y284" s="3" t="n">
        <f aca="false">IFERROR(INDEX('Scoring Model'!$E$5:$E$7,MATCH(F284,'Scoring Model'!$D$5:$D$7,0)),0)</f>
        <v>0</v>
      </c>
      <c r="Z284" s="3" t="n">
        <f aca="false">IFERROR(INDEX('Scoring Model'!$H$5:$H$13,MATCH(J284,'Scoring Model'!$G$5:$G$13,0)),0)</f>
        <v>15</v>
      </c>
      <c r="AA284" s="3" t="n">
        <f aca="false">IF(L284&gt;='Scoring Model'!$B$14,'Scoring Model'!$B$15,IF(L284&gt;='Scoring Model'!$B$16,'Scoring Model'!$B$17,0))</f>
        <v>0</v>
      </c>
      <c r="AB284" s="3" t="n">
        <f aca="false">IF(SUMPRODUCT(--ISNUMBER(SEARCH('Scoring Model'!$D$16:$D$25,K284)))&gt;0,'Scoring Model'!$B$18,0)</f>
        <v>0</v>
      </c>
      <c r="AC284" s="3" t="n">
        <f aca="false">IF(SUMPRODUCT(--ISNUMBER(SEARCH('Scoring Model'!$G$16:$G$23,K284)))&gt;0,'Scoring Model'!$B$19,0)</f>
        <v>0</v>
      </c>
      <c r="AD284" s="3" t="str">
        <f aca="false">IF(W284="Likely Spam","",SUM(X284:AC284))</f>
        <v/>
      </c>
      <c r="AE284" s="3" t="str">
        <f aca="false">IF(W284="Likely Spam","Spam",IF(AD284&gt;='Scoring Model'!$B$21,"Hot",IF(AD284&gt;='Scoring Model'!$B$22,"Warm","Nurture")))</f>
        <v>Spam</v>
      </c>
      <c r="AF284" s="3" t="str">
        <f aca="false">IF(W284="Likely Spam","Flagged by spam rules",TRIM(IF(X284&gt;=20,"Strong source. ","")&amp;IF(Y284&gt;0,"Company email. ","")&amp;IF(Z284&gt;=15,"High-value product. ","")&amp;IF(AA284&gt;='Scoring Model'!$B$15,"High engagement. ","")&amp;IF(AB284&gt;0,"Buying intent in message. ","")&amp;IF(AC284&lt;0,"Negative intent in message. ","")))</f>
        <v>Flagged by spam rules</v>
      </c>
      <c r="AG284" s="11" t="str">
        <f aca="false">IF(W284="Likely Spam","",1/(1+EXP(-('Conversion Model'!$B$5+IFERROR(INDEX('Conversion Model'!$B$8:$B$14,MATCH(C284,'Conversion Model'!$A$8:$A$14,0)),0)+IFERROR(INDEX('Conversion Model'!$E$8:$E$9,MATCH(F284,'Conversion Model'!$D$8:$D$9,0)),0)+IFERROR(INDEX('Conversion Model'!$H$8:$H$12,MATCH(IF(LEFT(J284,8)="Payments","Payments",IF(LEFT(J284,7)="Lending","Lending",J284)),'Conversion Model'!$G$8:$G$12,0)),0)+MIN(L284,15)*'Conversion Model'!$B$17+IF(SUMPRODUCT(--ISNUMBER(SEARCH('Scoring Model'!$D$16:$D$25,K284)))&gt;0,'Conversion Model'!$B$18,0)+IF(SUMPRODUCT(--ISNUMBER(SEARCH('Scoring Model'!$G$16:$G$23,K284)))&gt;0,'Conversion Model'!$B$19,0)))))</f>
        <v/>
      </c>
      <c r="AH284" s="3" t="str">
        <f aca="false">IF(OR(O284="Qualified",O284="Won",O284="Lost"),1,IF(O284="Unqualified",0,""))</f>
        <v/>
      </c>
    </row>
    <row r="285" customFormat="false" ht="15" hidden="false" customHeight="true" outlineLevel="0" collapsed="false">
      <c r="A285" s="3" t="s">
        <v>1184</v>
      </c>
      <c r="B285" s="9" t="n">
        <v>46059.9229166667</v>
      </c>
      <c r="C285" s="3" t="s">
        <v>160</v>
      </c>
      <c r="D285" s="3" t="s">
        <v>1185</v>
      </c>
      <c r="E285" s="3" t="s">
        <v>1186</v>
      </c>
      <c r="F285" s="3" t="s">
        <v>22</v>
      </c>
      <c r="G285" s="3" t="s">
        <v>1187</v>
      </c>
      <c r="H285" s="3" t="s">
        <v>1188</v>
      </c>
      <c r="I285" s="3" t="s">
        <v>334</v>
      </c>
      <c r="J285" s="3" t="s">
        <v>81</v>
      </c>
      <c r="K285" s="3" t="s">
        <v>118</v>
      </c>
      <c r="L285" s="3" t="n">
        <v>6</v>
      </c>
      <c r="M285" s="3" t="n">
        <v>7.8</v>
      </c>
      <c r="N285" s="3" t="s">
        <v>59</v>
      </c>
      <c r="O285" s="3"/>
      <c r="P285" s="10"/>
      <c r="Q285" s="3" t="n">
        <f aca="false">IF(F285="Disposable",1,0)</f>
        <v>0</v>
      </c>
      <c r="R285" s="3" t="n">
        <f aca="false">IF(SUMPRODUCT(--ISNUMBER(SEARCH('Spam Rules'!$A$22:$A$35,K285)))&gt;0,1,0)</f>
        <v>0</v>
      </c>
      <c r="S285" s="3" t="n">
        <f aca="false">IF(AND(F285="Free",G285=""),1,0)</f>
        <v>0</v>
      </c>
      <c r="T285" s="3" t="n">
        <f aca="false">IF(LEN(TRIM(K285))&lt;15,1,0)</f>
        <v>0</v>
      </c>
      <c r="U285" s="3" t="n">
        <f aca="false">IF(COUNTIF($E$2:$E$801,E285)&gt;1,1,0)</f>
        <v>0</v>
      </c>
      <c r="V285" s="3" t="n">
        <f aca="false">Q285*'Spam Rules'!$H$6+R285*'Spam Rules'!$H$7+S285*'Spam Rules'!$H$8+T285*'Spam Rules'!$H$9+U285*'Spam Rules'!$H$10</f>
        <v>0</v>
      </c>
      <c r="W285" s="3" t="str">
        <f aca="false">IF(V285&gt;='Spam Rules'!$B$3,"Likely Spam","Genuine")</f>
        <v>Genuine</v>
      </c>
      <c r="X285" s="3" t="n">
        <f aca="false">IFERROR(INDEX('Scoring Model'!$B$5:$B$11,MATCH(C285,'Scoring Model'!$A$5:$A$11,0)),0)</f>
        <v>25</v>
      </c>
      <c r="Y285" s="3" t="n">
        <f aca="false">IFERROR(INDEX('Scoring Model'!$E$5:$E$7,MATCH(F285,'Scoring Model'!$D$5:$D$7,0)),0)</f>
        <v>20</v>
      </c>
      <c r="Z285" s="3" t="n">
        <f aca="false">IFERROR(INDEX('Scoring Model'!$H$5:$H$13,MATCH(J285,'Scoring Model'!$G$5:$G$13,0)),0)</f>
        <v>5</v>
      </c>
      <c r="AA285" s="3" t="n">
        <f aca="false">IF(L285&gt;='Scoring Model'!$B$14,'Scoring Model'!$B$15,IF(L285&gt;='Scoring Model'!$B$16,'Scoring Model'!$B$17,0))</f>
        <v>8</v>
      </c>
      <c r="AB285" s="3" t="n">
        <f aca="false">IF(SUMPRODUCT(--ISNUMBER(SEARCH('Scoring Model'!$D$16:$D$25,K285)))&gt;0,'Scoring Model'!$B$18,0)</f>
        <v>15</v>
      </c>
      <c r="AC285" s="3" t="n">
        <f aca="false">IF(SUMPRODUCT(--ISNUMBER(SEARCH('Scoring Model'!$G$16:$G$23,K285)))&gt;0,'Scoring Model'!$B$19,0)</f>
        <v>0</v>
      </c>
      <c r="AD285" s="3" t="n">
        <f aca="false">IF(W285="Likely Spam","",SUM(X285:AC285))</f>
        <v>73</v>
      </c>
      <c r="AE285" s="3" t="str">
        <f aca="false">IF(W285="Likely Spam","Spam",IF(AD285&gt;='Scoring Model'!$B$21,"Hot",IF(AD285&gt;='Scoring Model'!$B$22,"Warm","Nurture")))</f>
        <v>Hot</v>
      </c>
      <c r="AF285" s="3" t="str">
        <f aca="false">IF(W285="Likely Spam","Flagged by spam rules",TRIM(IF(X285&gt;=20,"Strong source. ","")&amp;IF(Y285&gt;0,"Company email. ","")&amp;IF(Z285&gt;=15,"High-value product. ","")&amp;IF(AA285&gt;='Scoring Model'!$B$15,"High engagement. ","")&amp;IF(AB285&gt;0,"Buying intent in message. ","")&amp;IF(AC285&lt;0,"Negative intent in message. ","")))</f>
        <v>Strong source. Company email. Buying intent in message.</v>
      </c>
      <c r="AG285" s="11" t="n">
        <f aca="false">IF(W285="Likely Spam","",1/(1+EXP(-('Conversion Model'!$B$5+IFERROR(INDEX('Conversion Model'!$B$8:$B$14,MATCH(C285,'Conversion Model'!$A$8:$A$14,0)),0)+IFERROR(INDEX('Conversion Model'!$E$8:$E$9,MATCH(F285,'Conversion Model'!$D$8:$D$9,0)),0)+IFERROR(INDEX('Conversion Model'!$H$8:$H$12,MATCH(IF(LEFT(J285,8)="Payments","Payments",IF(LEFT(J285,7)="Lending","Lending",J285)),'Conversion Model'!$G$8:$G$12,0)),0)+MIN(L285,15)*'Conversion Model'!$B$17+IF(SUMPRODUCT(--ISNUMBER(SEARCH('Scoring Model'!$D$16:$D$25,K285)))&gt;0,'Conversion Model'!$B$18,0)+IF(SUMPRODUCT(--ISNUMBER(SEARCH('Scoring Model'!$G$16:$G$23,K285)))&gt;0,'Conversion Model'!$B$19,0)))))</f>
        <v>0.84787104431298</v>
      </c>
      <c r="AH285" s="3" t="str">
        <f aca="false">IF(OR(O285="Qualified",O285="Won",O285="Lost"),1,IF(O285="Unqualified",0,""))</f>
        <v/>
      </c>
    </row>
    <row r="286" customFormat="false" ht="15" hidden="false" customHeight="true" outlineLevel="0" collapsed="false">
      <c r="A286" s="3" t="s">
        <v>1189</v>
      </c>
      <c r="B286" s="9" t="n">
        <v>46060.9569444444</v>
      </c>
      <c r="C286" s="3" t="s">
        <v>112</v>
      </c>
      <c r="D286" s="3" t="s">
        <v>735</v>
      </c>
      <c r="E286" s="3" t="s">
        <v>1190</v>
      </c>
      <c r="F286" s="3" t="s">
        <v>22</v>
      </c>
      <c r="G286" s="3" t="s">
        <v>1191</v>
      </c>
      <c r="H286" s="3" t="s">
        <v>1192</v>
      </c>
      <c r="I286" s="3" t="s">
        <v>334</v>
      </c>
      <c r="J286" s="3" t="s">
        <v>108</v>
      </c>
      <c r="K286" s="3" t="s">
        <v>644</v>
      </c>
      <c r="L286" s="3" t="n">
        <v>12</v>
      </c>
      <c r="M286" s="3" t="n">
        <v>60.6</v>
      </c>
      <c r="N286" s="3" t="s">
        <v>67</v>
      </c>
      <c r="O286" s="3"/>
      <c r="P286" s="10"/>
      <c r="Q286" s="3" t="n">
        <f aca="false">IF(F286="Disposable",1,0)</f>
        <v>0</v>
      </c>
      <c r="R286" s="3" t="n">
        <f aca="false">IF(SUMPRODUCT(--ISNUMBER(SEARCH('Spam Rules'!$A$22:$A$35,K286)))&gt;0,1,0)</f>
        <v>0</v>
      </c>
      <c r="S286" s="3" t="n">
        <f aca="false">IF(AND(F286="Free",G286=""),1,0)</f>
        <v>0</v>
      </c>
      <c r="T286" s="3" t="n">
        <f aca="false">IF(LEN(TRIM(K286))&lt;15,1,0)</f>
        <v>0</v>
      </c>
      <c r="U286" s="3" t="n">
        <f aca="false">IF(COUNTIF($E$2:$E$801,E286)&gt;1,1,0)</f>
        <v>0</v>
      </c>
      <c r="V286" s="3" t="n">
        <f aca="false">Q286*'Spam Rules'!$H$6+R286*'Spam Rules'!$H$7+S286*'Spam Rules'!$H$8+T286*'Spam Rules'!$H$9+U286*'Spam Rules'!$H$10</f>
        <v>0</v>
      </c>
      <c r="W286" s="3" t="str">
        <f aca="false">IF(V286&gt;='Spam Rules'!$B$3,"Likely Spam","Genuine")</f>
        <v>Genuine</v>
      </c>
      <c r="X286" s="3" t="n">
        <f aca="false">IFERROR(INDEX('Scoring Model'!$B$5:$B$11,MATCH(C286,'Scoring Model'!$A$5:$A$11,0)),0)</f>
        <v>15</v>
      </c>
      <c r="Y286" s="3" t="n">
        <f aca="false">IFERROR(INDEX('Scoring Model'!$E$5:$E$7,MATCH(F286,'Scoring Model'!$D$5:$D$7,0)),0)</f>
        <v>20</v>
      </c>
      <c r="Z286" s="3" t="n">
        <f aca="false">IFERROR(INDEX('Scoring Model'!$H$5:$H$13,MATCH(J286,'Scoring Model'!$G$5:$G$13,0)),0)</f>
        <v>15</v>
      </c>
      <c r="AA286" s="3" t="n">
        <f aca="false">IF(L286&gt;='Scoring Model'!$B$14,'Scoring Model'!$B$15,IF(L286&gt;='Scoring Model'!$B$16,'Scoring Model'!$B$17,0))</f>
        <v>15</v>
      </c>
      <c r="AB286" s="3" t="n">
        <f aca="false">IF(SUMPRODUCT(--ISNUMBER(SEARCH('Scoring Model'!$D$16:$D$25,K286)))&gt;0,'Scoring Model'!$B$18,0)</f>
        <v>15</v>
      </c>
      <c r="AC286" s="3" t="n">
        <f aca="false">IF(SUMPRODUCT(--ISNUMBER(SEARCH('Scoring Model'!$G$16:$G$23,K286)))&gt;0,'Scoring Model'!$B$19,0)</f>
        <v>0</v>
      </c>
      <c r="AD286" s="3" t="n">
        <f aca="false">IF(W286="Likely Spam","",SUM(X286:AC286))</f>
        <v>80</v>
      </c>
      <c r="AE286" s="3" t="str">
        <f aca="false">IF(W286="Likely Spam","Spam",IF(AD286&gt;='Scoring Model'!$B$21,"Hot",IF(AD286&gt;='Scoring Model'!$B$22,"Warm","Nurture")))</f>
        <v>Hot</v>
      </c>
      <c r="AF286" s="3" t="str">
        <f aca="false">IF(W286="Likely Spam","Flagged by spam rules",TRIM(IF(X286&gt;=20,"Strong source. ","")&amp;IF(Y286&gt;0,"Company email. ","")&amp;IF(Z286&gt;=15,"High-value product. ","")&amp;IF(AA286&gt;='Scoring Model'!$B$15,"High engagement. ","")&amp;IF(AB286&gt;0,"Buying intent in message. ","")&amp;IF(AC286&lt;0,"Negative intent in message. ","")))</f>
        <v>Company email. High-value product. High engagement. Buying intent in message.</v>
      </c>
      <c r="AG286" s="11" t="n">
        <f aca="false">IF(W286="Likely Spam","",1/(1+EXP(-('Conversion Model'!$B$5+IFERROR(INDEX('Conversion Model'!$B$8:$B$14,MATCH(C286,'Conversion Model'!$A$8:$A$14,0)),0)+IFERROR(INDEX('Conversion Model'!$E$8:$E$9,MATCH(F286,'Conversion Model'!$D$8:$D$9,0)),0)+IFERROR(INDEX('Conversion Model'!$H$8:$H$12,MATCH(IF(LEFT(J286,8)="Payments","Payments",IF(LEFT(J286,7)="Lending","Lending",J286)),'Conversion Model'!$G$8:$G$12,0)),0)+MIN(L286,15)*'Conversion Model'!$B$17+IF(SUMPRODUCT(--ISNUMBER(SEARCH('Scoring Model'!$D$16:$D$25,K286)))&gt;0,'Conversion Model'!$B$18,0)+IF(SUMPRODUCT(--ISNUMBER(SEARCH('Scoring Model'!$G$16:$G$23,K286)))&gt;0,'Conversion Model'!$B$19,0)))))</f>
        <v>0.998390144977588</v>
      </c>
      <c r="AH286" s="3" t="str">
        <f aca="false">IF(OR(O286="Qualified",O286="Won",O286="Lost"),1,IF(O286="Unqualified",0,""))</f>
        <v/>
      </c>
    </row>
    <row r="287" customFormat="false" ht="15" hidden="false" customHeight="true" outlineLevel="0" collapsed="false">
      <c r="A287" s="3" t="s">
        <v>1193</v>
      </c>
      <c r="B287" s="9" t="n">
        <v>46061.9277777778</v>
      </c>
      <c r="C287" s="3" t="s">
        <v>160</v>
      </c>
      <c r="D287" s="3" t="s">
        <v>1194</v>
      </c>
      <c r="E287" s="3" t="s">
        <v>1195</v>
      </c>
      <c r="F287" s="3" t="s">
        <v>54</v>
      </c>
      <c r="G287" s="3" t="s">
        <v>321</v>
      </c>
      <c r="H287" s="3"/>
      <c r="I287" s="3" t="s">
        <v>94</v>
      </c>
      <c r="J287" s="3" t="s">
        <v>81</v>
      </c>
      <c r="K287" s="3" t="s">
        <v>89</v>
      </c>
      <c r="L287" s="3" t="n">
        <v>1</v>
      </c>
      <c r="M287" s="3"/>
      <c r="N287" s="3" t="s">
        <v>59</v>
      </c>
      <c r="O287" s="3"/>
      <c r="P287" s="10"/>
      <c r="Q287" s="3" t="n">
        <f aca="false">IF(F287="Disposable",1,0)</f>
        <v>0</v>
      </c>
      <c r="R287" s="3" t="n">
        <f aca="false">IF(SUMPRODUCT(--ISNUMBER(SEARCH('Spam Rules'!$A$22:$A$35,K287)))&gt;0,1,0)</f>
        <v>1</v>
      </c>
      <c r="S287" s="3" t="n">
        <f aca="false">IF(AND(F287="Free",G287=""),1,0)</f>
        <v>0</v>
      </c>
      <c r="T287" s="3" t="n">
        <f aca="false">IF(LEN(TRIM(K287))&lt;15,1,0)</f>
        <v>0</v>
      </c>
      <c r="U287" s="3" t="n">
        <f aca="false">IF(COUNTIF($E$2:$E$801,E287)&gt;1,1,0)</f>
        <v>0</v>
      </c>
      <c r="V287" s="3" t="n">
        <f aca="false">Q287*'Spam Rules'!$H$6+R287*'Spam Rules'!$H$7+S287*'Spam Rules'!$H$8+T287*'Spam Rules'!$H$9+U287*'Spam Rules'!$H$10</f>
        <v>1</v>
      </c>
      <c r="W287" s="3" t="str">
        <f aca="false">IF(V287&gt;='Spam Rules'!$B$3,"Likely Spam","Genuine")</f>
        <v>Likely Spam</v>
      </c>
      <c r="X287" s="3" t="n">
        <f aca="false">IFERROR(INDEX('Scoring Model'!$B$5:$B$11,MATCH(C287,'Scoring Model'!$A$5:$A$11,0)),0)</f>
        <v>25</v>
      </c>
      <c r="Y287" s="3" t="n">
        <f aca="false">IFERROR(INDEX('Scoring Model'!$E$5:$E$7,MATCH(F287,'Scoring Model'!$D$5:$D$7,0)),0)</f>
        <v>0</v>
      </c>
      <c r="Z287" s="3" t="n">
        <f aca="false">IFERROR(INDEX('Scoring Model'!$H$5:$H$13,MATCH(J287,'Scoring Model'!$G$5:$G$13,0)),0)</f>
        <v>5</v>
      </c>
      <c r="AA287" s="3" t="n">
        <f aca="false">IF(L287&gt;='Scoring Model'!$B$14,'Scoring Model'!$B$15,IF(L287&gt;='Scoring Model'!$B$16,'Scoring Model'!$B$17,0))</f>
        <v>0</v>
      </c>
      <c r="AB287" s="3" t="n">
        <f aca="false">IF(SUMPRODUCT(--ISNUMBER(SEARCH('Scoring Model'!$D$16:$D$25,K287)))&gt;0,'Scoring Model'!$B$18,0)</f>
        <v>0</v>
      </c>
      <c r="AC287" s="3" t="n">
        <f aca="false">IF(SUMPRODUCT(--ISNUMBER(SEARCH('Scoring Model'!$G$16:$G$23,K287)))&gt;0,'Scoring Model'!$B$19,0)</f>
        <v>0</v>
      </c>
      <c r="AD287" s="3" t="str">
        <f aca="false">IF(W287="Likely Spam","",SUM(X287:AC287))</f>
        <v/>
      </c>
      <c r="AE287" s="3" t="str">
        <f aca="false">IF(W287="Likely Spam","Spam",IF(AD287&gt;='Scoring Model'!$B$21,"Hot",IF(AD287&gt;='Scoring Model'!$B$22,"Warm","Nurture")))</f>
        <v>Spam</v>
      </c>
      <c r="AF287" s="3" t="str">
        <f aca="false">IF(W287="Likely Spam","Flagged by spam rules",TRIM(IF(X287&gt;=20,"Strong source. ","")&amp;IF(Y287&gt;0,"Company email. ","")&amp;IF(Z287&gt;=15,"High-value product. ","")&amp;IF(AA287&gt;='Scoring Model'!$B$15,"High engagement. ","")&amp;IF(AB287&gt;0,"Buying intent in message. ","")&amp;IF(AC287&lt;0,"Negative intent in message. ","")))</f>
        <v>Flagged by spam rules</v>
      </c>
      <c r="AG287" s="11" t="str">
        <f aca="false">IF(W287="Likely Spam","",1/(1+EXP(-('Conversion Model'!$B$5+IFERROR(INDEX('Conversion Model'!$B$8:$B$14,MATCH(C287,'Conversion Model'!$A$8:$A$14,0)),0)+IFERROR(INDEX('Conversion Model'!$E$8:$E$9,MATCH(F287,'Conversion Model'!$D$8:$D$9,0)),0)+IFERROR(INDEX('Conversion Model'!$H$8:$H$12,MATCH(IF(LEFT(J287,8)="Payments","Payments",IF(LEFT(J287,7)="Lending","Lending",J287)),'Conversion Model'!$G$8:$G$12,0)),0)+MIN(L287,15)*'Conversion Model'!$B$17+IF(SUMPRODUCT(--ISNUMBER(SEARCH('Scoring Model'!$D$16:$D$25,K287)))&gt;0,'Conversion Model'!$B$18,0)+IF(SUMPRODUCT(--ISNUMBER(SEARCH('Scoring Model'!$G$16:$G$23,K287)))&gt;0,'Conversion Model'!$B$19,0)))))</f>
        <v/>
      </c>
      <c r="AH287" s="3" t="str">
        <f aca="false">IF(OR(O287="Qualified",O287="Won",O287="Lost"),1,IF(O287="Unqualified",0,""))</f>
        <v/>
      </c>
    </row>
    <row r="288" customFormat="false" ht="15" hidden="false" customHeight="true" outlineLevel="0" collapsed="false">
      <c r="A288" s="3" t="s">
        <v>1196</v>
      </c>
      <c r="B288" s="9" t="n">
        <v>46062.2020833333</v>
      </c>
      <c r="C288" s="3" t="s">
        <v>51</v>
      </c>
      <c r="D288" s="3" t="s">
        <v>465</v>
      </c>
      <c r="E288" s="3" t="s">
        <v>466</v>
      </c>
      <c r="F288" s="3" t="s">
        <v>54</v>
      </c>
      <c r="G288" s="3"/>
      <c r="H288" s="3"/>
      <c r="I288" s="3" t="s">
        <v>73</v>
      </c>
      <c r="J288" s="3" t="s">
        <v>65</v>
      </c>
      <c r="K288" s="3" t="s">
        <v>101</v>
      </c>
      <c r="L288" s="3" t="n">
        <v>2</v>
      </c>
      <c r="M288" s="3" t="n">
        <v>5.9</v>
      </c>
      <c r="N288" s="3" t="s">
        <v>96</v>
      </c>
      <c r="O288" s="3"/>
      <c r="P288" s="10"/>
      <c r="Q288" s="3" t="n">
        <f aca="false">IF(F288="Disposable",1,0)</f>
        <v>0</v>
      </c>
      <c r="R288" s="3" t="n">
        <f aca="false">IF(SUMPRODUCT(--ISNUMBER(SEARCH('Spam Rules'!$A$22:$A$35,K288)))&gt;0,1,0)</f>
        <v>0</v>
      </c>
      <c r="S288" s="3" t="n">
        <f aca="false">IF(AND(F288="Free",G288=""),1,0)</f>
        <v>1</v>
      </c>
      <c r="T288" s="3" t="n">
        <f aca="false">IF(LEN(TRIM(K288))&lt;15,1,0)</f>
        <v>0</v>
      </c>
      <c r="U288" s="3" t="n">
        <f aca="false">IF(COUNTIF($E$2:$E$801,E288)&gt;1,1,0)</f>
        <v>1</v>
      </c>
      <c r="V288" s="3" t="n">
        <f aca="false">Q288*'Spam Rules'!$H$6+R288*'Spam Rules'!$H$7+S288*'Spam Rules'!$H$8+T288*'Spam Rules'!$H$9+U288*'Spam Rules'!$H$10</f>
        <v>0</v>
      </c>
      <c r="W288" s="3" t="str">
        <f aca="false">IF(V288&gt;='Spam Rules'!$B$3,"Likely Spam","Genuine")</f>
        <v>Genuine</v>
      </c>
      <c r="X288" s="3" t="n">
        <f aca="false">IFERROR(INDEX('Scoring Model'!$B$5:$B$11,MATCH(C288,'Scoring Model'!$A$5:$A$11,0)),0)</f>
        <v>10</v>
      </c>
      <c r="Y288" s="3" t="n">
        <f aca="false">IFERROR(INDEX('Scoring Model'!$E$5:$E$7,MATCH(F288,'Scoring Model'!$D$5:$D$7,0)),0)</f>
        <v>0</v>
      </c>
      <c r="Z288" s="3" t="n">
        <f aca="false">IFERROR(INDEX('Scoring Model'!$H$5:$H$13,MATCH(J288,'Scoring Model'!$G$5:$G$13,0)),0)</f>
        <v>0</v>
      </c>
      <c r="AA288" s="3" t="n">
        <f aca="false">IF(L288&gt;='Scoring Model'!$B$14,'Scoring Model'!$B$15,IF(L288&gt;='Scoring Model'!$B$16,'Scoring Model'!$B$17,0))</f>
        <v>0</v>
      </c>
      <c r="AB288" s="3" t="n">
        <f aca="false">IF(SUMPRODUCT(--ISNUMBER(SEARCH('Scoring Model'!$D$16:$D$25,K288)))&gt;0,'Scoring Model'!$B$18,0)</f>
        <v>0</v>
      </c>
      <c r="AC288" s="3" t="n">
        <f aca="false">IF(SUMPRODUCT(--ISNUMBER(SEARCH('Scoring Model'!$G$16:$G$23,K288)))&gt;0,'Scoring Model'!$B$19,0)</f>
        <v>-30</v>
      </c>
      <c r="AD288" s="3" t="n">
        <f aca="false">IF(W288="Likely Spam","",SUM(X288:AC288))</f>
        <v>-20</v>
      </c>
      <c r="AE288" s="3" t="str">
        <f aca="false">IF(W288="Likely Spam","Spam",IF(AD288&gt;='Scoring Model'!$B$21,"Hot",IF(AD288&gt;='Scoring Model'!$B$22,"Warm","Nurture")))</f>
        <v>Nurture</v>
      </c>
      <c r="AF288" s="3" t="str">
        <f aca="false">IF(W288="Likely Spam","Flagged by spam rules",TRIM(IF(X288&gt;=20,"Strong source. ","")&amp;IF(Y288&gt;0,"Company email. ","")&amp;IF(Z288&gt;=15,"High-value product. ","")&amp;IF(AA288&gt;='Scoring Model'!$B$15,"High engagement. ","")&amp;IF(AB288&gt;0,"Buying intent in message. ","")&amp;IF(AC288&lt;0,"Negative intent in message. ","")))</f>
        <v>Negative intent in message.</v>
      </c>
      <c r="AG288" s="11" t="n">
        <f aca="false">IF(W288="Likely Spam","",1/(1+EXP(-('Conversion Model'!$B$5+IFERROR(INDEX('Conversion Model'!$B$8:$B$14,MATCH(C288,'Conversion Model'!$A$8:$A$14,0)),0)+IFERROR(INDEX('Conversion Model'!$E$8:$E$9,MATCH(F288,'Conversion Model'!$D$8:$D$9,0)),0)+IFERROR(INDEX('Conversion Model'!$H$8:$H$12,MATCH(IF(LEFT(J288,8)="Payments","Payments",IF(LEFT(J288,7)="Lending","Lending",J288)),'Conversion Model'!$G$8:$G$12,0)),0)+MIN(L288,15)*'Conversion Model'!$B$17+IF(SUMPRODUCT(--ISNUMBER(SEARCH('Scoring Model'!$D$16:$D$25,K288)))&gt;0,'Conversion Model'!$B$18,0)+IF(SUMPRODUCT(--ISNUMBER(SEARCH('Scoring Model'!$G$16:$G$23,K288)))&gt;0,'Conversion Model'!$B$19,0)))))</f>
        <v>0.00206615004004548</v>
      </c>
      <c r="AH288" s="3" t="str">
        <f aca="false">IF(OR(O288="Qualified",O288="Won",O288="Lost"),1,IF(O288="Unqualified",0,""))</f>
        <v/>
      </c>
    </row>
    <row r="289" customFormat="false" ht="15" hidden="false" customHeight="true" outlineLevel="0" collapsed="false">
      <c r="A289" s="3" t="s">
        <v>1197</v>
      </c>
      <c r="B289" s="9" t="n">
        <v>46063.9527777778</v>
      </c>
      <c r="C289" s="3" t="s">
        <v>76</v>
      </c>
      <c r="D289" s="3" t="s">
        <v>1198</v>
      </c>
      <c r="E289" s="3" t="s">
        <v>1199</v>
      </c>
      <c r="F289" s="3" t="s">
        <v>22</v>
      </c>
      <c r="G289" s="3" t="s">
        <v>1200</v>
      </c>
      <c r="H289" s="3" t="s">
        <v>1201</v>
      </c>
      <c r="I289" s="3" t="s">
        <v>73</v>
      </c>
      <c r="J289" s="3" t="s">
        <v>145</v>
      </c>
      <c r="K289" s="3" t="s">
        <v>378</v>
      </c>
      <c r="L289" s="3" t="n">
        <v>4</v>
      </c>
      <c r="M289" s="3" t="n">
        <v>7.4</v>
      </c>
      <c r="N289" s="3" t="s">
        <v>59</v>
      </c>
      <c r="O289" s="3"/>
      <c r="P289" s="10"/>
      <c r="Q289" s="3" t="n">
        <f aca="false">IF(F289="Disposable",1,0)</f>
        <v>0</v>
      </c>
      <c r="R289" s="3" t="n">
        <f aca="false">IF(SUMPRODUCT(--ISNUMBER(SEARCH('Spam Rules'!$A$22:$A$35,K289)))&gt;0,1,0)</f>
        <v>0</v>
      </c>
      <c r="S289" s="3" t="n">
        <f aca="false">IF(AND(F289="Free",G289=""),1,0)</f>
        <v>0</v>
      </c>
      <c r="T289" s="3" t="n">
        <f aca="false">IF(LEN(TRIM(K289))&lt;15,1,0)</f>
        <v>0</v>
      </c>
      <c r="U289" s="3" t="n">
        <f aca="false">IF(COUNTIF($E$2:$E$801,E289)&gt;1,1,0)</f>
        <v>0</v>
      </c>
      <c r="V289" s="3" t="n">
        <f aca="false">Q289*'Spam Rules'!$H$6+R289*'Spam Rules'!$H$7+S289*'Spam Rules'!$H$8+T289*'Spam Rules'!$H$9+U289*'Spam Rules'!$H$10</f>
        <v>0</v>
      </c>
      <c r="W289" s="3" t="str">
        <f aca="false">IF(V289&gt;='Spam Rules'!$B$3,"Likely Spam","Genuine")</f>
        <v>Genuine</v>
      </c>
      <c r="X289" s="3" t="n">
        <f aca="false">IFERROR(INDEX('Scoring Model'!$B$5:$B$11,MATCH(C289,'Scoring Model'!$A$5:$A$11,0)),0)</f>
        <v>0</v>
      </c>
      <c r="Y289" s="3" t="n">
        <f aca="false">IFERROR(INDEX('Scoring Model'!$E$5:$E$7,MATCH(F289,'Scoring Model'!$D$5:$D$7,0)),0)</f>
        <v>20</v>
      </c>
      <c r="Z289" s="3" t="n">
        <f aca="false">IFERROR(INDEX('Scoring Model'!$H$5:$H$13,MATCH(J289,'Scoring Model'!$G$5:$G$13,0)),0)</f>
        <v>5</v>
      </c>
      <c r="AA289" s="3" t="n">
        <f aca="false">IF(L289&gt;='Scoring Model'!$B$14,'Scoring Model'!$B$15,IF(L289&gt;='Scoring Model'!$B$16,'Scoring Model'!$B$17,0))</f>
        <v>8</v>
      </c>
      <c r="AB289" s="3" t="n">
        <f aca="false">IF(SUMPRODUCT(--ISNUMBER(SEARCH('Scoring Model'!$D$16:$D$25,K289)))&gt;0,'Scoring Model'!$B$18,0)</f>
        <v>0</v>
      </c>
      <c r="AC289" s="3" t="n">
        <f aca="false">IF(SUMPRODUCT(--ISNUMBER(SEARCH('Scoring Model'!$G$16:$G$23,K289)))&gt;0,'Scoring Model'!$B$19,0)</f>
        <v>-30</v>
      </c>
      <c r="AD289" s="3" t="n">
        <f aca="false">IF(W289="Likely Spam","",SUM(X289:AC289))</f>
        <v>3</v>
      </c>
      <c r="AE289" s="3" t="str">
        <f aca="false">IF(W289="Likely Spam","Spam",IF(AD289&gt;='Scoring Model'!$B$21,"Hot",IF(AD289&gt;='Scoring Model'!$B$22,"Warm","Nurture")))</f>
        <v>Nurture</v>
      </c>
      <c r="AF289" s="3" t="str">
        <f aca="false">IF(W289="Likely Spam","Flagged by spam rules",TRIM(IF(X289&gt;=20,"Strong source. ","")&amp;IF(Y289&gt;0,"Company email. ","")&amp;IF(Z289&gt;=15,"High-value product. ","")&amp;IF(AA289&gt;='Scoring Model'!$B$15,"High engagement. ","")&amp;IF(AB289&gt;0,"Buying intent in message. ","")&amp;IF(AC289&lt;0,"Negative intent in message. ","")))</f>
        <v>Company email. Negative intent in message.</v>
      </c>
      <c r="AG289" s="11" t="n">
        <f aca="false">IF(W289="Likely Spam","",1/(1+EXP(-('Conversion Model'!$B$5+IFERROR(INDEX('Conversion Model'!$B$8:$B$14,MATCH(C289,'Conversion Model'!$A$8:$A$14,0)),0)+IFERROR(INDEX('Conversion Model'!$E$8:$E$9,MATCH(F289,'Conversion Model'!$D$8:$D$9,0)),0)+IFERROR(INDEX('Conversion Model'!$H$8:$H$12,MATCH(IF(LEFT(J289,8)="Payments","Payments",IF(LEFT(J289,7)="Lending","Lending",J289)),'Conversion Model'!$G$8:$G$12,0)),0)+MIN(L289,15)*'Conversion Model'!$B$17+IF(SUMPRODUCT(--ISNUMBER(SEARCH('Scoring Model'!$D$16:$D$25,K289)))&gt;0,'Conversion Model'!$B$18,0)+IF(SUMPRODUCT(--ISNUMBER(SEARCH('Scoring Model'!$G$16:$G$23,K289)))&gt;0,'Conversion Model'!$B$19,0)))))</f>
        <v>0.0247468227313523</v>
      </c>
      <c r="AH289" s="3" t="str">
        <f aca="false">IF(OR(O289="Qualified",O289="Won",O289="Lost"),1,IF(O289="Unqualified",0,""))</f>
        <v/>
      </c>
    </row>
    <row r="290" customFormat="false" ht="15" hidden="false" customHeight="true" outlineLevel="0" collapsed="false">
      <c r="A290" s="3" t="s">
        <v>1202</v>
      </c>
      <c r="B290" s="9" t="n">
        <v>46064.56875</v>
      </c>
      <c r="C290" s="3" t="s">
        <v>91</v>
      </c>
      <c r="D290" s="3" t="s">
        <v>1203</v>
      </c>
      <c r="E290" s="3" t="s">
        <v>1204</v>
      </c>
      <c r="F290" s="3" t="s">
        <v>54</v>
      </c>
      <c r="G290" s="3"/>
      <c r="H290" s="3"/>
      <c r="I290" s="3" t="s">
        <v>64</v>
      </c>
      <c r="J290" s="3" t="s">
        <v>122</v>
      </c>
      <c r="K290" s="3" t="s">
        <v>213</v>
      </c>
      <c r="L290" s="3" t="n">
        <v>1</v>
      </c>
      <c r="M290" s="3" t="n">
        <v>14.1</v>
      </c>
      <c r="N290" s="3" t="s">
        <v>96</v>
      </c>
      <c r="O290" s="3" t="s">
        <v>194</v>
      </c>
      <c r="P290" s="10"/>
      <c r="Q290" s="3" t="n">
        <f aca="false">IF(F290="Disposable",1,0)</f>
        <v>0</v>
      </c>
      <c r="R290" s="3" t="n">
        <f aca="false">IF(SUMPRODUCT(--ISNUMBER(SEARCH('Spam Rules'!$A$22:$A$35,K290)))&gt;0,1,0)</f>
        <v>0</v>
      </c>
      <c r="S290" s="3" t="n">
        <f aca="false">IF(AND(F290="Free",G290=""),1,0)</f>
        <v>1</v>
      </c>
      <c r="T290" s="3" t="n">
        <f aca="false">IF(LEN(TRIM(K290))&lt;15,1,0)</f>
        <v>0</v>
      </c>
      <c r="U290" s="3" t="n">
        <f aca="false">IF(COUNTIF($E$2:$E$801,E290)&gt;1,1,0)</f>
        <v>0</v>
      </c>
      <c r="V290" s="3" t="n">
        <f aca="false">Q290*'Spam Rules'!$H$6+R290*'Spam Rules'!$H$7+S290*'Spam Rules'!$H$8+T290*'Spam Rules'!$H$9+U290*'Spam Rules'!$H$10</f>
        <v>0</v>
      </c>
      <c r="W290" s="3" t="str">
        <f aca="false">IF(V290&gt;='Spam Rules'!$B$3,"Likely Spam","Genuine")</f>
        <v>Genuine</v>
      </c>
      <c r="X290" s="3" t="n">
        <f aca="false">IFERROR(INDEX('Scoring Model'!$B$5:$B$11,MATCH(C290,'Scoring Model'!$A$5:$A$11,0)),0)</f>
        <v>5</v>
      </c>
      <c r="Y290" s="3" t="n">
        <f aca="false">IFERROR(INDEX('Scoring Model'!$E$5:$E$7,MATCH(F290,'Scoring Model'!$D$5:$D$7,0)),0)</f>
        <v>0</v>
      </c>
      <c r="Z290" s="3" t="n">
        <f aca="false">IFERROR(INDEX('Scoring Model'!$H$5:$H$13,MATCH(J290,'Scoring Model'!$G$5:$G$13,0)),0)</f>
        <v>15</v>
      </c>
      <c r="AA290" s="3" t="n">
        <f aca="false">IF(L290&gt;='Scoring Model'!$B$14,'Scoring Model'!$B$15,IF(L290&gt;='Scoring Model'!$B$16,'Scoring Model'!$B$17,0))</f>
        <v>0</v>
      </c>
      <c r="AB290" s="3" t="n">
        <f aca="false">IF(SUMPRODUCT(--ISNUMBER(SEARCH('Scoring Model'!$D$16:$D$25,K290)))&gt;0,'Scoring Model'!$B$18,0)</f>
        <v>0</v>
      </c>
      <c r="AC290" s="3" t="n">
        <f aca="false">IF(SUMPRODUCT(--ISNUMBER(SEARCH('Scoring Model'!$G$16:$G$23,K290)))&gt;0,'Scoring Model'!$B$19,0)</f>
        <v>-30</v>
      </c>
      <c r="AD290" s="3" t="n">
        <f aca="false">IF(W290="Likely Spam","",SUM(X290:AC290))</f>
        <v>-10</v>
      </c>
      <c r="AE290" s="3" t="str">
        <f aca="false">IF(W290="Likely Spam","Spam",IF(AD290&gt;='Scoring Model'!$B$21,"Hot",IF(AD290&gt;='Scoring Model'!$B$22,"Warm","Nurture")))</f>
        <v>Nurture</v>
      </c>
      <c r="AF290" s="3" t="str">
        <f aca="false">IF(W290="Likely Spam","Flagged by spam rules",TRIM(IF(X290&gt;=20,"Strong source. ","")&amp;IF(Y290&gt;0,"Company email. ","")&amp;IF(Z290&gt;=15,"High-value product. ","")&amp;IF(AA290&gt;='Scoring Model'!$B$15,"High engagement. ","")&amp;IF(AB290&gt;0,"Buying intent in message. ","")&amp;IF(AC290&lt;0,"Negative intent in message. ","")))</f>
        <v>High-value product. Negative intent in message.</v>
      </c>
      <c r="AG290" s="11" t="n">
        <f aca="false">IF(W290="Likely Spam","",1/(1+EXP(-('Conversion Model'!$B$5+IFERROR(INDEX('Conversion Model'!$B$8:$B$14,MATCH(C290,'Conversion Model'!$A$8:$A$14,0)),0)+IFERROR(INDEX('Conversion Model'!$E$8:$E$9,MATCH(F290,'Conversion Model'!$D$8:$D$9,0)),0)+IFERROR(INDEX('Conversion Model'!$H$8:$H$12,MATCH(IF(LEFT(J290,8)="Payments","Payments",IF(LEFT(J290,7)="Lending","Lending",J290)),'Conversion Model'!$G$8:$G$12,0)),0)+MIN(L290,15)*'Conversion Model'!$B$17+IF(SUMPRODUCT(--ISNUMBER(SEARCH('Scoring Model'!$D$16:$D$25,K290)))&gt;0,'Conversion Model'!$B$18,0)+IF(SUMPRODUCT(--ISNUMBER(SEARCH('Scoring Model'!$G$16:$G$23,K290)))&gt;0,'Conversion Model'!$B$19,0)))))</f>
        <v>0.000804085935629235</v>
      </c>
      <c r="AH290" s="3" t="n">
        <f aca="false">IF(OR(O290="Qualified",O290="Won",O290="Lost"),1,IF(O290="Unqualified",0,""))</f>
        <v>0</v>
      </c>
    </row>
    <row r="291" customFormat="false" ht="15" hidden="false" customHeight="true" outlineLevel="0" collapsed="false">
      <c r="A291" s="3" t="s">
        <v>1205</v>
      </c>
      <c r="B291" s="9" t="n">
        <v>46065.1729166667</v>
      </c>
      <c r="C291" s="3" t="s">
        <v>76</v>
      </c>
      <c r="D291" s="3" t="s">
        <v>336</v>
      </c>
      <c r="E291" s="3" t="s">
        <v>1206</v>
      </c>
      <c r="F291" s="3" t="s">
        <v>54</v>
      </c>
      <c r="G291" s="3"/>
      <c r="H291" s="3"/>
      <c r="I291" s="3" t="s">
        <v>80</v>
      </c>
      <c r="J291" s="3" t="s">
        <v>65</v>
      </c>
      <c r="K291" s="3" t="s">
        <v>657</v>
      </c>
      <c r="L291" s="3" t="n">
        <v>1</v>
      </c>
      <c r="M291" s="3" t="n">
        <v>6.3</v>
      </c>
      <c r="N291" s="3" t="s">
        <v>67</v>
      </c>
      <c r="O291" s="3"/>
      <c r="P291" s="10"/>
      <c r="Q291" s="3" t="n">
        <f aca="false">IF(F291="Disposable",1,0)</f>
        <v>0</v>
      </c>
      <c r="R291" s="3" t="n">
        <f aca="false">IF(SUMPRODUCT(--ISNUMBER(SEARCH('Spam Rules'!$A$22:$A$35,K291)))&gt;0,1,0)</f>
        <v>1</v>
      </c>
      <c r="S291" s="3" t="n">
        <f aca="false">IF(AND(F291="Free",G291=""),1,0)</f>
        <v>1</v>
      </c>
      <c r="T291" s="3" t="n">
        <f aca="false">IF(LEN(TRIM(K291))&lt;15,1,0)</f>
        <v>0</v>
      </c>
      <c r="U291" s="3" t="n">
        <f aca="false">IF(COUNTIF($E$2:$E$801,E291)&gt;1,1,0)</f>
        <v>0</v>
      </c>
      <c r="V291" s="3" t="n">
        <f aca="false">Q291*'Spam Rules'!$H$6+R291*'Spam Rules'!$H$7+S291*'Spam Rules'!$H$8+T291*'Spam Rules'!$H$9+U291*'Spam Rules'!$H$10</f>
        <v>1</v>
      </c>
      <c r="W291" s="3" t="str">
        <f aca="false">IF(V291&gt;='Spam Rules'!$B$3,"Likely Spam","Genuine")</f>
        <v>Likely Spam</v>
      </c>
      <c r="X291" s="3" t="n">
        <f aca="false">IFERROR(INDEX('Scoring Model'!$B$5:$B$11,MATCH(C291,'Scoring Model'!$A$5:$A$11,0)),0)</f>
        <v>0</v>
      </c>
      <c r="Y291" s="3" t="n">
        <f aca="false">IFERROR(INDEX('Scoring Model'!$E$5:$E$7,MATCH(F291,'Scoring Model'!$D$5:$D$7,0)),0)</f>
        <v>0</v>
      </c>
      <c r="Z291" s="3" t="n">
        <f aca="false">IFERROR(INDEX('Scoring Model'!$H$5:$H$13,MATCH(J291,'Scoring Model'!$G$5:$G$13,0)),0)</f>
        <v>0</v>
      </c>
      <c r="AA291" s="3" t="n">
        <f aca="false">IF(L291&gt;='Scoring Model'!$B$14,'Scoring Model'!$B$15,IF(L291&gt;='Scoring Model'!$B$16,'Scoring Model'!$B$17,0))</f>
        <v>0</v>
      </c>
      <c r="AB291" s="3" t="n">
        <f aca="false">IF(SUMPRODUCT(--ISNUMBER(SEARCH('Scoring Model'!$D$16:$D$25,K291)))&gt;0,'Scoring Model'!$B$18,0)</f>
        <v>0</v>
      </c>
      <c r="AC291" s="3" t="n">
        <f aca="false">IF(SUMPRODUCT(--ISNUMBER(SEARCH('Scoring Model'!$G$16:$G$23,K291)))&gt;0,'Scoring Model'!$B$19,0)</f>
        <v>0</v>
      </c>
      <c r="AD291" s="3" t="str">
        <f aca="false">IF(W291="Likely Spam","",SUM(X291:AC291))</f>
        <v/>
      </c>
      <c r="AE291" s="3" t="str">
        <f aca="false">IF(W291="Likely Spam","Spam",IF(AD291&gt;='Scoring Model'!$B$21,"Hot",IF(AD291&gt;='Scoring Model'!$B$22,"Warm","Nurture")))</f>
        <v>Spam</v>
      </c>
      <c r="AF291" s="3" t="str">
        <f aca="false">IF(W291="Likely Spam","Flagged by spam rules",TRIM(IF(X291&gt;=20,"Strong source. ","")&amp;IF(Y291&gt;0,"Company email. ","")&amp;IF(Z291&gt;=15,"High-value product. ","")&amp;IF(AA291&gt;='Scoring Model'!$B$15,"High engagement. ","")&amp;IF(AB291&gt;0,"Buying intent in message. ","")&amp;IF(AC291&lt;0,"Negative intent in message. ","")))</f>
        <v>Flagged by spam rules</v>
      </c>
      <c r="AG291" s="11" t="str">
        <f aca="false">IF(W291="Likely Spam","",1/(1+EXP(-('Conversion Model'!$B$5+IFERROR(INDEX('Conversion Model'!$B$8:$B$14,MATCH(C291,'Conversion Model'!$A$8:$A$14,0)),0)+IFERROR(INDEX('Conversion Model'!$E$8:$E$9,MATCH(F291,'Conversion Model'!$D$8:$D$9,0)),0)+IFERROR(INDEX('Conversion Model'!$H$8:$H$12,MATCH(IF(LEFT(J291,8)="Payments","Payments",IF(LEFT(J291,7)="Lending","Lending",J291)),'Conversion Model'!$G$8:$G$12,0)),0)+MIN(L291,15)*'Conversion Model'!$B$17+IF(SUMPRODUCT(--ISNUMBER(SEARCH('Scoring Model'!$D$16:$D$25,K291)))&gt;0,'Conversion Model'!$B$18,0)+IF(SUMPRODUCT(--ISNUMBER(SEARCH('Scoring Model'!$G$16:$G$23,K291)))&gt;0,'Conversion Model'!$B$19,0)))))</f>
        <v/>
      </c>
      <c r="AH291" s="3" t="str">
        <f aca="false">IF(OR(O291="Qualified",O291="Won",O291="Lost"),1,IF(O291="Unqualified",0,""))</f>
        <v/>
      </c>
    </row>
    <row r="292" customFormat="false" ht="15" hidden="false" customHeight="true" outlineLevel="0" collapsed="false">
      <c r="A292" s="3" t="s">
        <v>1207</v>
      </c>
      <c r="B292" s="9" t="n">
        <v>46065.4069444445</v>
      </c>
      <c r="C292" s="3" t="s">
        <v>51</v>
      </c>
      <c r="D292" s="3" t="s">
        <v>1208</v>
      </c>
      <c r="E292" s="3" t="s">
        <v>1209</v>
      </c>
      <c r="F292" s="3" t="s">
        <v>63</v>
      </c>
      <c r="G292" s="3"/>
      <c r="H292" s="3"/>
      <c r="I292" s="3" t="s">
        <v>73</v>
      </c>
      <c r="J292" s="3" t="s">
        <v>65</v>
      </c>
      <c r="K292" s="3" t="s">
        <v>66</v>
      </c>
      <c r="L292" s="3" t="n">
        <v>2</v>
      </c>
      <c r="M292" s="3" t="n">
        <v>62</v>
      </c>
      <c r="N292" s="3" t="s">
        <v>171</v>
      </c>
      <c r="O292" s="3"/>
      <c r="P292" s="10"/>
      <c r="Q292" s="3" t="n">
        <f aca="false">IF(F292="Disposable",1,0)</f>
        <v>1</v>
      </c>
      <c r="R292" s="3" t="n">
        <f aca="false">IF(SUMPRODUCT(--ISNUMBER(SEARCH('Spam Rules'!$A$22:$A$35,K292)))&gt;0,1,0)</f>
        <v>1</v>
      </c>
      <c r="S292" s="3" t="n">
        <f aca="false">IF(AND(F292="Free",G292=""),1,0)</f>
        <v>0</v>
      </c>
      <c r="T292" s="3" t="n">
        <f aca="false">IF(LEN(TRIM(K292))&lt;15,1,0)</f>
        <v>0</v>
      </c>
      <c r="U292" s="3" t="n">
        <f aca="false">IF(COUNTIF($E$2:$E$801,E292)&gt;1,1,0)</f>
        <v>1</v>
      </c>
      <c r="V292" s="3" t="n">
        <f aca="false">Q292*'Spam Rules'!$H$6+R292*'Spam Rules'!$H$7+S292*'Spam Rules'!$H$8+T292*'Spam Rules'!$H$9+U292*'Spam Rules'!$H$10</f>
        <v>2</v>
      </c>
      <c r="W292" s="3" t="str">
        <f aca="false">IF(V292&gt;='Spam Rules'!$B$3,"Likely Spam","Genuine")</f>
        <v>Likely Spam</v>
      </c>
      <c r="X292" s="3" t="n">
        <f aca="false">IFERROR(INDEX('Scoring Model'!$B$5:$B$11,MATCH(C292,'Scoring Model'!$A$5:$A$11,0)),0)</f>
        <v>10</v>
      </c>
      <c r="Y292" s="3" t="n">
        <f aca="false">IFERROR(INDEX('Scoring Model'!$E$5:$E$7,MATCH(F292,'Scoring Model'!$D$5:$D$7,0)),0)</f>
        <v>0</v>
      </c>
      <c r="Z292" s="3" t="n">
        <f aca="false">IFERROR(INDEX('Scoring Model'!$H$5:$H$13,MATCH(J292,'Scoring Model'!$G$5:$G$13,0)),0)</f>
        <v>0</v>
      </c>
      <c r="AA292" s="3" t="n">
        <f aca="false">IF(L292&gt;='Scoring Model'!$B$14,'Scoring Model'!$B$15,IF(L292&gt;='Scoring Model'!$B$16,'Scoring Model'!$B$17,0))</f>
        <v>0</v>
      </c>
      <c r="AB292" s="3" t="n">
        <f aca="false">IF(SUMPRODUCT(--ISNUMBER(SEARCH('Scoring Model'!$D$16:$D$25,K292)))&gt;0,'Scoring Model'!$B$18,0)</f>
        <v>0</v>
      </c>
      <c r="AC292" s="3" t="n">
        <f aca="false">IF(SUMPRODUCT(--ISNUMBER(SEARCH('Scoring Model'!$G$16:$G$23,K292)))&gt;0,'Scoring Model'!$B$19,0)</f>
        <v>0</v>
      </c>
      <c r="AD292" s="3" t="str">
        <f aca="false">IF(W292="Likely Spam","",SUM(X292:AC292))</f>
        <v/>
      </c>
      <c r="AE292" s="3" t="str">
        <f aca="false">IF(W292="Likely Spam","Spam",IF(AD292&gt;='Scoring Model'!$B$21,"Hot",IF(AD292&gt;='Scoring Model'!$B$22,"Warm","Nurture")))</f>
        <v>Spam</v>
      </c>
      <c r="AF292" s="3" t="str">
        <f aca="false">IF(W292="Likely Spam","Flagged by spam rules",TRIM(IF(X292&gt;=20,"Strong source. ","")&amp;IF(Y292&gt;0,"Company email. ","")&amp;IF(Z292&gt;=15,"High-value product. ","")&amp;IF(AA292&gt;='Scoring Model'!$B$15,"High engagement. ","")&amp;IF(AB292&gt;0,"Buying intent in message. ","")&amp;IF(AC292&lt;0,"Negative intent in message. ","")))</f>
        <v>Flagged by spam rules</v>
      </c>
      <c r="AG292" s="11" t="str">
        <f aca="false">IF(W292="Likely Spam","",1/(1+EXP(-('Conversion Model'!$B$5+IFERROR(INDEX('Conversion Model'!$B$8:$B$14,MATCH(C292,'Conversion Model'!$A$8:$A$14,0)),0)+IFERROR(INDEX('Conversion Model'!$E$8:$E$9,MATCH(F292,'Conversion Model'!$D$8:$D$9,0)),0)+IFERROR(INDEX('Conversion Model'!$H$8:$H$12,MATCH(IF(LEFT(J292,8)="Payments","Payments",IF(LEFT(J292,7)="Lending","Lending",J292)),'Conversion Model'!$G$8:$G$12,0)),0)+MIN(L292,15)*'Conversion Model'!$B$17+IF(SUMPRODUCT(--ISNUMBER(SEARCH('Scoring Model'!$D$16:$D$25,K292)))&gt;0,'Conversion Model'!$B$18,0)+IF(SUMPRODUCT(--ISNUMBER(SEARCH('Scoring Model'!$G$16:$G$23,K292)))&gt;0,'Conversion Model'!$B$19,0)))))</f>
        <v/>
      </c>
      <c r="AH292" s="3" t="str">
        <f aca="false">IF(OR(O292="Qualified",O292="Won",O292="Lost"),1,IF(O292="Unqualified",0,""))</f>
        <v/>
      </c>
    </row>
    <row r="293" customFormat="false" ht="15" hidden="false" customHeight="true" outlineLevel="0" collapsed="false">
      <c r="A293" s="3" t="s">
        <v>1210</v>
      </c>
      <c r="B293" s="9" t="n">
        <v>46066.0916666667</v>
      </c>
      <c r="C293" s="3" t="s">
        <v>51</v>
      </c>
      <c r="D293" s="3" t="s">
        <v>761</v>
      </c>
      <c r="E293" s="3" t="s">
        <v>1211</v>
      </c>
      <c r="F293" s="3" t="s">
        <v>22</v>
      </c>
      <c r="G293" s="3" t="s">
        <v>1212</v>
      </c>
      <c r="H293" s="3" t="s">
        <v>1213</v>
      </c>
      <c r="I293" s="3" t="s">
        <v>73</v>
      </c>
      <c r="J293" s="3" t="s">
        <v>145</v>
      </c>
      <c r="K293" s="3" t="s">
        <v>74</v>
      </c>
      <c r="L293" s="3" t="n">
        <v>2</v>
      </c>
      <c r="M293" s="3" t="n">
        <v>10.5</v>
      </c>
      <c r="N293" s="3" t="s">
        <v>171</v>
      </c>
      <c r="O293" s="3" t="s">
        <v>194</v>
      </c>
      <c r="P293" s="10"/>
      <c r="Q293" s="3" t="n">
        <f aca="false">IF(F293="Disposable",1,0)</f>
        <v>0</v>
      </c>
      <c r="R293" s="3" t="n">
        <f aca="false">IF(SUMPRODUCT(--ISNUMBER(SEARCH('Spam Rules'!$A$22:$A$35,K293)))&gt;0,1,0)</f>
        <v>0</v>
      </c>
      <c r="S293" s="3" t="n">
        <f aca="false">IF(AND(F293="Free",G293=""),1,0)</f>
        <v>0</v>
      </c>
      <c r="T293" s="3" t="n">
        <f aca="false">IF(LEN(TRIM(K293))&lt;15,1,0)</f>
        <v>0</v>
      </c>
      <c r="U293" s="3" t="n">
        <f aca="false">IF(COUNTIF($E$2:$E$801,E293)&gt;1,1,0)</f>
        <v>0</v>
      </c>
      <c r="V293" s="3" t="n">
        <f aca="false">Q293*'Spam Rules'!$H$6+R293*'Spam Rules'!$H$7+S293*'Spam Rules'!$H$8+T293*'Spam Rules'!$H$9+U293*'Spam Rules'!$H$10</f>
        <v>0</v>
      </c>
      <c r="W293" s="3" t="str">
        <f aca="false">IF(V293&gt;='Spam Rules'!$B$3,"Likely Spam","Genuine")</f>
        <v>Genuine</v>
      </c>
      <c r="X293" s="3" t="n">
        <f aca="false">IFERROR(INDEX('Scoring Model'!$B$5:$B$11,MATCH(C293,'Scoring Model'!$A$5:$A$11,0)),0)</f>
        <v>10</v>
      </c>
      <c r="Y293" s="3" t="n">
        <f aca="false">IFERROR(INDEX('Scoring Model'!$E$5:$E$7,MATCH(F293,'Scoring Model'!$D$5:$D$7,0)),0)</f>
        <v>20</v>
      </c>
      <c r="Z293" s="3" t="n">
        <f aca="false">IFERROR(INDEX('Scoring Model'!$H$5:$H$13,MATCH(J293,'Scoring Model'!$G$5:$G$13,0)),0)</f>
        <v>5</v>
      </c>
      <c r="AA293" s="3" t="n">
        <f aca="false">IF(L293&gt;='Scoring Model'!$B$14,'Scoring Model'!$B$15,IF(L293&gt;='Scoring Model'!$B$16,'Scoring Model'!$B$17,0))</f>
        <v>0</v>
      </c>
      <c r="AB293" s="3" t="n">
        <f aca="false">IF(SUMPRODUCT(--ISNUMBER(SEARCH('Scoring Model'!$D$16:$D$25,K293)))&gt;0,'Scoring Model'!$B$18,0)</f>
        <v>0</v>
      </c>
      <c r="AC293" s="3" t="n">
        <f aca="false">IF(SUMPRODUCT(--ISNUMBER(SEARCH('Scoring Model'!$G$16:$G$23,K293)))&gt;0,'Scoring Model'!$B$19,0)</f>
        <v>-30</v>
      </c>
      <c r="AD293" s="3" t="n">
        <f aca="false">IF(W293="Likely Spam","",SUM(X293:AC293))</f>
        <v>5</v>
      </c>
      <c r="AE293" s="3" t="str">
        <f aca="false">IF(W293="Likely Spam","Spam",IF(AD293&gt;='Scoring Model'!$B$21,"Hot",IF(AD293&gt;='Scoring Model'!$B$22,"Warm","Nurture")))</f>
        <v>Nurture</v>
      </c>
      <c r="AF293" s="3" t="str">
        <f aca="false">IF(W293="Likely Spam","Flagged by spam rules",TRIM(IF(X293&gt;=20,"Strong source. ","")&amp;IF(Y293&gt;0,"Company email. ","")&amp;IF(Z293&gt;=15,"High-value product. ","")&amp;IF(AA293&gt;='Scoring Model'!$B$15,"High engagement. ","")&amp;IF(AB293&gt;0,"Buying intent in message. ","")&amp;IF(AC293&lt;0,"Negative intent in message. ","")))</f>
        <v>Company email. Negative intent in message.</v>
      </c>
      <c r="AG293" s="11" t="n">
        <f aca="false">IF(W293="Likely Spam","",1/(1+EXP(-('Conversion Model'!$B$5+IFERROR(INDEX('Conversion Model'!$B$8:$B$14,MATCH(C293,'Conversion Model'!$A$8:$A$14,0)),0)+IFERROR(INDEX('Conversion Model'!$E$8:$E$9,MATCH(F293,'Conversion Model'!$D$8:$D$9,0)),0)+IFERROR(INDEX('Conversion Model'!$H$8:$H$12,MATCH(IF(LEFT(J293,8)="Payments","Payments",IF(LEFT(J293,7)="Lending","Lending",J293)),'Conversion Model'!$G$8:$G$12,0)),0)+MIN(L293,15)*'Conversion Model'!$B$17+IF(SUMPRODUCT(--ISNUMBER(SEARCH('Scoring Model'!$D$16:$D$25,K293)))&gt;0,'Conversion Model'!$B$18,0)+IF(SUMPRODUCT(--ISNUMBER(SEARCH('Scoring Model'!$G$16:$G$23,K293)))&gt;0,'Conversion Model'!$B$19,0)))))</f>
        <v>0.00691584673706392</v>
      </c>
      <c r="AH293" s="3" t="n">
        <f aca="false">IF(OR(O293="Qualified",O293="Won",O293="Lost"),1,IF(O293="Unqualified",0,""))</f>
        <v>0</v>
      </c>
    </row>
    <row r="294" customFormat="false" ht="15" hidden="false" customHeight="true" outlineLevel="0" collapsed="false">
      <c r="A294" s="3" t="s">
        <v>1214</v>
      </c>
      <c r="B294" s="9" t="n">
        <v>46066.225</v>
      </c>
      <c r="C294" s="3" t="s">
        <v>128</v>
      </c>
      <c r="D294" s="3" t="s">
        <v>516</v>
      </c>
      <c r="E294" s="3" t="s">
        <v>1215</v>
      </c>
      <c r="F294" s="3" t="s">
        <v>22</v>
      </c>
      <c r="G294" s="3" t="s">
        <v>1216</v>
      </c>
      <c r="H294" s="3" t="s">
        <v>1217</v>
      </c>
      <c r="I294" s="3" t="s">
        <v>227</v>
      </c>
      <c r="J294" s="3" t="s">
        <v>245</v>
      </c>
      <c r="K294" s="3" t="s">
        <v>355</v>
      </c>
      <c r="L294" s="3" t="n">
        <v>6</v>
      </c>
      <c r="M294" s="3" t="n">
        <v>20.3</v>
      </c>
      <c r="N294" s="3" t="s">
        <v>96</v>
      </c>
      <c r="O294" s="3" t="s">
        <v>110</v>
      </c>
      <c r="P294" s="10"/>
      <c r="Q294" s="3" t="n">
        <f aca="false">IF(F294="Disposable",1,0)</f>
        <v>0</v>
      </c>
      <c r="R294" s="3" t="n">
        <f aca="false">IF(SUMPRODUCT(--ISNUMBER(SEARCH('Spam Rules'!$A$22:$A$35,K294)))&gt;0,1,0)</f>
        <v>0</v>
      </c>
      <c r="S294" s="3" t="n">
        <f aca="false">IF(AND(F294="Free",G294=""),1,0)</f>
        <v>0</v>
      </c>
      <c r="T294" s="3" t="n">
        <f aca="false">IF(LEN(TRIM(K294))&lt;15,1,0)</f>
        <v>0</v>
      </c>
      <c r="U294" s="3" t="n">
        <f aca="false">IF(COUNTIF($E$2:$E$801,E294)&gt;1,1,0)</f>
        <v>0</v>
      </c>
      <c r="V294" s="3" t="n">
        <f aca="false">Q294*'Spam Rules'!$H$6+R294*'Spam Rules'!$H$7+S294*'Spam Rules'!$H$8+T294*'Spam Rules'!$H$9+U294*'Spam Rules'!$H$10</f>
        <v>0</v>
      </c>
      <c r="W294" s="3" t="str">
        <f aca="false">IF(V294&gt;='Spam Rules'!$B$3,"Likely Spam","Genuine")</f>
        <v>Genuine</v>
      </c>
      <c r="X294" s="3" t="n">
        <f aca="false">IFERROR(INDEX('Scoring Model'!$B$5:$B$11,MATCH(C294,'Scoring Model'!$A$5:$A$11,0)),0)</f>
        <v>30</v>
      </c>
      <c r="Y294" s="3" t="n">
        <f aca="false">IFERROR(INDEX('Scoring Model'!$E$5:$E$7,MATCH(F294,'Scoring Model'!$D$5:$D$7,0)),0)</f>
        <v>20</v>
      </c>
      <c r="Z294" s="3" t="n">
        <f aca="false">IFERROR(INDEX('Scoring Model'!$H$5:$H$13,MATCH(J294,'Scoring Model'!$G$5:$G$13,0)),0)</f>
        <v>15</v>
      </c>
      <c r="AA294" s="3" t="n">
        <f aca="false">IF(L294&gt;='Scoring Model'!$B$14,'Scoring Model'!$B$15,IF(L294&gt;='Scoring Model'!$B$16,'Scoring Model'!$B$17,0))</f>
        <v>8</v>
      </c>
      <c r="AB294" s="3" t="n">
        <f aca="false">IF(SUMPRODUCT(--ISNUMBER(SEARCH('Scoring Model'!$D$16:$D$25,K294)))&gt;0,'Scoring Model'!$B$18,0)</f>
        <v>15</v>
      </c>
      <c r="AC294" s="3" t="n">
        <f aca="false">IF(SUMPRODUCT(--ISNUMBER(SEARCH('Scoring Model'!$G$16:$G$23,K294)))&gt;0,'Scoring Model'!$B$19,0)</f>
        <v>0</v>
      </c>
      <c r="AD294" s="3" t="n">
        <f aca="false">IF(W294="Likely Spam","",SUM(X294:AC294))</f>
        <v>88</v>
      </c>
      <c r="AE294" s="3" t="str">
        <f aca="false">IF(W294="Likely Spam","Spam",IF(AD294&gt;='Scoring Model'!$B$21,"Hot",IF(AD294&gt;='Scoring Model'!$B$22,"Warm","Nurture")))</f>
        <v>Hot</v>
      </c>
      <c r="AF294" s="3" t="str">
        <f aca="false">IF(W294="Likely Spam","Flagged by spam rules",TRIM(IF(X294&gt;=20,"Strong source. ","")&amp;IF(Y294&gt;0,"Company email. ","")&amp;IF(Z294&gt;=15,"High-value product. ","")&amp;IF(AA294&gt;='Scoring Model'!$B$15,"High engagement. ","")&amp;IF(AB294&gt;0,"Buying intent in message. ","")&amp;IF(AC294&lt;0,"Negative intent in message. ","")))</f>
        <v>Strong source. Company email. High-value product. Buying intent in message.</v>
      </c>
      <c r="AG294" s="11" t="n">
        <f aca="false">IF(W294="Likely Spam","",1/(1+EXP(-('Conversion Model'!$B$5+IFERROR(INDEX('Conversion Model'!$B$8:$B$14,MATCH(C294,'Conversion Model'!$A$8:$A$14,0)),0)+IFERROR(INDEX('Conversion Model'!$E$8:$E$9,MATCH(F294,'Conversion Model'!$D$8:$D$9,0)),0)+IFERROR(INDEX('Conversion Model'!$H$8:$H$12,MATCH(IF(LEFT(J294,8)="Payments","Payments",IF(LEFT(J294,7)="Lending","Lending",J294)),'Conversion Model'!$G$8:$G$12,0)),0)+MIN(L294,15)*'Conversion Model'!$B$17+IF(SUMPRODUCT(--ISNUMBER(SEARCH('Scoring Model'!$D$16:$D$25,K294)))&gt;0,'Conversion Model'!$B$18,0)+IF(SUMPRODUCT(--ISNUMBER(SEARCH('Scoring Model'!$G$16:$G$23,K294)))&gt;0,'Conversion Model'!$B$19,0)))))</f>
        <v>0.976293176292401</v>
      </c>
      <c r="AH294" s="3" t="n">
        <f aca="false">IF(OR(O294="Qualified",O294="Won",O294="Lost"),1,IF(O294="Unqualified",0,""))</f>
        <v>1</v>
      </c>
    </row>
    <row r="295" customFormat="false" ht="15" hidden="false" customHeight="true" outlineLevel="0" collapsed="false">
      <c r="A295" s="3" t="s">
        <v>1218</v>
      </c>
      <c r="B295" s="9" t="n">
        <v>46066.9319444444</v>
      </c>
      <c r="C295" s="3" t="s">
        <v>51</v>
      </c>
      <c r="D295" s="3" t="s">
        <v>1219</v>
      </c>
      <c r="E295" s="3" t="s">
        <v>1220</v>
      </c>
      <c r="F295" s="3" t="s">
        <v>54</v>
      </c>
      <c r="G295" s="3" t="s">
        <v>1221</v>
      </c>
      <c r="H295" s="3"/>
      <c r="I295" s="3" t="s">
        <v>94</v>
      </c>
      <c r="J295" s="3" t="s">
        <v>65</v>
      </c>
      <c r="K295" s="3" t="s">
        <v>349</v>
      </c>
      <c r="L295" s="3" t="n">
        <v>3</v>
      </c>
      <c r="M295" s="3" t="n">
        <v>21.6</v>
      </c>
      <c r="N295" s="3" t="s">
        <v>171</v>
      </c>
      <c r="O295" s="3" t="s">
        <v>194</v>
      </c>
      <c r="P295" s="10"/>
      <c r="Q295" s="3" t="n">
        <f aca="false">IF(F295="Disposable",1,0)</f>
        <v>0</v>
      </c>
      <c r="R295" s="3" t="n">
        <f aca="false">IF(SUMPRODUCT(--ISNUMBER(SEARCH('Spam Rules'!$A$22:$A$35,K295)))&gt;0,1,0)</f>
        <v>0</v>
      </c>
      <c r="S295" s="3" t="n">
        <f aca="false">IF(AND(F295="Free",G295=""),1,0)</f>
        <v>0</v>
      </c>
      <c r="T295" s="3" t="n">
        <f aca="false">IF(LEN(TRIM(K295))&lt;15,1,0)</f>
        <v>0</v>
      </c>
      <c r="U295" s="3" t="n">
        <f aca="false">IF(COUNTIF($E$2:$E$801,E295)&gt;1,1,0)</f>
        <v>0</v>
      </c>
      <c r="V295" s="3" t="n">
        <f aca="false">Q295*'Spam Rules'!$H$6+R295*'Spam Rules'!$H$7+S295*'Spam Rules'!$H$8+T295*'Spam Rules'!$H$9+U295*'Spam Rules'!$H$10</f>
        <v>0</v>
      </c>
      <c r="W295" s="3" t="str">
        <f aca="false">IF(V295&gt;='Spam Rules'!$B$3,"Likely Spam","Genuine")</f>
        <v>Genuine</v>
      </c>
      <c r="X295" s="3" t="n">
        <f aca="false">IFERROR(INDEX('Scoring Model'!$B$5:$B$11,MATCH(C295,'Scoring Model'!$A$5:$A$11,0)),0)</f>
        <v>10</v>
      </c>
      <c r="Y295" s="3" t="n">
        <f aca="false">IFERROR(INDEX('Scoring Model'!$E$5:$E$7,MATCH(F295,'Scoring Model'!$D$5:$D$7,0)),0)</f>
        <v>0</v>
      </c>
      <c r="Z295" s="3" t="n">
        <f aca="false">IFERROR(INDEX('Scoring Model'!$H$5:$H$13,MATCH(J295,'Scoring Model'!$G$5:$G$13,0)),0)</f>
        <v>0</v>
      </c>
      <c r="AA295" s="3" t="n">
        <f aca="false">IF(L295&gt;='Scoring Model'!$B$14,'Scoring Model'!$B$15,IF(L295&gt;='Scoring Model'!$B$16,'Scoring Model'!$B$17,0))</f>
        <v>0</v>
      </c>
      <c r="AB295" s="3" t="n">
        <f aca="false">IF(SUMPRODUCT(--ISNUMBER(SEARCH('Scoring Model'!$D$16:$D$25,K295)))&gt;0,'Scoring Model'!$B$18,0)</f>
        <v>0</v>
      </c>
      <c r="AC295" s="3" t="n">
        <f aca="false">IF(SUMPRODUCT(--ISNUMBER(SEARCH('Scoring Model'!$G$16:$G$23,K295)))&gt;0,'Scoring Model'!$B$19,0)</f>
        <v>-30</v>
      </c>
      <c r="AD295" s="3" t="n">
        <f aca="false">IF(W295="Likely Spam","",SUM(X295:AC295))</f>
        <v>-20</v>
      </c>
      <c r="AE295" s="3" t="str">
        <f aca="false">IF(W295="Likely Spam","Spam",IF(AD295&gt;='Scoring Model'!$B$21,"Hot",IF(AD295&gt;='Scoring Model'!$B$22,"Warm","Nurture")))</f>
        <v>Nurture</v>
      </c>
      <c r="AF295" s="3" t="str">
        <f aca="false">IF(W295="Likely Spam","Flagged by spam rules",TRIM(IF(X295&gt;=20,"Strong source. ","")&amp;IF(Y295&gt;0,"Company email. ","")&amp;IF(Z295&gt;=15,"High-value product. ","")&amp;IF(AA295&gt;='Scoring Model'!$B$15,"High engagement. ","")&amp;IF(AB295&gt;0,"Buying intent in message. ","")&amp;IF(AC295&lt;0,"Negative intent in message. ","")))</f>
        <v>Negative intent in message.</v>
      </c>
      <c r="AG295" s="11" t="n">
        <f aca="false">IF(W295="Likely Spam","",1/(1+EXP(-('Conversion Model'!$B$5+IFERROR(INDEX('Conversion Model'!$B$8:$B$14,MATCH(C295,'Conversion Model'!$A$8:$A$14,0)),0)+IFERROR(INDEX('Conversion Model'!$E$8:$E$9,MATCH(F295,'Conversion Model'!$D$8:$D$9,0)),0)+IFERROR(INDEX('Conversion Model'!$H$8:$H$12,MATCH(IF(LEFT(J295,8)="Payments","Payments",IF(LEFT(J295,7)="Lending","Lending",J295)),'Conversion Model'!$G$8:$G$12,0)),0)+MIN(L295,15)*'Conversion Model'!$B$17+IF(SUMPRODUCT(--ISNUMBER(SEARCH('Scoring Model'!$D$16:$D$25,K295)))&gt;0,'Conversion Model'!$B$18,0)+IF(SUMPRODUCT(--ISNUMBER(SEARCH('Scoring Model'!$G$16:$G$23,K295)))&gt;0,'Conversion Model'!$B$19,0)))))</f>
        <v>0.00459582764434478</v>
      </c>
      <c r="AH295" s="3" t="n">
        <f aca="false">IF(OR(O295="Qualified",O295="Won",O295="Lost"),1,IF(O295="Unqualified",0,""))</f>
        <v>0</v>
      </c>
    </row>
    <row r="296" customFormat="false" ht="15" hidden="false" customHeight="true" outlineLevel="0" collapsed="false">
      <c r="A296" s="3" t="s">
        <v>1222</v>
      </c>
      <c r="B296" s="9" t="n">
        <v>46066.9951388889</v>
      </c>
      <c r="C296" s="3" t="s">
        <v>76</v>
      </c>
      <c r="D296" s="3" t="s">
        <v>1223</v>
      </c>
      <c r="E296" s="3" t="s">
        <v>1224</v>
      </c>
      <c r="F296" s="3" t="s">
        <v>63</v>
      </c>
      <c r="G296" s="3"/>
      <c r="H296" s="3"/>
      <c r="I296" s="3" t="s">
        <v>94</v>
      </c>
      <c r="J296" s="3" t="s">
        <v>81</v>
      </c>
      <c r="K296" s="3" t="s">
        <v>66</v>
      </c>
      <c r="L296" s="3" t="n">
        <v>1</v>
      </c>
      <c r="M296" s="3" t="n">
        <v>23.9</v>
      </c>
      <c r="N296" s="3" t="s">
        <v>67</v>
      </c>
      <c r="O296" s="3" t="s">
        <v>68</v>
      </c>
      <c r="P296" s="10"/>
      <c r="Q296" s="3" t="n">
        <f aca="false">IF(F296="Disposable",1,0)</f>
        <v>1</v>
      </c>
      <c r="R296" s="3" t="n">
        <f aca="false">IF(SUMPRODUCT(--ISNUMBER(SEARCH('Spam Rules'!$A$22:$A$35,K296)))&gt;0,1,0)</f>
        <v>1</v>
      </c>
      <c r="S296" s="3" t="n">
        <f aca="false">IF(AND(F296="Free",G296=""),1,0)</f>
        <v>0</v>
      </c>
      <c r="T296" s="3" t="n">
        <f aca="false">IF(LEN(TRIM(K296))&lt;15,1,0)</f>
        <v>0</v>
      </c>
      <c r="U296" s="3" t="n">
        <f aca="false">IF(COUNTIF($E$2:$E$801,E296)&gt;1,1,0)</f>
        <v>0</v>
      </c>
      <c r="V296" s="3" t="n">
        <f aca="false">Q296*'Spam Rules'!$H$6+R296*'Spam Rules'!$H$7+S296*'Spam Rules'!$H$8+T296*'Spam Rules'!$H$9+U296*'Spam Rules'!$H$10</f>
        <v>2</v>
      </c>
      <c r="W296" s="3" t="str">
        <f aca="false">IF(V296&gt;='Spam Rules'!$B$3,"Likely Spam","Genuine")</f>
        <v>Likely Spam</v>
      </c>
      <c r="X296" s="3" t="n">
        <f aca="false">IFERROR(INDEX('Scoring Model'!$B$5:$B$11,MATCH(C296,'Scoring Model'!$A$5:$A$11,0)),0)</f>
        <v>0</v>
      </c>
      <c r="Y296" s="3" t="n">
        <f aca="false">IFERROR(INDEX('Scoring Model'!$E$5:$E$7,MATCH(F296,'Scoring Model'!$D$5:$D$7,0)),0)</f>
        <v>0</v>
      </c>
      <c r="Z296" s="3" t="n">
        <f aca="false">IFERROR(INDEX('Scoring Model'!$H$5:$H$13,MATCH(J296,'Scoring Model'!$G$5:$G$13,0)),0)</f>
        <v>5</v>
      </c>
      <c r="AA296" s="3" t="n">
        <f aca="false">IF(L296&gt;='Scoring Model'!$B$14,'Scoring Model'!$B$15,IF(L296&gt;='Scoring Model'!$B$16,'Scoring Model'!$B$17,0))</f>
        <v>0</v>
      </c>
      <c r="AB296" s="3" t="n">
        <f aca="false">IF(SUMPRODUCT(--ISNUMBER(SEARCH('Scoring Model'!$D$16:$D$25,K296)))&gt;0,'Scoring Model'!$B$18,0)</f>
        <v>0</v>
      </c>
      <c r="AC296" s="3" t="n">
        <f aca="false">IF(SUMPRODUCT(--ISNUMBER(SEARCH('Scoring Model'!$G$16:$G$23,K296)))&gt;0,'Scoring Model'!$B$19,0)</f>
        <v>0</v>
      </c>
      <c r="AD296" s="3" t="str">
        <f aca="false">IF(W296="Likely Spam","",SUM(X296:AC296))</f>
        <v/>
      </c>
      <c r="AE296" s="3" t="str">
        <f aca="false">IF(W296="Likely Spam","Spam",IF(AD296&gt;='Scoring Model'!$B$21,"Hot",IF(AD296&gt;='Scoring Model'!$B$22,"Warm","Nurture")))</f>
        <v>Spam</v>
      </c>
      <c r="AF296" s="3" t="str">
        <f aca="false">IF(W296="Likely Spam","Flagged by spam rules",TRIM(IF(X296&gt;=20,"Strong source. ","")&amp;IF(Y296&gt;0,"Company email. ","")&amp;IF(Z296&gt;=15,"High-value product. ","")&amp;IF(AA296&gt;='Scoring Model'!$B$15,"High engagement. ","")&amp;IF(AB296&gt;0,"Buying intent in message. ","")&amp;IF(AC296&lt;0,"Negative intent in message. ","")))</f>
        <v>Flagged by spam rules</v>
      </c>
      <c r="AG296" s="11" t="str">
        <f aca="false">IF(W296="Likely Spam","",1/(1+EXP(-('Conversion Model'!$B$5+IFERROR(INDEX('Conversion Model'!$B$8:$B$14,MATCH(C296,'Conversion Model'!$A$8:$A$14,0)),0)+IFERROR(INDEX('Conversion Model'!$E$8:$E$9,MATCH(F296,'Conversion Model'!$D$8:$D$9,0)),0)+IFERROR(INDEX('Conversion Model'!$H$8:$H$12,MATCH(IF(LEFT(J296,8)="Payments","Payments",IF(LEFT(J296,7)="Lending","Lending",J296)),'Conversion Model'!$G$8:$G$12,0)),0)+MIN(L296,15)*'Conversion Model'!$B$17+IF(SUMPRODUCT(--ISNUMBER(SEARCH('Scoring Model'!$D$16:$D$25,K296)))&gt;0,'Conversion Model'!$B$18,0)+IF(SUMPRODUCT(--ISNUMBER(SEARCH('Scoring Model'!$G$16:$G$23,K296)))&gt;0,'Conversion Model'!$B$19,0)))))</f>
        <v/>
      </c>
      <c r="AH296" s="3" t="str">
        <f aca="false">IF(OR(O296="Qualified",O296="Won",O296="Lost"),1,IF(O296="Unqualified",0,""))</f>
        <v/>
      </c>
    </row>
    <row r="297" customFormat="false" ht="15" hidden="false" customHeight="true" outlineLevel="0" collapsed="false">
      <c r="A297" s="3" t="s">
        <v>1225</v>
      </c>
      <c r="B297" s="9" t="n">
        <v>46067.5208333333</v>
      </c>
      <c r="C297" s="3" t="s">
        <v>135</v>
      </c>
      <c r="D297" s="3" t="s">
        <v>981</v>
      </c>
      <c r="E297" s="3" t="s">
        <v>1226</v>
      </c>
      <c r="F297" s="3" t="s">
        <v>54</v>
      </c>
      <c r="G297" s="3"/>
      <c r="H297" s="3"/>
      <c r="I297" s="3" t="s">
        <v>64</v>
      </c>
      <c r="J297" s="3" t="s">
        <v>145</v>
      </c>
      <c r="K297" s="3" t="s">
        <v>213</v>
      </c>
      <c r="L297" s="3" t="n">
        <v>4</v>
      </c>
      <c r="M297" s="3" t="n">
        <v>10.7</v>
      </c>
      <c r="N297" s="3" t="s">
        <v>171</v>
      </c>
      <c r="O297" s="3" t="s">
        <v>194</v>
      </c>
      <c r="P297" s="10"/>
      <c r="Q297" s="3" t="n">
        <f aca="false">IF(F297="Disposable",1,0)</f>
        <v>0</v>
      </c>
      <c r="R297" s="3" t="n">
        <f aca="false">IF(SUMPRODUCT(--ISNUMBER(SEARCH('Spam Rules'!$A$22:$A$35,K297)))&gt;0,1,0)</f>
        <v>0</v>
      </c>
      <c r="S297" s="3" t="n">
        <f aca="false">IF(AND(F297="Free",G297=""),1,0)</f>
        <v>1</v>
      </c>
      <c r="T297" s="3" t="n">
        <f aca="false">IF(LEN(TRIM(K297))&lt;15,1,0)</f>
        <v>0</v>
      </c>
      <c r="U297" s="3" t="n">
        <f aca="false">IF(COUNTIF($E$2:$E$801,E297)&gt;1,1,0)</f>
        <v>1</v>
      </c>
      <c r="V297" s="3" t="n">
        <f aca="false">Q297*'Spam Rules'!$H$6+R297*'Spam Rules'!$H$7+S297*'Spam Rules'!$H$8+T297*'Spam Rules'!$H$9+U297*'Spam Rules'!$H$10</f>
        <v>0</v>
      </c>
      <c r="W297" s="3" t="str">
        <f aca="false">IF(V297&gt;='Spam Rules'!$B$3,"Likely Spam","Genuine")</f>
        <v>Genuine</v>
      </c>
      <c r="X297" s="3" t="n">
        <f aca="false">IFERROR(INDEX('Scoring Model'!$B$5:$B$11,MATCH(C297,'Scoring Model'!$A$5:$A$11,0)),0)</f>
        <v>20</v>
      </c>
      <c r="Y297" s="3" t="n">
        <f aca="false">IFERROR(INDEX('Scoring Model'!$E$5:$E$7,MATCH(F297,'Scoring Model'!$D$5:$D$7,0)),0)</f>
        <v>0</v>
      </c>
      <c r="Z297" s="3" t="n">
        <f aca="false">IFERROR(INDEX('Scoring Model'!$H$5:$H$13,MATCH(J297,'Scoring Model'!$G$5:$G$13,0)),0)</f>
        <v>5</v>
      </c>
      <c r="AA297" s="3" t="n">
        <f aca="false">IF(L297&gt;='Scoring Model'!$B$14,'Scoring Model'!$B$15,IF(L297&gt;='Scoring Model'!$B$16,'Scoring Model'!$B$17,0))</f>
        <v>8</v>
      </c>
      <c r="AB297" s="3" t="n">
        <f aca="false">IF(SUMPRODUCT(--ISNUMBER(SEARCH('Scoring Model'!$D$16:$D$25,K297)))&gt;0,'Scoring Model'!$B$18,0)</f>
        <v>0</v>
      </c>
      <c r="AC297" s="3" t="n">
        <f aca="false">IF(SUMPRODUCT(--ISNUMBER(SEARCH('Scoring Model'!$G$16:$G$23,K297)))&gt;0,'Scoring Model'!$B$19,0)</f>
        <v>-30</v>
      </c>
      <c r="AD297" s="3" t="n">
        <f aca="false">IF(W297="Likely Spam","",SUM(X297:AC297))</f>
        <v>3</v>
      </c>
      <c r="AE297" s="3" t="str">
        <f aca="false">IF(W297="Likely Spam","Spam",IF(AD297&gt;='Scoring Model'!$B$21,"Hot",IF(AD297&gt;='Scoring Model'!$B$22,"Warm","Nurture")))</f>
        <v>Nurture</v>
      </c>
      <c r="AF297" s="3" t="str">
        <f aca="false">IF(W297="Likely Spam","Flagged by spam rules",TRIM(IF(X297&gt;=20,"Strong source. ","")&amp;IF(Y297&gt;0,"Company email. ","")&amp;IF(Z297&gt;=15,"High-value product. ","")&amp;IF(AA297&gt;='Scoring Model'!$B$15,"High engagement. ","")&amp;IF(AB297&gt;0,"Buying intent in message. ","")&amp;IF(AC297&lt;0,"Negative intent in message. ","")))</f>
        <v>Strong source. Negative intent in message.</v>
      </c>
      <c r="AG297" s="11" t="n">
        <f aca="false">IF(W297="Likely Spam","",1/(1+EXP(-('Conversion Model'!$B$5+IFERROR(INDEX('Conversion Model'!$B$8:$B$14,MATCH(C297,'Conversion Model'!$A$8:$A$14,0)),0)+IFERROR(INDEX('Conversion Model'!$E$8:$E$9,MATCH(F297,'Conversion Model'!$D$8:$D$9,0)),0)+IFERROR(INDEX('Conversion Model'!$H$8:$H$12,MATCH(IF(LEFT(J297,8)="Payments","Payments",IF(LEFT(J297,7)="Lending","Lending",J297)),'Conversion Model'!$G$8:$G$12,0)),0)+MIN(L297,15)*'Conversion Model'!$B$17+IF(SUMPRODUCT(--ISNUMBER(SEARCH('Scoring Model'!$D$16:$D$25,K297)))&gt;0,'Conversion Model'!$B$18,0)+IF(SUMPRODUCT(--ISNUMBER(SEARCH('Scoring Model'!$G$16:$G$23,K297)))&gt;0,'Conversion Model'!$B$19,0)))))</f>
        <v>0.033310650865359</v>
      </c>
      <c r="AH297" s="3" t="n">
        <f aca="false">IF(OR(O297="Qualified",O297="Won",O297="Lost"),1,IF(O297="Unqualified",0,""))</f>
        <v>0</v>
      </c>
    </row>
    <row r="298" customFormat="false" ht="15" hidden="false" customHeight="true" outlineLevel="0" collapsed="false">
      <c r="A298" s="3" t="s">
        <v>1227</v>
      </c>
      <c r="B298" s="9" t="n">
        <v>46067.5791666667</v>
      </c>
      <c r="C298" s="3" t="s">
        <v>51</v>
      </c>
      <c r="D298" s="3" t="s">
        <v>1048</v>
      </c>
      <c r="E298" s="3" t="s">
        <v>1228</v>
      </c>
      <c r="F298" s="3" t="s">
        <v>54</v>
      </c>
      <c r="G298" s="3" t="s">
        <v>237</v>
      </c>
      <c r="H298" s="3"/>
      <c r="I298" s="3" t="s">
        <v>227</v>
      </c>
      <c r="J298" s="3" t="s">
        <v>122</v>
      </c>
      <c r="K298" s="3" t="s">
        <v>239</v>
      </c>
      <c r="L298" s="3" t="n">
        <v>2</v>
      </c>
      <c r="M298" s="3" t="n">
        <v>9.5</v>
      </c>
      <c r="N298" s="3" t="s">
        <v>67</v>
      </c>
      <c r="O298" s="3" t="s">
        <v>68</v>
      </c>
      <c r="P298" s="10"/>
      <c r="Q298" s="3" t="n">
        <f aca="false">IF(F298="Disposable",1,0)</f>
        <v>0</v>
      </c>
      <c r="R298" s="3" t="n">
        <f aca="false">IF(SUMPRODUCT(--ISNUMBER(SEARCH('Spam Rules'!$A$22:$A$35,K298)))&gt;0,1,0)</f>
        <v>1</v>
      </c>
      <c r="S298" s="3" t="n">
        <f aca="false">IF(AND(F298="Free",G298=""),1,0)</f>
        <v>0</v>
      </c>
      <c r="T298" s="3" t="n">
        <f aca="false">IF(LEN(TRIM(K298))&lt;15,1,0)</f>
        <v>0</v>
      </c>
      <c r="U298" s="3" t="n">
        <f aca="false">IF(COUNTIF($E$2:$E$801,E298)&gt;1,1,0)</f>
        <v>0</v>
      </c>
      <c r="V298" s="3" t="n">
        <f aca="false">Q298*'Spam Rules'!$H$6+R298*'Spam Rules'!$H$7+S298*'Spam Rules'!$H$8+T298*'Spam Rules'!$H$9+U298*'Spam Rules'!$H$10</f>
        <v>1</v>
      </c>
      <c r="W298" s="3" t="str">
        <f aca="false">IF(V298&gt;='Spam Rules'!$B$3,"Likely Spam","Genuine")</f>
        <v>Likely Spam</v>
      </c>
      <c r="X298" s="3" t="n">
        <f aca="false">IFERROR(INDEX('Scoring Model'!$B$5:$B$11,MATCH(C298,'Scoring Model'!$A$5:$A$11,0)),0)</f>
        <v>10</v>
      </c>
      <c r="Y298" s="3" t="n">
        <f aca="false">IFERROR(INDEX('Scoring Model'!$E$5:$E$7,MATCH(F298,'Scoring Model'!$D$5:$D$7,0)),0)</f>
        <v>0</v>
      </c>
      <c r="Z298" s="3" t="n">
        <f aca="false">IFERROR(INDEX('Scoring Model'!$H$5:$H$13,MATCH(J298,'Scoring Model'!$G$5:$G$13,0)),0)</f>
        <v>15</v>
      </c>
      <c r="AA298" s="3" t="n">
        <f aca="false">IF(L298&gt;='Scoring Model'!$B$14,'Scoring Model'!$B$15,IF(L298&gt;='Scoring Model'!$B$16,'Scoring Model'!$B$17,0))</f>
        <v>0</v>
      </c>
      <c r="AB298" s="3" t="n">
        <f aca="false">IF(SUMPRODUCT(--ISNUMBER(SEARCH('Scoring Model'!$D$16:$D$25,K298)))&gt;0,'Scoring Model'!$B$18,0)</f>
        <v>0</v>
      </c>
      <c r="AC298" s="3" t="n">
        <f aca="false">IF(SUMPRODUCT(--ISNUMBER(SEARCH('Scoring Model'!$G$16:$G$23,K298)))&gt;0,'Scoring Model'!$B$19,0)</f>
        <v>0</v>
      </c>
      <c r="AD298" s="3" t="str">
        <f aca="false">IF(W298="Likely Spam","",SUM(X298:AC298))</f>
        <v/>
      </c>
      <c r="AE298" s="3" t="str">
        <f aca="false">IF(W298="Likely Spam","Spam",IF(AD298&gt;='Scoring Model'!$B$21,"Hot",IF(AD298&gt;='Scoring Model'!$B$22,"Warm","Nurture")))</f>
        <v>Spam</v>
      </c>
      <c r="AF298" s="3" t="str">
        <f aca="false">IF(W298="Likely Spam","Flagged by spam rules",TRIM(IF(X298&gt;=20,"Strong source. ","")&amp;IF(Y298&gt;0,"Company email. ","")&amp;IF(Z298&gt;=15,"High-value product. ","")&amp;IF(AA298&gt;='Scoring Model'!$B$15,"High engagement. ","")&amp;IF(AB298&gt;0,"Buying intent in message. ","")&amp;IF(AC298&lt;0,"Negative intent in message. ","")))</f>
        <v>Flagged by spam rules</v>
      </c>
      <c r="AG298" s="11" t="str">
        <f aca="false">IF(W298="Likely Spam","",1/(1+EXP(-('Conversion Model'!$B$5+IFERROR(INDEX('Conversion Model'!$B$8:$B$14,MATCH(C298,'Conversion Model'!$A$8:$A$14,0)),0)+IFERROR(INDEX('Conversion Model'!$E$8:$E$9,MATCH(F298,'Conversion Model'!$D$8:$D$9,0)),0)+IFERROR(INDEX('Conversion Model'!$H$8:$H$12,MATCH(IF(LEFT(J298,8)="Payments","Payments",IF(LEFT(J298,7)="Lending","Lending",J298)),'Conversion Model'!$G$8:$G$12,0)),0)+MIN(L298,15)*'Conversion Model'!$B$17+IF(SUMPRODUCT(--ISNUMBER(SEARCH('Scoring Model'!$D$16:$D$25,K298)))&gt;0,'Conversion Model'!$B$18,0)+IF(SUMPRODUCT(--ISNUMBER(SEARCH('Scoring Model'!$G$16:$G$23,K298)))&gt;0,'Conversion Model'!$B$19,0)))))</f>
        <v/>
      </c>
      <c r="AH298" s="3" t="str">
        <f aca="false">IF(OR(O298="Qualified",O298="Won",O298="Lost"),1,IF(O298="Unqualified",0,""))</f>
        <v/>
      </c>
    </row>
    <row r="299" customFormat="false" ht="15" hidden="false" customHeight="true" outlineLevel="0" collapsed="false">
      <c r="A299" s="3" t="s">
        <v>1229</v>
      </c>
      <c r="B299" s="9" t="n">
        <v>46067.6208333333</v>
      </c>
      <c r="C299" s="3" t="s">
        <v>160</v>
      </c>
      <c r="D299" s="3" t="s">
        <v>1230</v>
      </c>
      <c r="E299" s="3" t="s">
        <v>1231</v>
      </c>
      <c r="F299" s="3" t="s">
        <v>54</v>
      </c>
      <c r="G299" s="3" t="s">
        <v>1232</v>
      </c>
      <c r="H299" s="3"/>
      <c r="I299" s="3" t="s">
        <v>94</v>
      </c>
      <c r="J299" s="3" t="s">
        <v>165</v>
      </c>
      <c r="K299" s="3" t="s">
        <v>1233</v>
      </c>
      <c r="L299" s="3" t="n">
        <v>1</v>
      </c>
      <c r="M299" s="3" t="n">
        <v>61.8</v>
      </c>
      <c r="N299" s="3" t="s">
        <v>67</v>
      </c>
      <c r="O299" s="3" t="s">
        <v>194</v>
      </c>
      <c r="P299" s="10"/>
      <c r="Q299" s="3" t="n">
        <f aca="false">IF(F299="Disposable",1,0)</f>
        <v>0</v>
      </c>
      <c r="R299" s="3" t="n">
        <f aca="false">IF(SUMPRODUCT(--ISNUMBER(SEARCH('Spam Rules'!$A$22:$A$35,K299)))&gt;0,1,0)</f>
        <v>0</v>
      </c>
      <c r="S299" s="3" t="n">
        <f aca="false">IF(AND(F299="Free",G299=""),1,0)</f>
        <v>0</v>
      </c>
      <c r="T299" s="3" t="n">
        <f aca="false">IF(LEN(TRIM(K299))&lt;15,1,0)</f>
        <v>0</v>
      </c>
      <c r="U299" s="3" t="n">
        <f aca="false">IF(COUNTIF($E$2:$E$801,E299)&gt;1,1,0)</f>
        <v>0</v>
      </c>
      <c r="V299" s="3" t="n">
        <f aca="false">Q299*'Spam Rules'!$H$6+R299*'Spam Rules'!$H$7+S299*'Spam Rules'!$H$8+T299*'Spam Rules'!$H$9+U299*'Spam Rules'!$H$10</f>
        <v>0</v>
      </c>
      <c r="W299" s="3" t="str">
        <f aca="false">IF(V299&gt;='Spam Rules'!$B$3,"Likely Spam","Genuine")</f>
        <v>Genuine</v>
      </c>
      <c r="X299" s="3" t="n">
        <f aca="false">IFERROR(INDEX('Scoring Model'!$B$5:$B$11,MATCH(C299,'Scoring Model'!$A$5:$A$11,0)),0)</f>
        <v>25</v>
      </c>
      <c r="Y299" s="3" t="n">
        <f aca="false">IFERROR(INDEX('Scoring Model'!$E$5:$E$7,MATCH(F299,'Scoring Model'!$D$5:$D$7,0)),0)</f>
        <v>0</v>
      </c>
      <c r="Z299" s="3" t="n">
        <f aca="false">IFERROR(INDEX('Scoring Model'!$H$5:$H$13,MATCH(J299,'Scoring Model'!$G$5:$G$13,0)),0)</f>
        <v>15</v>
      </c>
      <c r="AA299" s="3" t="n">
        <f aca="false">IF(L299&gt;='Scoring Model'!$B$14,'Scoring Model'!$B$15,IF(L299&gt;='Scoring Model'!$B$16,'Scoring Model'!$B$17,0))</f>
        <v>0</v>
      </c>
      <c r="AB299" s="3" t="n">
        <f aca="false">IF(SUMPRODUCT(--ISNUMBER(SEARCH('Scoring Model'!$D$16:$D$25,K299)))&gt;0,'Scoring Model'!$B$18,0)</f>
        <v>15</v>
      </c>
      <c r="AC299" s="3" t="n">
        <f aca="false">IF(SUMPRODUCT(--ISNUMBER(SEARCH('Scoring Model'!$G$16:$G$23,K299)))&gt;0,'Scoring Model'!$B$19,0)</f>
        <v>0</v>
      </c>
      <c r="AD299" s="3" t="n">
        <f aca="false">IF(W299="Likely Spam","",SUM(X299:AC299))</f>
        <v>55</v>
      </c>
      <c r="AE299" s="3" t="str">
        <f aca="false">IF(W299="Likely Spam","Spam",IF(AD299&gt;='Scoring Model'!$B$21,"Hot",IF(AD299&gt;='Scoring Model'!$B$22,"Warm","Nurture")))</f>
        <v>Warm</v>
      </c>
      <c r="AF299" s="3" t="str">
        <f aca="false">IF(W299="Likely Spam","Flagged by spam rules",TRIM(IF(X299&gt;=20,"Strong source. ","")&amp;IF(Y299&gt;0,"Company email. ","")&amp;IF(Z299&gt;=15,"High-value product. ","")&amp;IF(AA299&gt;='Scoring Model'!$B$15,"High engagement. ","")&amp;IF(AB299&gt;0,"Buying intent in message. ","")&amp;IF(AC299&lt;0,"Negative intent in message. ","")))</f>
        <v>Strong source. High-value product. Buying intent in message.</v>
      </c>
      <c r="AG299" s="11" t="n">
        <f aca="false">IF(W299="Likely Spam","",1/(1+EXP(-('Conversion Model'!$B$5+IFERROR(INDEX('Conversion Model'!$B$8:$B$14,MATCH(C299,'Conversion Model'!$A$8:$A$14,0)),0)+IFERROR(INDEX('Conversion Model'!$E$8:$E$9,MATCH(F299,'Conversion Model'!$D$8:$D$9,0)),0)+IFERROR(INDEX('Conversion Model'!$H$8:$H$12,MATCH(IF(LEFT(J299,8)="Payments","Payments",IF(LEFT(J299,7)="Lending","Lending",J299)),'Conversion Model'!$G$8:$G$12,0)),0)+MIN(L299,15)*'Conversion Model'!$B$17+IF(SUMPRODUCT(--ISNUMBER(SEARCH('Scoring Model'!$D$16:$D$25,K299)))&gt;0,'Conversion Model'!$B$18,0)+IF(SUMPRODUCT(--ISNUMBER(SEARCH('Scoring Model'!$G$16:$G$23,K299)))&gt;0,'Conversion Model'!$B$19,0)))))</f>
        <v>0.0580307274931486</v>
      </c>
      <c r="AH299" s="3" t="n">
        <f aca="false">IF(OR(O299="Qualified",O299="Won",O299="Lost"),1,IF(O299="Unqualified",0,""))</f>
        <v>0</v>
      </c>
    </row>
    <row r="300" customFormat="false" ht="15" hidden="false" customHeight="true" outlineLevel="0" collapsed="false">
      <c r="A300" s="3" t="s">
        <v>1234</v>
      </c>
      <c r="B300" s="9" t="n">
        <v>46070.1979166667</v>
      </c>
      <c r="C300" s="3" t="s">
        <v>91</v>
      </c>
      <c r="D300" s="3" t="s">
        <v>1235</v>
      </c>
      <c r="E300" s="3" t="s">
        <v>1236</v>
      </c>
      <c r="F300" s="3" t="s">
        <v>54</v>
      </c>
      <c r="G300" s="3"/>
      <c r="H300" s="3"/>
      <c r="I300" s="3" t="s">
        <v>227</v>
      </c>
      <c r="J300" s="3" t="s">
        <v>122</v>
      </c>
      <c r="K300" s="3" t="s">
        <v>322</v>
      </c>
      <c r="L300" s="3" t="n">
        <v>1</v>
      </c>
      <c r="M300" s="3"/>
      <c r="N300" s="3" t="s">
        <v>96</v>
      </c>
      <c r="O300" s="3" t="s">
        <v>68</v>
      </c>
      <c r="P300" s="10"/>
      <c r="Q300" s="3" t="n">
        <f aca="false">IF(F300="Disposable",1,0)</f>
        <v>0</v>
      </c>
      <c r="R300" s="3" t="n">
        <f aca="false">IF(SUMPRODUCT(--ISNUMBER(SEARCH('Spam Rules'!$A$22:$A$35,K300)))&gt;0,1,0)</f>
        <v>0</v>
      </c>
      <c r="S300" s="3" t="n">
        <f aca="false">IF(AND(F300="Free",G300=""),1,0)</f>
        <v>1</v>
      </c>
      <c r="T300" s="3" t="n">
        <f aca="false">IF(LEN(TRIM(K300))&lt;15,1,0)</f>
        <v>1</v>
      </c>
      <c r="U300" s="3" t="n">
        <f aca="false">IF(COUNTIF($E$2:$E$801,E300)&gt;1,1,0)</f>
        <v>1</v>
      </c>
      <c r="V300" s="3" t="n">
        <f aca="false">Q300*'Spam Rules'!$H$6+R300*'Spam Rules'!$H$7+S300*'Spam Rules'!$H$8+T300*'Spam Rules'!$H$9+U300*'Spam Rules'!$H$10</f>
        <v>1</v>
      </c>
      <c r="W300" s="3" t="str">
        <f aca="false">IF(V300&gt;='Spam Rules'!$B$3,"Likely Spam","Genuine")</f>
        <v>Likely Spam</v>
      </c>
      <c r="X300" s="3" t="n">
        <f aca="false">IFERROR(INDEX('Scoring Model'!$B$5:$B$11,MATCH(C300,'Scoring Model'!$A$5:$A$11,0)),0)</f>
        <v>5</v>
      </c>
      <c r="Y300" s="3" t="n">
        <f aca="false">IFERROR(INDEX('Scoring Model'!$E$5:$E$7,MATCH(F300,'Scoring Model'!$D$5:$D$7,0)),0)</f>
        <v>0</v>
      </c>
      <c r="Z300" s="3" t="n">
        <f aca="false">IFERROR(INDEX('Scoring Model'!$H$5:$H$13,MATCH(J300,'Scoring Model'!$G$5:$G$13,0)),0)</f>
        <v>15</v>
      </c>
      <c r="AA300" s="3" t="n">
        <f aca="false">IF(L300&gt;='Scoring Model'!$B$14,'Scoring Model'!$B$15,IF(L300&gt;='Scoring Model'!$B$16,'Scoring Model'!$B$17,0))</f>
        <v>0</v>
      </c>
      <c r="AB300" s="3" t="n">
        <f aca="false">IF(SUMPRODUCT(--ISNUMBER(SEARCH('Scoring Model'!$D$16:$D$25,K300)))&gt;0,'Scoring Model'!$B$18,0)</f>
        <v>0</v>
      </c>
      <c r="AC300" s="3" t="n">
        <f aca="false">IF(SUMPRODUCT(--ISNUMBER(SEARCH('Scoring Model'!$G$16:$G$23,K300)))&gt;0,'Scoring Model'!$B$19,0)</f>
        <v>0</v>
      </c>
      <c r="AD300" s="3" t="str">
        <f aca="false">IF(W300="Likely Spam","",SUM(X300:AC300))</f>
        <v/>
      </c>
      <c r="AE300" s="3" t="str">
        <f aca="false">IF(W300="Likely Spam","Spam",IF(AD300&gt;='Scoring Model'!$B$21,"Hot",IF(AD300&gt;='Scoring Model'!$B$22,"Warm","Nurture")))</f>
        <v>Spam</v>
      </c>
      <c r="AF300" s="3" t="str">
        <f aca="false">IF(W300="Likely Spam","Flagged by spam rules",TRIM(IF(X300&gt;=20,"Strong source. ","")&amp;IF(Y300&gt;0,"Company email. ","")&amp;IF(Z300&gt;=15,"High-value product. ","")&amp;IF(AA300&gt;='Scoring Model'!$B$15,"High engagement. ","")&amp;IF(AB300&gt;0,"Buying intent in message. ","")&amp;IF(AC300&lt;0,"Negative intent in message. ","")))</f>
        <v>Flagged by spam rules</v>
      </c>
      <c r="AG300" s="11" t="str">
        <f aca="false">IF(W300="Likely Spam","",1/(1+EXP(-('Conversion Model'!$B$5+IFERROR(INDEX('Conversion Model'!$B$8:$B$14,MATCH(C300,'Conversion Model'!$A$8:$A$14,0)),0)+IFERROR(INDEX('Conversion Model'!$E$8:$E$9,MATCH(F300,'Conversion Model'!$D$8:$D$9,0)),0)+IFERROR(INDEX('Conversion Model'!$H$8:$H$12,MATCH(IF(LEFT(J300,8)="Payments","Payments",IF(LEFT(J300,7)="Lending","Lending",J300)),'Conversion Model'!$G$8:$G$12,0)),0)+MIN(L300,15)*'Conversion Model'!$B$17+IF(SUMPRODUCT(--ISNUMBER(SEARCH('Scoring Model'!$D$16:$D$25,K300)))&gt;0,'Conversion Model'!$B$18,0)+IF(SUMPRODUCT(--ISNUMBER(SEARCH('Scoring Model'!$G$16:$G$23,K300)))&gt;0,'Conversion Model'!$B$19,0)))))</f>
        <v/>
      </c>
      <c r="AH300" s="3" t="str">
        <f aca="false">IF(OR(O300="Qualified",O300="Won",O300="Lost"),1,IF(O300="Unqualified",0,""))</f>
        <v/>
      </c>
    </row>
    <row r="301" customFormat="false" ht="15" hidden="false" customHeight="true" outlineLevel="0" collapsed="false">
      <c r="A301" s="3" t="s">
        <v>1237</v>
      </c>
      <c r="B301" s="9" t="n">
        <v>46070.6652777778</v>
      </c>
      <c r="C301" s="3" t="s">
        <v>135</v>
      </c>
      <c r="D301" s="3" t="s">
        <v>262</v>
      </c>
      <c r="E301" s="3" t="s">
        <v>1238</v>
      </c>
      <c r="F301" s="3" t="s">
        <v>54</v>
      </c>
      <c r="G301" s="3" t="s">
        <v>632</v>
      </c>
      <c r="H301" s="3"/>
      <c r="I301" s="3" t="s">
        <v>64</v>
      </c>
      <c r="J301" s="3" t="s">
        <v>145</v>
      </c>
      <c r="K301" s="3" t="s">
        <v>74</v>
      </c>
      <c r="L301" s="3" t="n">
        <v>3</v>
      </c>
      <c r="M301" s="3" t="n">
        <v>15.3</v>
      </c>
      <c r="N301" s="3" t="s">
        <v>171</v>
      </c>
      <c r="O301" s="3"/>
      <c r="P301" s="10"/>
      <c r="Q301" s="3" t="n">
        <f aca="false">IF(F301="Disposable",1,0)</f>
        <v>0</v>
      </c>
      <c r="R301" s="3" t="n">
        <f aca="false">IF(SUMPRODUCT(--ISNUMBER(SEARCH('Spam Rules'!$A$22:$A$35,K301)))&gt;0,1,0)</f>
        <v>0</v>
      </c>
      <c r="S301" s="3" t="n">
        <f aca="false">IF(AND(F301="Free",G301=""),1,0)</f>
        <v>0</v>
      </c>
      <c r="T301" s="3" t="n">
        <f aca="false">IF(LEN(TRIM(K301))&lt;15,1,0)</f>
        <v>0</v>
      </c>
      <c r="U301" s="3" t="n">
        <f aca="false">IF(COUNTIF($E$2:$E$801,E301)&gt;1,1,0)</f>
        <v>0</v>
      </c>
      <c r="V301" s="3" t="n">
        <f aca="false">Q301*'Spam Rules'!$H$6+R301*'Spam Rules'!$H$7+S301*'Spam Rules'!$H$8+T301*'Spam Rules'!$H$9+U301*'Spam Rules'!$H$10</f>
        <v>0</v>
      </c>
      <c r="W301" s="3" t="str">
        <f aca="false">IF(V301&gt;='Spam Rules'!$B$3,"Likely Spam","Genuine")</f>
        <v>Genuine</v>
      </c>
      <c r="X301" s="3" t="n">
        <f aca="false">IFERROR(INDEX('Scoring Model'!$B$5:$B$11,MATCH(C301,'Scoring Model'!$A$5:$A$11,0)),0)</f>
        <v>20</v>
      </c>
      <c r="Y301" s="3" t="n">
        <f aca="false">IFERROR(INDEX('Scoring Model'!$E$5:$E$7,MATCH(F301,'Scoring Model'!$D$5:$D$7,0)),0)</f>
        <v>0</v>
      </c>
      <c r="Z301" s="3" t="n">
        <f aca="false">IFERROR(INDEX('Scoring Model'!$H$5:$H$13,MATCH(J301,'Scoring Model'!$G$5:$G$13,0)),0)</f>
        <v>5</v>
      </c>
      <c r="AA301" s="3" t="n">
        <f aca="false">IF(L301&gt;='Scoring Model'!$B$14,'Scoring Model'!$B$15,IF(L301&gt;='Scoring Model'!$B$16,'Scoring Model'!$B$17,0))</f>
        <v>0</v>
      </c>
      <c r="AB301" s="3" t="n">
        <f aca="false">IF(SUMPRODUCT(--ISNUMBER(SEARCH('Scoring Model'!$D$16:$D$25,K301)))&gt;0,'Scoring Model'!$B$18,0)</f>
        <v>0</v>
      </c>
      <c r="AC301" s="3" t="n">
        <f aca="false">IF(SUMPRODUCT(--ISNUMBER(SEARCH('Scoring Model'!$G$16:$G$23,K301)))&gt;0,'Scoring Model'!$B$19,0)</f>
        <v>-30</v>
      </c>
      <c r="AD301" s="3" t="n">
        <f aca="false">IF(W301="Likely Spam","",SUM(X301:AC301))</f>
        <v>-5</v>
      </c>
      <c r="AE301" s="3" t="str">
        <f aca="false">IF(W301="Likely Spam","Spam",IF(AD301&gt;='Scoring Model'!$B$21,"Hot",IF(AD301&gt;='Scoring Model'!$B$22,"Warm","Nurture")))</f>
        <v>Nurture</v>
      </c>
      <c r="AF301" s="3" t="str">
        <f aca="false">IF(W301="Likely Spam","Flagged by spam rules",TRIM(IF(X301&gt;=20,"Strong source. ","")&amp;IF(Y301&gt;0,"Company email. ","")&amp;IF(Z301&gt;=15,"High-value product. ","")&amp;IF(AA301&gt;='Scoring Model'!$B$15,"High engagement. ","")&amp;IF(AB301&gt;0,"Buying intent in message. ","")&amp;IF(AC301&lt;0,"Negative intent in message. ","")))</f>
        <v>Strong source. Negative intent in message.</v>
      </c>
      <c r="AG301" s="11" t="n">
        <f aca="false">IF(W301="Likely Spam","",1/(1+EXP(-('Conversion Model'!$B$5+IFERROR(INDEX('Conversion Model'!$B$8:$B$14,MATCH(C301,'Conversion Model'!$A$8:$A$14,0)),0)+IFERROR(INDEX('Conversion Model'!$E$8:$E$9,MATCH(F301,'Conversion Model'!$D$8:$D$9,0)),0)+IFERROR(INDEX('Conversion Model'!$H$8:$H$12,MATCH(IF(LEFT(J301,8)="Payments","Payments",IF(LEFT(J301,7)="Lending","Lending",J301)),'Conversion Model'!$G$8:$G$12,0)),0)+MIN(L301,15)*'Conversion Model'!$B$17+IF(SUMPRODUCT(--ISNUMBER(SEARCH('Scoring Model'!$D$16:$D$25,K301)))&gt;0,'Conversion Model'!$B$18,0)+IF(SUMPRODUCT(--ISNUMBER(SEARCH('Scoring Model'!$G$16:$G$23,K301)))&gt;0,'Conversion Model'!$B$19,0)))))</f>
        <v>0.0152171212086563</v>
      </c>
      <c r="AH301" s="3" t="str">
        <f aca="false">IF(OR(O301="Qualified",O301="Won",O301="Lost"),1,IF(O301="Unqualified",0,""))</f>
        <v/>
      </c>
    </row>
    <row r="302" customFormat="false" ht="15" hidden="false" customHeight="true" outlineLevel="0" collapsed="false">
      <c r="A302" s="3" t="s">
        <v>1239</v>
      </c>
      <c r="B302" s="9" t="n">
        <v>46070.7347222222</v>
      </c>
      <c r="C302" s="3" t="s">
        <v>160</v>
      </c>
      <c r="D302" s="3" t="s">
        <v>294</v>
      </c>
      <c r="E302" s="3" t="s">
        <v>1240</v>
      </c>
      <c r="F302" s="3" t="s">
        <v>54</v>
      </c>
      <c r="G302" s="3" t="s">
        <v>1241</v>
      </c>
      <c r="H302" s="3"/>
      <c r="I302" s="3" t="s">
        <v>64</v>
      </c>
      <c r="J302" s="3" t="s">
        <v>122</v>
      </c>
      <c r="K302" s="3" t="s">
        <v>213</v>
      </c>
      <c r="L302" s="3" t="n">
        <v>3</v>
      </c>
      <c r="M302" s="3" t="n">
        <v>28.7</v>
      </c>
      <c r="N302" s="3" t="s">
        <v>96</v>
      </c>
      <c r="O302" s="3" t="s">
        <v>194</v>
      </c>
      <c r="P302" s="10"/>
      <c r="Q302" s="3" t="n">
        <f aca="false">IF(F302="Disposable",1,0)</f>
        <v>0</v>
      </c>
      <c r="R302" s="3" t="n">
        <f aca="false">IF(SUMPRODUCT(--ISNUMBER(SEARCH('Spam Rules'!$A$22:$A$35,K302)))&gt;0,1,0)</f>
        <v>0</v>
      </c>
      <c r="S302" s="3" t="n">
        <f aca="false">IF(AND(F302="Free",G302=""),1,0)</f>
        <v>0</v>
      </c>
      <c r="T302" s="3" t="n">
        <f aca="false">IF(LEN(TRIM(K302))&lt;15,1,0)</f>
        <v>0</v>
      </c>
      <c r="U302" s="3" t="n">
        <f aca="false">IF(COUNTIF($E$2:$E$801,E302)&gt;1,1,0)</f>
        <v>0</v>
      </c>
      <c r="V302" s="3" t="n">
        <f aca="false">Q302*'Spam Rules'!$H$6+R302*'Spam Rules'!$H$7+S302*'Spam Rules'!$H$8+T302*'Spam Rules'!$H$9+U302*'Spam Rules'!$H$10</f>
        <v>0</v>
      </c>
      <c r="W302" s="3" t="str">
        <f aca="false">IF(V302&gt;='Spam Rules'!$B$3,"Likely Spam","Genuine")</f>
        <v>Genuine</v>
      </c>
      <c r="X302" s="3" t="n">
        <f aca="false">IFERROR(INDEX('Scoring Model'!$B$5:$B$11,MATCH(C302,'Scoring Model'!$A$5:$A$11,0)),0)</f>
        <v>25</v>
      </c>
      <c r="Y302" s="3" t="n">
        <f aca="false">IFERROR(INDEX('Scoring Model'!$E$5:$E$7,MATCH(F302,'Scoring Model'!$D$5:$D$7,0)),0)</f>
        <v>0</v>
      </c>
      <c r="Z302" s="3" t="n">
        <f aca="false">IFERROR(INDEX('Scoring Model'!$H$5:$H$13,MATCH(J302,'Scoring Model'!$G$5:$G$13,0)),0)</f>
        <v>15</v>
      </c>
      <c r="AA302" s="3" t="n">
        <f aca="false">IF(L302&gt;='Scoring Model'!$B$14,'Scoring Model'!$B$15,IF(L302&gt;='Scoring Model'!$B$16,'Scoring Model'!$B$17,0))</f>
        <v>0</v>
      </c>
      <c r="AB302" s="3" t="n">
        <f aca="false">IF(SUMPRODUCT(--ISNUMBER(SEARCH('Scoring Model'!$D$16:$D$25,K302)))&gt;0,'Scoring Model'!$B$18,0)</f>
        <v>0</v>
      </c>
      <c r="AC302" s="3" t="n">
        <f aca="false">IF(SUMPRODUCT(--ISNUMBER(SEARCH('Scoring Model'!$G$16:$G$23,K302)))&gt;0,'Scoring Model'!$B$19,0)</f>
        <v>-30</v>
      </c>
      <c r="AD302" s="3" t="n">
        <f aca="false">IF(W302="Likely Spam","",SUM(X302:AC302))</f>
        <v>10</v>
      </c>
      <c r="AE302" s="3" t="str">
        <f aca="false">IF(W302="Likely Spam","Spam",IF(AD302&gt;='Scoring Model'!$B$21,"Hot",IF(AD302&gt;='Scoring Model'!$B$22,"Warm","Nurture")))</f>
        <v>Nurture</v>
      </c>
      <c r="AF302" s="3" t="str">
        <f aca="false">IF(W302="Likely Spam","Flagged by spam rules",TRIM(IF(X302&gt;=20,"Strong source. ","")&amp;IF(Y302&gt;0,"Company email. ","")&amp;IF(Z302&gt;=15,"High-value product. ","")&amp;IF(AA302&gt;='Scoring Model'!$B$15,"High engagement. ","")&amp;IF(AB302&gt;0,"Buying intent in message. ","")&amp;IF(AC302&lt;0,"Negative intent in message. ","")))</f>
        <v>Strong source. High-value product. Negative intent in message.</v>
      </c>
      <c r="AG302" s="11" t="n">
        <f aca="false">IF(W302="Likely Spam","",1/(1+EXP(-('Conversion Model'!$B$5+IFERROR(INDEX('Conversion Model'!$B$8:$B$14,MATCH(C302,'Conversion Model'!$A$8:$A$14,0)),0)+IFERROR(INDEX('Conversion Model'!$E$8:$E$9,MATCH(F302,'Conversion Model'!$D$8:$D$9,0)),0)+IFERROR(INDEX('Conversion Model'!$H$8:$H$12,MATCH(IF(LEFT(J302,8)="Payments","Payments",IF(LEFT(J302,7)="Lending","Lending",J302)),'Conversion Model'!$G$8:$G$12,0)),0)+MIN(L302,15)*'Conversion Model'!$B$17+IF(SUMPRODUCT(--ISNUMBER(SEARCH('Scoring Model'!$D$16:$D$25,K302)))&gt;0,'Conversion Model'!$B$18,0)+IF(SUMPRODUCT(--ISNUMBER(SEARCH('Scoring Model'!$G$16:$G$23,K302)))&gt;0,'Conversion Model'!$B$19,0)))))</f>
        <v>0.00908503652176517</v>
      </c>
      <c r="AH302" s="3" t="n">
        <f aca="false">IF(OR(O302="Qualified",O302="Won",O302="Lost"),1,IF(O302="Unqualified",0,""))</f>
        <v>0</v>
      </c>
    </row>
    <row r="303" customFormat="false" ht="15" hidden="false" customHeight="true" outlineLevel="0" collapsed="false">
      <c r="A303" s="3" t="s">
        <v>1242</v>
      </c>
      <c r="B303" s="9" t="n">
        <v>46071.3902777778</v>
      </c>
      <c r="C303" s="3" t="s">
        <v>135</v>
      </c>
      <c r="D303" s="3" t="s">
        <v>1243</v>
      </c>
      <c r="E303" s="3" t="s">
        <v>1244</v>
      </c>
      <c r="F303" s="3" t="s">
        <v>54</v>
      </c>
      <c r="G303" s="3" t="s">
        <v>1245</v>
      </c>
      <c r="H303" s="3"/>
      <c r="I303" s="3" t="s">
        <v>139</v>
      </c>
      <c r="J303" s="3" t="s">
        <v>117</v>
      </c>
      <c r="K303" s="3" t="s">
        <v>619</v>
      </c>
      <c r="L303" s="3" t="n">
        <v>2</v>
      </c>
      <c r="M303" s="3" t="n">
        <v>44.8</v>
      </c>
      <c r="N303" s="3" t="s">
        <v>67</v>
      </c>
      <c r="O303" s="3" t="s">
        <v>133</v>
      </c>
      <c r="P303" s="10"/>
      <c r="Q303" s="3" t="n">
        <f aca="false">IF(F303="Disposable",1,0)</f>
        <v>0</v>
      </c>
      <c r="R303" s="3" t="n">
        <f aca="false">IF(SUMPRODUCT(--ISNUMBER(SEARCH('Spam Rules'!$A$22:$A$35,K303)))&gt;0,1,0)</f>
        <v>0</v>
      </c>
      <c r="S303" s="3" t="n">
        <f aca="false">IF(AND(F303="Free",G303=""),1,0)</f>
        <v>0</v>
      </c>
      <c r="T303" s="3" t="n">
        <f aca="false">IF(LEN(TRIM(K303))&lt;15,1,0)</f>
        <v>0</v>
      </c>
      <c r="U303" s="3" t="n">
        <f aca="false">IF(COUNTIF($E$2:$E$801,E303)&gt;1,1,0)</f>
        <v>0</v>
      </c>
      <c r="V303" s="3" t="n">
        <f aca="false">Q303*'Spam Rules'!$H$6+R303*'Spam Rules'!$H$7+S303*'Spam Rules'!$H$8+T303*'Spam Rules'!$H$9+U303*'Spam Rules'!$H$10</f>
        <v>0</v>
      </c>
      <c r="W303" s="3" t="str">
        <f aca="false">IF(V303&gt;='Spam Rules'!$B$3,"Likely Spam","Genuine")</f>
        <v>Genuine</v>
      </c>
      <c r="X303" s="3" t="n">
        <f aca="false">IFERROR(INDEX('Scoring Model'!$B$5:$B$11,MATCH(C303,'Scoring Model'!$A$5:$A$11,0)),0)</f>
        <v>20</v>
      </c>
      <c r="Y303" s="3" t="n">
        <f aca="false">IFERROR(INDEX('Scoring Model'!$E$5:$E$7,MATCH(F303,'Scoring Model'!$D$5:$D$7,0)),0)</f>
        <v>0</v>
      </c>
      <c r="Z303" s="3" t="n">
        <f aca="false">IFERROR(INDEX('Scoring Model'!$H$5:$H$13,MATCH(J303,'Scoring Model'!$G$5:$G$13,0)),0)</f>
        <v>15</v>
      </c>
      <c r="AA303" s="3" t="n">
        <f aca="false">IF(L303&gt;='Scoring Model'!$B$14,'Scoring Model'!$B$15,IF(L303&gt;='Scoring Model'!$B$16,'Scoring Model'!$B$17,0))</f>
        <v>0</v>
      </c>
      <c r="AB303" s="3" t="n">
        <f aca="false">IF(SUMPRODUCT(--ISNUMBER(SEARCH('Scoring Model'!$D$16:$D$25,K303)))&gt;0,'Scoring Model'!$B$18,0)</f>
        <v>15</v>
      </c>
      <c r="AC303" s="3" t="n">
        <f aca="false">IF(SUMPRODUCT(--ISNUMBER(SEARCH('Scoring Model'!$G$16:$G$23,K303)))&gt;0,'Scoring Model'!$B$19,0)</f>
        <v>0</v>
      </c>
      <c r="AD303" s="3" t="n">
        <f aca="false">IF(W303="Likely Spam","",SUM(X303:AC303))</f>
        <v>50</v>
      </c>
      <c r="AE303" s="3" t="str">
        <f aca="false">IF(W303="Likely Spam","Spam",IF(AD303&gt;='Scoring Model'!$B$21,"Hot",IF(AD303&gt;='Scoring Model'!$B$22,"Warm","Nurture")))</f>
        <v>Warm</v>
      </c>
      <c r="AF303" s="3" t="str">
        <f aca="false">IF(W303="Likely Spam","Flagged by spam rules",TRIM(IF(X303&gt;=20,"Strong source. ","")&amp;IF(Y303&gt;0,"Company email. ","")&amp;IF(Z303&gt;=15,"High-value product. ","")&amp;IF(AA303&gt;='Scoring Model'!$B$15,"High engagement. ","")&amp;IF(AB303&gt;0,"Buying intent in message. ","")&amp;IF(AC303&lt;0,"Negative intent in message. ","")))</f>
        <v>Strong source. High-value product. Buying intent in message.</v>
      </c>
      <c r="AG303" s="11" t="n">
        <f aca="false">IF(W303="Likely Spam","",1/(1+EXP(-('Conversion Model'!$B$5+IFERROR(INDEX('Conversion Model'!$B$8:$B$14,MATCH(C303,'Conversion Model'!$A$8:$A$14,0)),0)+IFERROR(INDEX('Conversion Model'!$E$8:$E$9,MATCH(F303,'Conversion Model'!$D$8:$D$9,0)),0)+IFERROR(INDEX('Conversion Model'!$H$8:$H$12,MATCH(IF(LEFT(J303,8)="Payments","Payments",IF(LEFT(J303,7)="Lending","Lending",J303)),'Conversion Model'!$G$8:$G$12,0)),0)+MIN(L303,15)*'Conversion Model'!$B$17+IF(SUMPRODUCT(--ISNUMBER(SEARCH('Scoring Model'!$D$16:$D$25,K303)))&gt;0,'Conversion Model'!$B$18,0)+IF(SUMPRODUCT(--ISNUMBER(SEARCH('Scoring Model'!$G$16:$G$23,K303)))&gt;0,'Conversion Model'!$B$19,0)))))</f>
        <v>0.333810655201529</v>
      </c>
      <c r="AH303" s="3" t="str">
        <f aca="false">IF(OR(O303="Qualified",O303="Won",O303="Lost"),1,IF(O303="Unqualified",0,""))</f>
        <v/>
      </c>
    </row>
    <row r="304" customFormat="false" ht="15" hidden="false" customHeight="true" outlineLevel="0" collapsed="false">
      <c r="A304" s="3" t="s">
        <v>1246</v>
      </c>
      <c r="B304" s="9" t="n">
        <v>46072.2611111111</v>
      </c>
      <c r="C304" s="3" t="s">
        <v>51</v>
      </c>
      <c r="D304" s="3" t="s">
        <v>1247</v>
      </c>
      <c r="E304" s="3" t="s">
        <v>93</v>
      </c>
      <c r="F304" s="3" t="s">
        <v>54</v>
      </c>
      <c r="G304" s="3" t="s">
        <v>237</v>
      </c>
      <c r="H304" s="3"/>
      <c r="I304" s="3" t="s">
        <v>73</v>
      </c>
      <c r="J304" s="3" t="s">
        <v>122</v>
      </c>
      <c r="K304" s="3" t="s">
        <v>126</v>
      </c>
      <c r="L304" s="3" t="n">
        <v>1</v>
      </c>
      <c r="M304" s="3" t="n">
        <v>14.3</v>
      </c>
      <c r="N304" s="3" t="s">
        <v>67</v>
      </c>
      <c r="O304" s="3" t="s">
        <v>68</v>
      </c>
      <c r="P304" s="10"/>
      <c r="Q304" s="3" t="n">
        <f aca="false">IF(F304="Disposable",1,0)</f>
        <v>0</v>
      </c>
      <c r="R304" s="3" t="n">
        <f aca="false">IF(SUMPRODUCT(--ISNUMBER(SEARCH('Spam Rules'!$A$22:$A$35,K304)))&gt;0,1,0)</f>
        <v>0</v>
      </c>
      <c r="S304" s="3" t="n">
        <f aca="false">IF(AND(F304="Free",G304=""),1,0)</f>
        <v>0</v>
      </c>
      <c r="T304" s="3" t="n">
        <f aca="false">IF(LEN(TRIM(K304))&lt;15,1,0)</f>
        <v>1</v>
      </c>
      <c r="U304" s="3" t="n">
        <f aca="false">IF(COUNTIF($E$2:$E$801,E304)&gt;1,1,0)</f>
        <v>1</v>
      </c>
      <c r="V304" s="3" t="n">
        <f aca="false">Q304*'Spam Rules'!$H$6+R304*'Spam Rules'!$H$7+S304*'Spam Rules'!$H$8+T304*'Spam Rules'!$H$9+U304*'Spam Rules'!$H$10</f>
        <v>1</v>
      </c>
      <c r="W304" s="3" t="str">
        <f aca="false">IF(V304&gt;='Spam Rules'!$B$3,"Likely Spam","Genuine")</f>
        <v>Likely Spam</v>
      </c>
      <c r="X304" s="3" t="n">
        <f aca="false">IFERROR(INDEX('Scoring Model'!$B$5:$B$11,MATCH(C304,'Scoring Model'!$A$5:$A$11,0)),0)</f>
        <v>10</v>
      </c>
      <c r="Y304" s="3" t="n">
        <f aca="false">IFERROR(INDEX('Scoring Model'!$E$5:$E$7,MATCH(F304,'Scoring Model'!$D$5:$D$7,0)),0)</f>
        <v>0</v>
      </c>
      <c r="Z304" s="3" t="n">
        <f aca="false">IFERROR(INDEX('Scoring Model'!$H$5:$H$13,MATCH(J304,'Scoring Model'!$G$5:$G$13,0)),0)</f>
        <v>15</v>
      </c>
      <c r="AA304" s="3" t="n">
        <f aca="false">IF(L304&gt;='Scoring Model'!$B$14,'Scoring Model'!$B$15,IF(L304&gt;='Scoring Model'!$B$16,'Scoring Model'!$B$17,0))</f>
        <v>0</v>
      </c>
      <c r="AB304" s="3" t="n">
        <f aca="false">IF(SUMPRODUCT(--ISNUMBER(SEARCH('Scoring Model'!$D$16:$D$25,K304)))&gt;0,'Scoring Model'!$B$18,0)</f>
        <v>0</v>
      </c>
      <c r="AC304" s="3" t="n">
        <f aca="false">IF(SUMPRODUCT(--ISNUMBER(SEARCH('Scoring Model'!$G$16:$G$23,K304)))&gt;0,'Scoring Model'!$B$19,0)</f>
        <v>0</v>
      </c>
      <c r="AD304" s="3" t="str">
        <f aca="false">IF(W304="Likely Spam","",SUM(X304:AC304))</f>
        <v/>
      </c>
      <c r="AE304" s="3" t="str">
        <f aca="false">IF(W304="Likely Spam","Spam",IF(AD304&gt;='Scoring Model'!$B$21,"Hot",IF(AD304&gt;='Scoring Model'!$B$22,"Warm","Nurture")))</f>
        <v>Spam</v>
      </c>
      <c r="AF304" s="3" t="str">
        <f aca="false">IF(W304="Likely Spam","Flagged by spam rules",TRIM(IF(X304&gt;=20,"Strong source. ","")&amp;IF(Y304&gt;0,"Company email. ","")&amp;IF(Z304&gt;=15,"High-value product. ","")&amp;IF(AA304&gt;='Scoring Model'!$B$15,"High engagement. ","")&amp;IF(AB304&gt;0,"Buying intent in message. ","")&amp;IF(AC304&lt;0,"Negative intent in message. ","")))</f>
        <v>Flagged by spam rules</v>
      </c>
      <c r="AG304" s="11" t="str">
        <f aca="false">IF(W304="Likely Spam","",1/(1+EXP(-('Conversion Model'!$B$5+IFERROR(INDEX('Conversion Model'!$B$8:$B$14,MATCH(C304,'Conversion Model'!$A$8:$A$14,0)),0)+IFERROR(INDEX('Conversion Model'!$E$8:$E$9,MATCH(F304,'Conversion Model'!$D$8:$D$9,0)),0)+IFERROR(INDEX('Conversion Model'!$H$8:$H$12,MATCH(IF(LEFT(J304,8)="Payments","Payments",IF(LEFT(J304,7)="Lending","Lending",J304)),'Conversion Model'!$G$8:$G$12,0)),0)+MIN(L304,15)*'Conversion Model'!$B$17+IF(SUMPRODUCT(--ISNUMBER(SEARCH('Scoring Model'!$D$16:$D$25,K304)))&gt;0,'Conversion Model'!$B$18,0)+IF(SUMPRODUCT(--ISNUMBER(SEARCH('Scoring Model'!$G$16:$G$23,K304)))&gt;0,'Conversion Model'!$B$19,0)))))</f>
        <v/>
      </c>
      <c r="AH304" s="3" t="str">
        <f aca="false">IF(OR(O304="Qualified",O304="Won",O304="Lost"),1,IF(O304="Unqualified",0,""))</f>
        <v/>
      </c>
    </row>
    <row r="305" customFormat="false" ht="15" hidden="false" customHeight="true" outlineLevel="0" collapsed="false">
      <c r="A305" s="3" t="s">
        <v>1248</v>
      </c>
      <c r="B305" s="9" t="n">
        <v>46072.5263888889</v>
      </c>
      <c r="C305" s="3" t="s">
        <v>51</v>
      </c>
      <c r="D305" s="3" t="s">
        <v>1249</v>
      </c>
      <c r="E305" s="3" t="s">
        <v>1250</v>
      </c>
      <c r="F305" s="3" t="s">
        <v>22</v>
      </c>
      <c r="G305" s="3" t="s">
        <v>79</v>
      </c>
      <c r="H305" s="3" t="s">
        <v>886</v>
      </c>
      <c r="I305" s="3" t="s">
        <v>204</v>
      </c>
      <c r="J305" s="3" t="s">
        <v>122</v>
      </c>
      <c r="K305" s="3" t="s">
        <v>89</v>
      </c>
      <c r="L305" s="3" t="n">
        <v>2</v>
      </c>
      <c r="M305" s="3" t="n">
        <v>72.6</v>
      </c>
      <c r="N305" s="3" t="s">
        <v>171</v>
      </c>
      <c r="O305" s="3"/>
      <c r="P305" s="10"/>
      <c r="Q305" s="3" t="n">
        <f aca="false">IF(F305="Disposable",1,0)</f>
        <v>0</v>
      </c>
      <c r="R305" s="3" t="n">
        <f aca="false">IF(SUMPRODUCT(--ISNUMBER(SEARCH('Spam Rules'!$A$22:$A$35,K305)))&gt;0,1,0)</f>
        <v>1</v>
      </c>
      <c r="S305" s="3" t="n">
        <f aca="false">IF(AND(F305="Free",G305=""),1,0)</f>
        <v>0</v>
      </c>
      <c r="T305" s="3" t="n">
        <f aca="false">IF(LEN(TRIM(K305))&lt;15,1,0)</f>
        <v>0</v>
      </c>
      <c r="U305" s="3" t="n">
        <f aca="false">IF(COUNTIF($E$2:$E$801,E305)&gt;1,1,0)</f>
        <v>1</v>
      </c>
      <c r="V305" s="3" t="n">
        <f aca="false">Q305*'Spam Rules'!$H$6+R305*'Spam Rules'!$H$7+S305*'Spam Rules'!$H$8+T305*'Spam Rules'!$H$9+U305*'Spam Rules'!$H$10</f>
        <v>1</v>
      </c>
      <c r="W305" s="3" t="str">
        <f aca="false">IF(V305&gt;='Spam Rules'!$B$3,"Likely Spam","Genuine")</f>
        <v>Likely Spam</v>
      </c>
      <c r="X305" s="3" t="n">
        <f aca="false">IFERROR(INDEX('Scoring Model'!$B$5:$B$11,MATCH(C305,'Scoring Model'!$A$5:$A$11,0)),0)</f>
        <v>10</v>
      </c>
      <c r="Y305" s="3" t="n">
        <f aca="false">IFERROR(INDEX('Scoring Model'!$E$5:$E$7,MATCH(F305,'Scoring Model'!$D$5:$D$7,0)),0)</f>
        <v>20</v>
      </c>
      <c r="Z305" s="3" t="n">
        <f aca="false">IFERROR(INDEX('Scoring Model'!$H$5:$H$13,MATCH(J305,'Scoring Model'!$G$5:$G$13,0)),0)</f>
        <v>15</v>
      </c>
      <c r="AA305" s="3" t="n">
        <f aca="false">IF(L305&gt;='Scoring Model'!$B$14,'Scoring Model'!$B$15,IF(L305&gt;='Scoring Model'!$B$16,'Scoring Model'!$B$17,0))</f>
        <v>0</v>
      </c>
      <c r="AB305" s="3" t="n">
        <f aca="false">IF(SUMPRODUCT(--ISNUMBER(SEARCH('Scoring Model'!$D$16:$D$25,K305)))&gt;0,'Scoring Model'!$B$18,0)</f>
        <v>0</v>
      </c>
      <c r="AC305" s="3" t="n">
        <f aca="false">IF(SUMPRODUCT(--ISNUMBER(SEARCH('Scoring Model'!$G$16:$G$23,K305)))&gt;0,'Scoring Model'!$B$19,0)</f>
        <v>0</v>
      </c>
      <c r="AD305" s="3" t="str">
        <f aca="false">IF(W305="Likely Spam","",SUM(X305:AC305))</f>
        <v/>
      </c>
      <c r="AE305" s="3" t="str">
        <f aca="false">IF(W305="Likely Spam","Spam",IF(AD305&gt;='Scoring Model'!$B$21,"Hot",IF(AD305&gt;='Scoring Model'!$B$22,"Warm","Nurture")))</f>
        <v>Spam</v>
      </c>
      <c r="AF305" s="3" t="str">
        <f aca="false">IF(W305="Likely Spam","Flagged by spam rules",TRIM(IF(X305&gt;=20,"Strong source. ","")&amp;IF(Y305&gt;0,"Company email. ","")&amp;IF(Z305&gt;=15,"High-value product. ","")&amp;IF(AA305&gt;='Scoring Model'!$B$15,"High engagement. ","")&amp;IF(AB305&gt;0,"Buying intent in message. ","")&amp;IF(AC305&lt;0,"Negative intent in message. ","")))</f>
        <v>Flagged by spam rules</v>
      </c>
      <c r="AG305" s="11" t="str">
        <f aca="false">IF(W305="Likely Spam","",1/(1+EXP(-('Conversion Model'!$B$5+IFERROR(INDEX('Conversion Model'!$B$8:$B$14,MATCH(C305,'Conversion Model'!$A$8:$A$14,0)),0)+IFERROR(INDEX('Conversion Model'!$E$8:$E$9,MATCH(F305,'Conversion Model'!$D$8:$D$9,0)),0)+IFERROR(INDEX('Conversion Model'!$H$8:$H$12,MATCH(IF(LEFT(J305,8)="Payments","Payments",IF(LEFT(J305,7)="Lending","Lending",J305)),'Conversion Model'!$G$8:$G$12,0)),0)+MIN(L305,15)*'Conversion Model'!$B$17+IF(SUMPRODUCT(--ISNUMBER(SEARCH('Scoring Model'!$D$16:$D$25,K305)))&gt;0,'Conversion Model'!$B$18,0)+IF(SUMPRODUCT(--ISNUMBER(SEARCH('Scoring Model'!$G$16:$G$23,K305)))&gt;0,'Conversion Model'!$B$19,0)))))</f>
        <v/>
      </c>
      <c r="AH305" s="3" t="str">
        <f aca="false">IF(OR(O305="Qualified",O305="Won",O305="Lost"),1,IF(O305="Unqualified",0,""))</f>
        <v/>
      </c>
    </row>
    <row r="306" customFormat="false" ht="15" hidden="false" customHeight="true" outlineLevel="0" collapsed="false">
      <c r="A306" s="3" t="s">
        <v>1251</v>
      </c>
      <c r="B306" s="9" t="n">
        <v>46072.8402777778</v>
      </c>
      <c r="C306" s="3" t="s">
        <v>51</v>
      </c>
      <c r="D306" s="3" t="s">
        <v>1252</v>
      </c>
      <c r="E306" s="3" t="s">
        <v>1253</v>
      </c>
      <c r="F306" s="3" t="s">
        <v>54</v>
      </c>
      <c r="G306" s="3" t="s">
        <v>1254</v>
      </c>
      <c r="H306" s="3"/>
      <c r="I306" s="3" t="s">
        <v>139</v>
      </c>
      <c r="J306" s="3" t="s">
        <v>81</v>
      </c>
      <c r="K306" s="3" t="s">
        <v>355</v>
      </c>
      <c r="L306" s="3" t="n">
        <v>2</v>
      </c>
      <c r="M306" s="3" t="n">
        <v>4.4</v>
      </c>
      <c r="N306" s="3" t="s">
        <v>67</v>
      </c>
      <c r="O306" s="3" t="s">
        <v>133</v>
      </c>
      <c r="P306" s="10"/>
      <c r="Q306" s="3" t="n">
        <f aca="false">IF(F306="Disposable",1,0)</f>
        <v>0</v>
      </c>
      <c r="R306" s="3" t="n">
        <f aca="false">IF(SUMPRODUCT(--ISNUMBER(SEARCH('Spam Rules'!$A$22:$A$35,K306)))&gt;0,1,0)</f>
        <v>0</v>
      </c>
      <c r="S306" s="3" t="n">
        <f aca="false">IF(AND(F306="Free",G306=""),1,0)</f>
        <v>0</v>
      </c>
      <c r="T306" s="3" t="n">
        <f aca="false">IF(LEN(TRIM(K306))&lt;15,1,0)</f>
        <v>0</v>
      </c>
      <c r="U306" s="3" t="n">
        <f aca="false">IF(COUNTIF($E$2:$E$801,E306)&gt;1,1,0)</f>
        <v>0</v>
      </c>
      <c r="V306" s="3" t="n">
        <f aca="false">Q306*'Spam Rules'!$H$6+R306*'Spam Rules'!$H$7+S306*'Spam Rules'!$H$8+T306*'Spam Rules'!$H$9+U306*'Spam Rules'!$H$10</f>
        <v>0</v>
      </c>
      <c r="W306" s="3" t="str">
        <f aca="false">IF(V306&gt;='Spam Rules'!$B$3,"Likely Spam","Genuine")</f>
        <v>Genuine</v>
      </c>
      <c r="X306" s="3" t="n">
        <f aca="false">IFERROR(INDEX('Scoring Model'!$B$5:$B$11,MATCH(C306,'Scoring Model'!$A$5:$A$11,0)),0)</f>
        <v>10</v>
      </c>
      <c r="Y306" s="3" t="n">
        <f aca="false">IFERROR(INDEX('Scoring Model'!$E$5:$E$7,MATCH(F306,'Scoring Model'!$D$5:$D$7,0)),0)</f>
        <v>0</v>
      </c>
      <c r="Z306" s="3" t="n">
        <f aca="false">IFERROR(INDEX('Scoring Model'!$H$5:$H$13,MATCH(J306,'Scoring Model'!$G$5:$G$13,0)),0)</f>
        <v>5</v>
      </c>
      <c r="AA306" s="3" t="n">
        <f aca="false">IF(L306&gt;='Scoring Model'!$B$14,'Scoring Model'!$B$15,IF(L306&gt;='Scoring Model'!$B$16,'Scoring Model'!$B$17,0))</f>
        <v>0</v>
      </c>
      <c r="AB306" s="3" t="n">
        <f aca="false">IF(SUMPRODUCT(--ISNUMBER(SEARCH('Scoring Model'!$D$16:$D$25,K306)))&gt;0,'Scoring Model'!$B$18,0)</f>
        <v>15</v>
      </c>
      <c r="AC306" s="3" t="n">
        <f aca="false">IF(SUMPRODUCT(--ISNUMBER(SEARCH('Scoring Model'!$G$16:$G$23,K306)))&gt;0,'Scoring Model'!$B$19,0)</f>
        <v>0</v>
      </c>
      <c r="AD306" s="3" t="n">
        <f aca="false">IF(W306="Likely Spam","",SUM(X306:AC306))</f>
        <v>30</v>
      </c>
      <c r="AE306" s="3" t="str">
        <f aca="false">IF(W306="Likely Spam","Spam",IF(AD306&gt;='Scoring Model'!$B$21,"Hot",IF(AD306&gt;='Scoring Model'!$B$22,"Warm","Nurture")))</f>
        <v>Nurture</v>
      </c>
      <c r="AF306" s="3" t="str">
        <f aca="false">IF(W306="Likely Spam","Flagged by spam rules",TRIM(IF(X306&gt;=20,"Strong source. ","")&amp;IF(Y306&gt;0,"Company email. ","")&amp;IF(Z306&gt;=15,"High-value product. ","")&amp;IF(AA306&gt;='Scoring Model'!$B$15,"High engagement. ","")&amp;IF(AB306&gt;0,"Buying intent in message. ","")&amp;IF(AC306&lt;0,"Negative intent in message. ","")))</f>
        <v>Buying intent in message.</v>
      </c>
      <c r="AG306" s="11" t="n">
        <f aca="false">IF(W306="Likely Spam","",1/(1+EXP(-('Conversion Model'!$B$5+IFERROR(INDEX('Conversion Model'!$B$8:$B$14,MATCH(C306,'Conversion Model'!$A$8:$A$14,0)),0)+IFERROR(INDEX('Conversion Model'!$E$8:$E$9,MATCH(F306,'Conversion Model'!$D$8:$D$9,0)),0)+IFERROR(INDEX('Conversion Model'!$H$8:$H$12,MATCH(IF(LEFT(J306,8)="Payments","Payments",IF(LEFT(J306,7)="Lending","Lending",J306)),'Conversion Model'!$G$8:$G$12,0)),0)+MIN(L306,15)*'Conversion Model'!$B$17+IF(SUMPRODUCT(--ISNUMBER(SEARCH('Scoring Model'!$D$16:$D$25,K306)))&gt;0,'Conversion Model'!$B$18,0)+IF(SUMPRODUCT(--ISNUMBER(SEARCH('Scoring Model'!$G$16:$G$23,K306)))&gt;0,'Conversion Model'!$B$19,0)))))</f>
        <v>0.0527499639006634</v>
      </c>
      <c r="AH306" s="3" t="str">
        <f aca="false">IF(OR(O306="Qualified",O306="Won",O306="Lost"),1,IF(O306="Unqualified",0,""))</f>
        <v/>
      </c>
    </row>
    <row r="307" customFormat="false" ht="15" hidden="false" customHeight="true" outlineLevel="0" collapsed="false">
      <c r="A307" s="3" t="s">
        <v>1255</v>
      </c>
      <c r="B307" s="9" t="n">
        <v>46073.0993055556</v>
      </c>
      <c r="C307" s="3" t="s">
        <v>51</v>
      </c>
      <c r="D307" s="3" t="s">
        <v>1256</v>
      </c>
      <c r="E307" s="3" t="s">
        <v>1257</v>
      </c>
      <c r="F307" s="3" t="s">
        <v>54</v>
      </c>
      <c r="G307" s="3" t="s">
        <v>921</v>
      </c>
      <c r="H307" s="3"/>
      <c r="I307" s="3" t="s">
        <v>334</v>
      </c>
      <c r="J307" s="3" t="s">
        <v>65</v>
      </c>
      <c r="K307" s="3" t="s">
        <v>74</v>
      </c>
      <c r="L307" s="3" t="n">
        <v>1</v>
      </c>
      <c r="M307" s="3" t="n">
        <v>28.6</v>
      </c>
      <c r="N307" s="3" t="s">
        <v>96</v>
      </c>
      <c r="O307" s="3" t="s">
        <v>194</v>
      </c>
      <c r="P307" s="10"/>
      <c r="Q307" s="3" t="n">
        <f aca="false">IF(F307="Disposable",1,0)</f>
        <v>0</v>
      </c>
      <c r="R307" s="3" t="n">
        <f aca="false">IF(SUMPRODUCT(--ISNUMBER(SEARCH('Spam Rules'!$A$22:$A$35,K307)))&gt;0,1,0)</f>
        <v>0</v>
      </c>
      <c r="S307" s="3" t="n">
        <f aca="false">IF(AND(F307="Free",G307=""),1,0)</f>
        <v>0</v>
      </c>
      <c r="T307" s="3" t="n">
        <f aca="false">IF(LEN(TRIM(K307))&lt;15,1,0)</f>
        <v>0</v>
      </c>
      <c r="U307" s="3" t="n">
        <f aca="false">IF(COUNTIF($E$2:$E$801,E307)&gt;1,1,0)</f>
        <v>0</v>
      </c>
      <c r="V307" s="3" t="n">
        <f aca="false">Q307*'Spam Rules'!$H$6+R307*'Spam Rules'!$H$7+S307*'Spam Rules'!$H$8+T307*'Spam Rules'!$H$9+U307*'Spam Rules'!$H$10</f>
        <v>0</v>
      </c>
      <c r="W307" s="3" t="str">
        <f aca="false">IF(V307&gt;='Spam Rules'!$B$3,"Likely Spam","Genuine")</f>
        <v>Genuine</v>
      </c>
      <c r="X307" s="3" t="n">
        <f aca="false">IFERROR(INDEX('Scoring Model'!$B$5:$B$11,MATCH(C307,'Scoring Model'!$A$5:$A$11,0)),0)</f>
        <v>10</v>
      </c>
      <c r="Y307" s="3" t="n">
        <f aca="false">IFERROR(INDEX('Scoring Model'!$E$5:$E$7,MATCH(F307,'Scoring Model'!$D$5:$D$7,0)),0)</f>
        <v>0</v>
      </c>
      <c r="Z307" s="3" t="n">
        <f aca="false">IFERROR(INDEX('Scoring Model'!$H$5:$H$13,MATCH(J307,'Scoring Model'!$G$5:$G$13,0)),0)</f>
        <v>0</v>
      </c>
      <c r="AA307" s="3" t="n">
        <f aca="false">IF(L307&gt;='Scoring Model'!$B$14,'Scoring Model'!$B$15,IF(L307&gt;='Scoring Model'!$B$16,'Scoring Model'!$B$17,0))</f>
        <v>0</v>
      </c>
      <c r="AB307" s="3" t="n">
        <f aca="false">IF(SUMPRODUCT(--ISNUMBER(SEARCH('Scoring Model'!$D$16:$D$25,K307)))&gt;0,'Scoring Model'!$B$18,0)</f>
        <v>0</v>
      </c>
      <c r="AC307" s="3" t="n">
        <f aca="false">IF(SUMPRODUCT(--ISNUMBER(SEARCH('Scoring Model'!$G$16:$G$23,K307)))&gt;0,'Scoring Model'!$B$19,0)</f>
        <v>-30</v>
      </c>
      <c r="AD307" s="3" t="n">
        <f aca="false">IF(W307="Likely Spam","",SUM(X307:AC307))</f>
        <v>-20</v>
      </c>
      <c r="AE307" s="3" t="str">
        <f aca="false">IF(W307="Likely Spam","Spam",IF(AD307&gt;='Scoring Model'!$B$21,"Hot",IF(AD307&gt;='Scoring Model'!$B$22,"Warm","Nurture")))</f>
        <v>Nurture</v>
      </c>
      <c r="AF307" s="3" t="str">
        <f aca="false">IF(W307="Likely Spam","Flagged by spam rules",TRIM(IF(X307&gt;=20,"Strong source. ","")&amp;IF(Y307&gt;0,"Company email. ","")&amp;IF(Z307&gt;=15,"High-value product. ","")&amp;IF(AA307&gt;='Scoring Model'!$B$15,"High engagement. ","")&amp;IF(AB307&gt;0,"Buying intent in message. ","")&amp;IF(AC307&lt;0,"Negative intent in message. ","")))</f>
        <v>Negative intent in message.</v>
      </c>
      <c r="AG307" s="11" t="n">
        <f aca="false">IF(W307="Likely Spam","",1/(1+EXP(-('Conversion Model'!$B$5+IFERROR(INDEX('Conversion Model'!$B$8:$B$14,MATCH(C307,'Conversion Model'!$A$8:$A$14,0)),0)+IFERROR(INDEX('Conversion Model'!$E$8:$E$9,MATCH(F307,'Conversion Model'!$D$8:$D$9,0)),0)+IFERROR(INDEX('Conversion Model'!$H$8:$H$12,MATCH(IF(LEFT(J307,8)="Payments","Payments",IF(LEFT(J307,7)="Lending","Lending",J307)),'Conversion Model'!$G$8:$G$12,0)),0)+MIN(L307,15)*'Conversion Model'!$B$17+IF(SUMPRODUCT(--ISNUMBER(SEARCH('Scoring Model'!$D$16:$D$25,K307)))&gt;0,'Conversion Model'!$B$18,0)+IF(SUMPRODUCT(--ISNUMBER(SEARCH('Scoring Model'!$G$16:$G$23,K307)))&gt;0,'Conversion Model'!$B$19,0)))))</f>
        <v>0.000927583246642184</v>
      </c>
      <c r="AH307" s="3" t="n">
        <f aca="false">IF(OR(O307="Qualified",O307="Won",O307="Lost"),1,IF(O307="Unqualified",0,""))</f>
        <v>0</v>
      </c>
    </row>
    <row r="308" customFormat="false" ht="15" hidden="false" customHeight="true" outlineLevel="0" collapsed="false">
      <c r="A308" s="3" t="s">
        <v>1258</v>
      </c>
      <c r="B308" s="9" t="n">
        <v>46073.39375</v>
      </c>
      <c r="C308" s="3" t="s">
        <v>135</v>
      </c>
      <c r="D308" s="3" t="s">
        <v>1259</v>
      </c>
      <c r="E308" s="3" t="s">
        <v>1260</v>
      </c>
      <c r="F308" s="3" t="s">
        <v>54</v>
      </c>
      <c r="G308" s="3"/>
      <c r="H308" s="3"/>
      <c r="I308" s="3" t="s">
        <v>204</v>
      </c>
      <c r="J308" s="3" t="s">
        <v>122</v>
      </c>
      <c r="K308" s="3" t="s">
        <v>378</v>
      </c>
      <c r="L308" s="3" t="n">
        <v>3</v>
      </c>
      <c r="M308" s="3" t="n">
        <v>3.9</v>
      </c>
      <c r="N308" s="3" t="s">
        <v>67</v>
      </c>
      <c r="O308" s="3" t="s">
        <v>194</v>
      </c>
      <c r="P308" s="10"/>
      <c r="Q308" s="3" t="n">
        <f aca="false">IF(F308="Disposable",1,0)</f>
        <v>0</v>
      </c>
      <c r="R308" s="3" t="n">
        <f aca="false">IF(SUMPRODUCT(--ISNUMBER(SEARCH('Spam Rules'!$A$22:$A$35,K308)))&gt;0,1,0)</f>
        <v>0</v>
      </c>
      <c r="S308" s="3" t="n">
        <f aca="false">IF(AND(F308="Free",G308=""),1,0)</f>
        <v>1</v>
      </c>
      <c r="T308" s="3" t="n">
        <f aca="false">IF(LEN(TRIM(K308))&lt;15,1,0)</f>
        <v>0</v>
      </c>
      <c r="U308" s="3" t="n">
        <f aca="false">IF(COUNTIF($E$2:$E$801,E308)&gt;1,1,0)</f>
        <v>0</v>
      </c>
      <c r="V308" s="3" t="n">
        <f aca="false">Q308*'Spam Rules'!$H$6+R308*'Spam Rules'!$H$7+S308*'Spam Rules'!$H$8+T308*'Spam Rules'!$H$9+U308*'Spam Rules'!$H$10</f>
        <v>0</v>
      </c>
      <c r="W308" s="3" t="str">
        <f aca="false">IF(V308&gt;='Spam Rules'!$B$3,"Likely Spam","Genuine")</f>
        <v>Genuine</v>
      </c>
      <c r="X308" s="3" t="n">
        <f aca="false">IFERROR(INDEX('Scoring Model'!$B$5:$B$11,MATCH(C308,'Scoring Model'!$A$5:$A$11,0)),0)</f>
        <v>20</v>
      </c>
      <c r="Y308" s="3" t="n">
        <f aca="false">IFERROR(INDEX('Scoring Model'!$E$5:$E$7,MATCH(F308,'Scoring Model'!$D$5:$D$7,0)),0)</f>
        <v>0</v>
      </c>
      <c r="Z308" s="3" t="n">
        <f aca="false">IFERROR(INDEX('Scoring Model'!$H$5:$H$13,MATCH(J308,'Scoring Model'!$G$5:$G$13,0)),0)</f>
        <v>15</v>
      </c>
      <c r="AA308" s="3" t="n">
        <f aca="false">IF(L308&gt;='Scoring Model'!$B$14,'Scoring Model'!$B$15,IF(L308&gt;='Scoring Model'!$B$16,'Scoring Model'!$B$17,0))</f>
        <v>0</v>
      </c>
      <c r="AB308" s="3" t="n">
        <f aca="false">IF(SUMPRODUCT(--ISNUMBER(SEARCH('Scoring Model'!$D$16:$D$25,K308)))&gt;0,'Scoring Model'!$B$18,0)</f>
        <v>0</v>
      </c>
      <c r="AC308" s="3" t="n">
        <f aca="false">IF(SUMPRODUCT(--ISNUMBER(SEARCH('Scoring Model'!$G$16:$G$23,K308)))&gt;0,'Scoring Model'!$B$19,0)</f>
        <v>-30</v>
      </c>
      <c r="AD308" s="3" t="n">
        <f aca="false">IF(W308="Likely Spam","",SUM(X308:AC308))</f>
        <v>5</v>
      </c>
      <c r="AE308" s="3" t="str">
        <f aca="false">IF(W308="Likely Spam","Spam",IF(AD308&gt;='Scoring Model'!$B$21,"Hot",IF(AD308&gt;='Scoring Model'!$B$22,"Warm","Nurture")))</f>
        <v>Nurture</v>
      </c>
      <c r="AF308" s="3" t="str">
        <f aca="false">IF(W308="Likely Spam","Flagged by spam rules",TRIM(IF(X308&gt;=20,"Strong source. ","")&amp;IF(Y308&gt;0,"Company email. ","")&amp;IF(Z308&gt;=15,"High-value product. ","")&amp;IF(AA308&gt;='Scoring Model'!$B$15,"High engagement. ","")&amp;IF(AB308&gt;0,"Buying intent in message. ","")&amp;IF(AC308&lt;0,"Negative intent in message. ","")))</f>
        <v>Strong source. High-value product. Negative intent in message.</v>
      </c>
      <c r="AG308" s="11" t="n">
        <f aca="false">IF(W308="Likely Spam","",1/(1+EXP(-('Conversion Model'!$B$5+IFERROR(INDEX('Conversion Model'!$B$8:$B$14,MATCH(C308,'Conversion Model'!$A$8:$A$14,0)),0)+IFERROR(INDEX('Conversion Model'!$E$8:$E$9,MATCH(F308,'Conversion Model'!$D$8:$D$9,0)),0)+IFERROR(INDEX('Conversion Model'!$H$8:$H$12,MATCH(IF(LEFT(J308,8)="Payments","Payments",IF(LEFT(J308,7)="Lending","Lending",J308)),'Conversion Model'!$G$8:$G$12,0)),0)+MIN(L308,15)*'Conversion Model'!$B$17+IF(SUMPRODUCT(--ISNUMBER(SEARCH('Scoring Model'!$D$16:$D$25,K308)))&gt;0,'Conversion Model'!$B$18,0)+IF(SUMPRODUCT(--ISNUMBER(SEARCH('Scoring Model'!$G$16:$G$23,K308)))&gt;0,'Conversion Model'!$B$19,0)))))</f>
        <v>0.0129579901988532</v>
      </c>
      <c r="AH308" s="3" t="n">
        <f aca="false">IF(OR(O308="Qualified",O308="Won",O308="Lost"),1,IF(O308="Unqualified",0,""))</f>
        <v>0</v>
      </c>
    </row>
    <row r="309" customFormat="false" ht="15" hidden="false" customHeight="true" outlineLevel="0" collapsed="false">
      <c r="A309" s="3" t="s">
        <v>1261</v>
      </c>
      <c r="B309" s="9" t="n">
        <v>46074.2701388889</v>
      </c>
      <c r="C309" s="3" t="s">
        <v>51</v>
      </c>
      <c r="D309" s="3" t="s">
        <v>1262</v>
      </c>
      <c r="E309" s="3" t="s">
        <v>1263</v>
      </c>
      <c r="F309" s="3" t="s">
        <v>22</v>
      </c>
      <c r="G309" s="3" t="s">
        <v>79</v>
      </c>
      <c r="H309" s="3" t="s">
        <v>886</v>
      </c>
      <c r="I309" s="3" t="s">
        <v>107</v>
      </c>
      <c r="J309" s="3" t="s">
        <v>65</v>
      </c>
      <c r="K309" s="3" t="s">
        <v>82</v>
      </c>
      <c r="L309" s="3" t="n">
        <v>1</v>
      </c>
      <c r="M309" s="3" t="n">
        <v>43.4</v>
      </c>
      <c r="N309" s="3" t="s">
        <v>96</v>
      </c>
      <c r="O309" s="3" t="s">
        <v>68</v>
      </c>
      <c r="P309" s="10"/>
      <c r="Q309" s="3" t="n">
        <f aca="false">IF(F309="Disposable",1,0)</f>
        <v>0</v>
      </c>
      <c r="R309" s="3" t="n">
        <f aca="false">IF(SUMPRODUCT(--ISNUMBER(SEARCH('Spam Rules'!$A$22:$A$35,K309)))&gt;0,1,0)</f>
        <v>1</v>
      </c>
      <c r="S309" s="3" t="n">
        <f aca="false">IF(AND(F309="Free",G309=""),1,0)</f>
        <v>0</v>
      </c>
      <c r="T309" s="3" t="n">
        <f aca="false">IF(LEN(TRIM(K309))&lt;15,1,0)</f>
        <v>0</v>
      </c>
      <c r="U309" s="3" t="n">
        <f aca="false">IF(COUNTIF($E$2:$E$801,E309)&gt;1,1,0)</f>
        <v>1</v>
      </c>
      <c r="V309" s="3" t="n">
        <f aca="false">Q309*'Spam Rules'!$H$6+R309*'Spam Rules'!$H$7+S309*'Spam Rules'!$H$8+T309*'Spam Rules'!$H$9+U309*'Spam Rules'!$H$10</f>
        <v>1</v>
      </c>
      <c r="W309" s="3" t="str">
        <f aca="false">IF(V309&gt;='Spam Rules'!$B$3,"Likely Spam","Genuine")</f>
        <v>Likely Spam</v>
      </c>
      <c r="X309" s="3" t="n">
        <f aca="false">IFERROR(INDEX('Scoring Model'!$B$5:$B$11,MATCH(C309,'Scoring Model'!$A$5:$A$11,0)),0)</f>
        <v>10</v>
      </c>
      <c r="Y309" s="3" t="n">
        <f aca="false">IFERROR(INDEX('Scoring Model'!$E$5:$E$7,MATCH(F309,'Scoring Model'!$D$5:$D$7,0)),0)</f>
        <v>20</v>
      </c>
      <c r="Z309" s="3" t="n">
        <f aca="false">IFERROR(INDEX('Scoring Model'!$H$5:$H$13,MATCH(J309,'Scoring Model'!$G$5:$G$13,0)),0)</f>
        <v>0</v>
      </c>
      <c r="AA309" s="3" t="n">
        <f aca="false">IF(L309&gt;='Scoring Model'!$B$14,'Scoring Model'!$B$15,IF(L309&gt;='Scoring Model'!$B$16,'Scoring Model'!$B$17,0))</f>
        <v>0</v>
      </c>
      <c r="AB309" s="3" t="n">
        <f aca="false">IF(SUMPRODUCT(--ISNUMBER(SEARCH('Scoring Model'!$D$16:$D$25,K309)))&gt;0,'Scoring Model'!$B$18,0)</f>
        <v>0</v>
      </c>
      <c r="AC309" s="3" t="n">
        <f aca="false">IF(SUMPRODUCT(--ISNUMBER(SEARCH('Scoring Model'!$G$16:$G$23,K309)))&gt;0,'Scoring Model'!$B$19,0)</f>
        <v>0</v>
      </c>
      <c r="AD309" s="3" t="str">
        <f aca="false">IF(W309="Likely Spam","",SUM(X309:AC309))</f>
        <v/>
      </c>
      <c r="AE309" s="3" t="str">
        <f aca="false">IF(W309="Likely Spam","Spam",IF(AD309&gt;='Scoring Model'!$B$21,"Hot",IF(AD309&gt;='Scoring Model'!$B$22,"Warm","Nurture")))</f>
        <v>Spam</v>
      </c>
      <c r="AF309" s="3" t="str">
        <f aca="false">IF(W309="Likely Spam","Flagged by spam rules",TRIM(IF(X309&gt;=20,"Strong source. ","")&amp;IF(Y309&gt;0,"Company email. ","")&amp;IF(Z309&gt;=15,"High-value product. ","")&amp;IF(AA309&gt;='Scoring Model'!$B$15,"High engagement. ","")&amp;IF(AB309&gt;0,"Buying intent in message. ","")&amp;IF(AC309&lt;0,"Negative intent in message. ","")))</f>
        <v>Flagged by spam rules</v>
      </c>
      <c r="AG309" s="11" t="str">
        <f aca="false">IF(W309="Likely Spam","",1/(1+EXP(-('Conversion Model'!$B$5+IFERROR(INDEX('Conversion Model'!$B$8:$B$14,MATCH(C309,'Conversion Model'!$A$8:$A$14,0)),0)+IFERROR(INDEX('Conversion Model'!$E$8:$E$9,MATCH(F309,'Conversion Model'!$D$8:$D$9,0)),0)+IFERROR(INDEX('Conversion Model'!$H$8:$H$12,MATCH(IF(LEFT(J309,8)="Payments","Payments",IF(LEFT(J309,7)="Lending","Lending",J309)),'Conversion Model'!$G$8:$G$12,0)),0)+MIN(L309,15)*'Conversion Model'!$B$17+IF(SUMPRODUCT(--ISNUMBER(SEARCH('Scoring Model'!$D$16:$D$25,K309)))&gt;0,'Conversion Model'!$B$18,0)+IF(SUMPRODUCT(--ISNUMBER(SEARCH('Scoring Model'!$G$16:$G$23,K309)))&gt;0,'Conversion Model'!$B$19,0)))))</f>
        <v/>
      </c>
      <c r="AH309" s="3" t="str">
        <f aca="false">IF(OR(O309="Qualified",O309="Won",O309="Lost"),1,IF(O309="Unqualified",0,""))</f>
        <v/>
      </c>
    </row>
    <row r="310" customFormat="false" ht="15" hidden="false" customHeight="true" outlineLevel="0" collapsed="false">
      <c r="A310" s="3" t="s">
        <v>1264</v>
      </c>
      <c r="B310" s="9" t="n">
        <v>46074.3354166667</v>
      </c>
      <c r="C310" s="3" t="s">
        <v>135</v>
      </c>
      <c r="D310" s="3" t="s">
        <v>1265</v>
      </c>
      <c r="E310" s="3" t="s">
        <v>1266</v>
      </c>
      <c r="F310" s="3" t="s">
        <v>22</v>
      </c>
      <c r="G310" s="3" t="s">
        <v>1267</v>
      </c>
      <c r="H310" s="3" t="s">
        <v>1268</v>
      </c>
      <c r="I310" s="3" t="s">
        <v>56</v>
      </c>
      <c r="J310" s="3" t="s">
        <v>117</v>
      </c>
      <c r="K310" s="3" t="s">
        <v>189</v>
      </c>
      <c r="L310" s="3" t="n">
        <v>9</v>
      </c>
      <c r="M310" s="3" t="n">
        <v>11.8</v>
      </c>
      <c r="N310" s="3" t="s">
        <v>96</v>
      </c>
      <c r="O310" s="3"/>
      <c r="P310" s="10"/>
      <c r="Q310" s="3" t="n">
        <f aca="false">IF(F310="Disposable",1,0)</f>
        <v>0</v>
      </c>
      <c r="R310" s="3" t="n">
        <f aca="false">IF(SUMPRODUCT(--ISNUMBER(SEARCH('Spam Rules'!$A$22:$A$35,K310)))&gt;0,1,0)</f>
        <v>0</v>
      </c>
      <c r="S310" s="3" t="n">
        <f aca="false">IF(AND(F310="Free",G310=""),1,0)</f>
        <v>0</v>
      </c>
      <c r="T310" s="3" t="n">
        <f aca="false">IF(LEN(TRIM(K310))&lt;15,1,0)</f>
        <v>0</v>
      </c>
      <c r="U310" s="3" t="n">
        <f aca="false">IF(COUNTIF($E$2:$E$801,E310)&gt;1,1,0)</f>
        <v>0</v>
      </c>
      <c r="V310" s="3" t="n">
        <f aca="false">Q310*'Spam Rules'!$H$6+R310*'Spam Rules'!$H$7+S310*'Spam Rules'!$H$8+T310*'Spam Rules'!$H$9+U310*'Spam Rules'!$H$10</f>
        <v>0</v>
      </c>
      <c r="W310" s="3" t="str">
        <f aca="false">IF(V310&gt;='Spam Rules'!$B$3,"Likely Spam","Genuine")</f>
        <v>Genuine</v>
      </c>
      <c r="X310" s="3" t="n">
        <f aca="false">IFERROR(INDEX('Scoring Model'!$B$5:$B$11,MATCH(C310,'Scoring Model'!$A$5:$A$11,0)),0)</f>
        <v>20</v>
      </c>
      <c r="Y310" s="3" t="n">
        <f aca="false">IFERROR(INDEX('Scoring Model'!$E$5:$E$7,MATCH(F310,'Scoring Model'!$D$5:$D$7,0)),0)</f>
        <v>20</v>
      </c>
      <c r="Z310" s="3" t="n">
        <f aca="false">IFERROR(INDEX('Scoring Model'!$H$5:$H$13,MATCH(J310,'Scoring Model'!$G$5:$G$13,0)),0)</f>
        <v>15</v>
      </c>
      <c r="AA310" s="3" t="n">
        <f aca="false">IF(L310&gt;='Scoring Model'!$B$14,'Scoring Model'!$B$15,IF(L310&gt;='Scoring Model'!$B$16,'Scoring Model'!$B$17,0))</f>
        <v>15</v>
      </c>
      <c r="AB310" s="3" t="n">
        <f aca="false">IF(SUMPRODUCT(--ISNUMBER(SEARCH('Scoring Model'!$D$16:$D$25,K310)))&gt;0,'Scoring Model'!$B$18,0)</f>
        <v>15</v>
      </c>
      <c r="AC310" s="3" t="n">
        <f aca="false">IF(SUMPRODUCT(--ISNUMBER(SEARCH('Scoring Model'!$G$16:$G$23,K310)))&gt;0,'Scoring Model'!$B$19,0)</f>
        <v>0</v>
      </c>
      <c r="AD310" s="3" t="n">
        <f aca="false">IF(W310="Likely Spam","",SUM(X310:AC310))</f>
        <v>85</v>
      </c>
      <c r="AE310" s="3" t="str">
        <f aca="false">IF(W310="Likely Spam","Spam",IF(AD310&gt;='Scoring Model'!$B$21,"Hot",IF(AD310&gt;='Scoring Model'!$B$22,"Warm","Nurture")))</f>
        <v>Hot</v>
      </c>
      <c r="AF310" s="3" t="str">
        <f aca="false">IF(W310="Likely Spam","Flagged by spam rules",TRIM(IF(X310&gt;=20,"Strong source. ","")&amp;IF(Y310&gt;0,"Company email. ","")&amp;IF(Z310&gt;=15,"High-value product. ","")&amp;IF(AA310&gt;='Scoring Model'!$B$15,"High engagement. ","")&amp;IF(AB310&gt;0,"Buying intent in message. ","")&amp;IF(AC310&lt;0,"Negative intent in message. ","")))</f>
        <v>Strong source. Company email. High-value product. High engagement. Buying intent in message.</v>
      </c>
      <c r="AG310" s="11" t="n">
        <f aca="false">IF(W310="Likely Spam","",1/(1+EXP(-('Conversion Model'!$B$5+IFERROR(INDEX('Conversion Model'!$B$8:$B$14,MATCH(C310,'Conversion Model'!$A$8:$A$14,0)),0)+IFERROR(INDEX('Conversion Model'!$E$8:$E$9,MATCH(F310,'Conversion Model'!$D$8:$D$9,0)),0)+IFERROR(INDEX('Conversion Model'!$H$8:$H$12,MATCH(IF(LEFT(J310,8)="Payments","Payments",IF(LEFT(J310,7)="Lending","Lending",J310)),'Conversion Model'!$G$8:$G$12,0)),0)+MIN(L310,15)*'Conversion Model'!$B$17+IF(SUMPRODUCT(--ISNUMBER(SEARCH('Scoring Model'!$D$16:$D$25,K310)))&gt;0,'Conversion Model'!$B$18,0)+IF(SUMPRODUCT(--ISNUMBER(SEARCH('Scoring Model'!$G$16:$G$23,K310)))&gt;0,'Conversion Model'!$B$19,0)))))</f>
        <v>0.99699359699962</v>
      </c>
      <c r="AH310" s="3" t="str">
        <f aca="false">IF(OR(O310="Qualified",O310="Won",O310="Lost"),1,IF(O310="Unqualified",0,""))</f>
        <v/>
      </c>
    </row>
    <row r="311" customFormat="false" ht="15" hidden="false" customHeight="true" outlineLevel="0" collapsed="false">
      <c r="A311" s="3" t="s">
        <v>1269</v>
      </c>
      <c r="B311" s="9" t="n">
        <v>46074.4423611111</v>
      </c>
      <c r="C311" s="3" t="s">
        <v>51</v>
      </c>
      <c r="D311" s="3" t="s">
        <v>1185</v>
      </c>
      <c r="E311" s="3" t="s">
        <v>1270</v>
      </c>
      <c r="F311" s="3" t="s">
        <v>22</v>
      </c>
      <c r="G311" s="3" t="s">
        <v>275</v>
      </c>
      <c r="H311" s="3" t="s">
        <v>1271</v>
      </c>
      <c r="I311" s="3" t="s">
        <v>116</v>
      </c>
      <c r="J311" s="3" t="s">
        <v>117</v>
      </c>
      <c r="K311" s="3" t="s">
        <v>1272</v>
      </c>
      <c r="L311" s="3" t="n">
        <v>12</v>
      </c>
      <c r="M311" s="3" t="n">
        <v>5.5</v>
      </c>
      <c r="N311" s="3" t="s">
        <v>67</v>
      </c>
      <c r="O311" s="3"/>
      <c r="P311" s="10"/>
      <c r="Q311" s="3" t="n">
        <f aca="false">IF(F311="Disposable",1,0)</f>
        <v>0</v>
      </c>
      <c r="R311" s="3" t="n">
        <f aca="false">IF(SUMPRODUCT(--ISNUMBER(SEARCH('Spam Rules'!$A$22:$A$35,K311)))&gt;0,1,0)</f>
        <v>0</v>
      </c>
      <c r="S311" s="3" t="n">
        <f aca="false">IF(AND(F311="Free",G311=""),1,0)</f>
        <v>0</v>
      </c>
      <c r="T311" s="3" t="n">
        <f aca="false">IF(LEN(TRIM(K311))&lt;15,1,0)</f>
        <v>0</v>
      </c>
      <c r="U311" s="3" t="n">
        <f aca="false">IF(COUNTIF($E$2:$E$801,E311)&gt;1,1,0)</f>
        <v>0</v>
      </c>
      <c r="V311" s="3" t="n">
        <f aca="false">Q311*'Spam Rules'!$H$6+R311*'Spam Rules'!$H$7+S311*'Spam Rules'!$H$8+T311*'Spam Rules'!$H$9+U311*'Spam Rules'!$H$10</f>
        <v>0</v>
      </c>
      <c r="W311" s="3" t="str">
        <f aca="false">IF(V311&gt;='Spam Rules'!$B$3,"Likely Spam","Genuine")</f>
        <v>Genuine</v>
      </c>
      <c r="X311" s="3" t="n">
        <f aca="false">IFERROR(INDEX('Scoring Model'!$B$5:$B$11,MATCH(C311,'Scoring Model'!$A$5:$A$11,0)),0)</f>
        <v>10</v>
      </c>
      <c r="Y311" s="3" t="n">
        <f aca="false">IFERROR(INDEX('Scoring Model'!$E$5:$E$7,MATCH(F311,'Scoring Model'!$D$5:$D$7,0)),0)</f>
        <v>20</v>
      </c>
      <c r="Z311" s="3" t="n">
        <f aca="false">IFERROR(INDEX('Scoring Model'!$H$5:$H$13,MATCH(J311,'Scoring Model'!$G$5:$G$13,0)),0)</f>
        <v>15</v>
      </c>
      <c r="AA311" s="3" t="n">
        <f aca="false">IF(L311&gt;='Scoring Model'!$B$14,'Scoring Model'!$B$15,IF(L311&gt;='Scoring Model'!$B$16,'Scoring Model'!$B$17,0))</f>
        <v>15</v>
      </c>
      <c r="AB311" s="3" t="n">
        <f aca="false">IF(SUMPRODUCT(--ISNUMBER(SEARCH('Scoring Model'!$D$16:$D$25,K311)))&gt;0,'Scoring Model'!$B$18,0)</f>
        <v>15</v>
      </c>
      <c r="AC311" s="3" t="n">
        <f aca="false">IF(SUMPRODUCT(--ISNUMBER(SEARCH('Scoring Model'!$G$16:$G$23,K311)))&gt;0,'Scoring Model'!$B$19,0)</f>
        <v>0</v>
      </c>
      <c r="AD311" s="3" t="n">
        <f aca="false">IF(W311="Likely Spam","",SUM(X311:AC311))</f>
        <v>75</v>
      </c>
      <c r="AE311" s="3" t="str">
        <f aca="false">IF(W311="Likely Spam","Spam",IF(AD311&gt;='Scoring Model'!$B$21,"Hot",IF(AD311&gt;='Scoring Model'!$B$22,"Warm","Nurture")))</f>
        <v>Hot</v>
      </c>
      <c r="AF311" s="3" t="str">
        <f aca="false">IF(W311="Likely Spam","Flagged by spam rules",TRIM(IF(X311&gt;=20,"Strong source. ","")&amp;IF(Y311&gt;0,"Company email. ","")&amp;IF(Z311&gt;=15,"High-value product. ","")&amp;IF(AA311&gt;='Scoring Model'!$B$15,"High engagement. ","")&amp;IF(AB311&gt;0,"Buying intent in message. ","")&amp;IF(AC311&lt;0,"Negative intent in message. ","")))</f>
        <v>Company email. High-value product. High engagement. Buying intent in message.</v>
      </c>
      <c r="AG311" s="11" t="n">
        <f aca="false">IF(W311="Likely Spam","",1/(1+EXP(-('Conversion Model'!$B$5+IFERROR(INDEX('Conversion Model'!$B$8:$B$14,MATCH(C311,'Conversion Model'!$A$8:$A$14,0)),0)+IFERROR(INDEX('Conversion Model'!$E$8:$E$9,MATCH(F311,'Conversion Model'!$D$8:$D$9,0)),0)+IFERROR(INDEX('Conversion Model'!$H$8:$H$12,MATCH(IF(LEFT(J311,8)="Payments","Payments",IF(LEFT(J311,7)="Lending","Lending",J311)),'Conversion Model'!$G$8:$G$12,0)),0)+MIN(L311,15)*'Conversion Model'!$B$17+IF(SUMPRODUCT(--ISNUMBER(SEARCH('Scoring Model'!$D$16:$D$25,K311)))&gt;0,'Conversion Model'!$B$18,0)+IF(SUMPRODUCT(--ISNUMBER(SEARCH('Scoring Model'!$G$16:$G$23,K311)))&gt;0,'Conversion Model'!$B$19,0)))))</f>
        <v>0.999347469543643</v>
      </c>
      <c r="AH311" s="3" t="str">
        <f aca="false">IF(OR(O311="Qualified",O311="Won",O311="Lost"),1,IF(O311="Unqualified",0,""))</f>
        <v/>
      </c>
    </row>
    <row r="312" customFormat="false" ht="15" hidden="false" customHeight="true" outlineLevel="0" collapsed="false">
      <c r="A312" s="3" t="s">
        <v>1273</v>
      </c>
      <c r="B312" s="9" t="n">
        <v>46074.4451388889</v>
      </c>
      <c r="C312" s="3" t="s">
        <v>112</v>
      </c>
      <c r="D312" s="3" t="s">
        <v>1274</v>
      </c>
      <c r="E312" s="3" t="s">
        <v>1275</v>
      </c>
      <c r="F312" s="3" t="s">
        <v>22</v>
      </c>
      <c r="G312" s="3" t="s">
        <v>55</v>
      </c>
      <c r="H312" s="3" t="s">
        <v>1276</v>
      </c>
      <c r="I312" s="3" t="s">
        <v>139</v>
      </c>
      <c r="J312" s="3" t="s">
        <v>81</v>
      </c>
      <c r="K312" s="3" t="s">
        <v>266</v>
      </c>
      <c r="L312" s="3" t="n">
        <v>3</v>
      </c>
      <c r="M312" s="3" t="n">
        <v>8.3</v>
      </c>
      <c r="N312" s="3" t="s">
        <v>96</v>
      </c>
      <c r="O312" s="3"/>
      <c r="P312" s="10"/>
      <c r="Q312" s="3" t="n">
        <f aca="false">IF(F312="Disposable",1,0)</f>
        <v>0</v>
      </c>
      <c r="R312" s="3" t="n">
        <f aca="false">IF(SUMPRODUCT(--ISNUMBER(SEARCH('Spam Rules'!$A$22:$A$35,K312)))&gt;0,1,0)</f>
        <v>0</v>
      </c>
      <c r="S312" s="3" t="n">
        <f aca="false">IF(AND(F312="Free",G312=""),1,0)</f>
        <v>0</v>
      </c>
      <c r="T312" s="3" t="n">
        <f aca="false">IF(LEN(TRIM(K312))&lt;15,1,0)</f>
        <v>0</v>
      </c>
      <c r="U312" s="3" t="n">
        <f aca="false">IF(COUNTIF($E$2:$E$801,E312)&gt;1,1,0)</f>
        <v>0</v>
      </c>
      <c r="V312" s="3" t="n">
        <f aca="false">Q312*'Spam Rules'!$H$6+R312*'Spam Rules'!$H$7+S312*'Spam Rules'!$H$8+T312*'Spam Rules'!$H$9+U312*'Spam Rules'!$H$10</f>
        <v>0</v>
      </c>
      <c r="W312" s="3" t="str">
        <f aca="false">IF(V312&gt;='Spam Rules'!$B$3,"Likely Spam","Genuine")</f>
        <v>Genuine</v>
      </c>
      <c r="X312" s="3" t="n">
        <f aca="false">IFERROR(INDEX('Scoring Model'!$B$5:$B$11,MATCH(C312,'Scoring Model'!$A$5:$A$11,0)),0)</f>
        <v>15</v>
      </c>
      <c r="Y312" s="3" t="n">
        <f aca="false">IFERROR(INDEX('Scoring Model'!$E$5:$E$7,MATCH(F312,'Scoring Model'!$D$5:$D$7,0)),0)</f>
        <v>20</v>
      </c>
      <c r="Z312" s="3" t="n">
        <f aca="false">IFERROR(INDEX('Scoring Model'!$H$5:$H$13,MATCH(J312,'Scoring Model'!$G$5:$G$13,0)),0)</f>
        <v>5</v>
      </c>
      <c r="AA312" s="3" t="n">
        <f aca="false">IF(L312&gt;='Scoring Model'!$B$14,'Scoring Model'!$B$15,IF(L312&gt;='Scoring Model'!$B$16,'Scoring Model'!$B$17,0))</f>
        <v>0</v>
      </c>
      <c r="AB312" s="3" t="n">
        <f aca="false">IF(SUMPRODUCT(--ISNUMBER(SEARCH('Scoring Model'!$D$16:$D$25,K312)))&gt;0,'Scoring Model'!$B$18,0)</f>
        <v>15</v>
      </c>
      <c r="AC312" s="3" t="n">
        <f aca="false">IF(SUMPRODUCT(--ISNUMBER(SEARCH('Scoring Model'!$G$16:$G$23,K312)))&gt;0,'Scoring Model'!$B$19,0)</f>
        <v>0</v>
      </c>
      <c r="AD312" s="3" t="n">
        <f aca="false">IF(W312="Likely Spam","",SUM(X312:AC312))</f>
        <v>55</v>
      </c>
      <c r="AE312" s="3" t="str">
        <f aca="false">IF(W312="Likely Spam","Spam",IF(AD312&gt;='Scoring Model'!$B$21,"Hot",IF(AD312&gt;='Scoring Model'!$B$22,"Warm","Nurture")))</f>
        <v>Warm</v>
      </c>
      <c r="AF312" s="3" t="str">
        <f aca="false">IF(W312="Likely Spam","Flagged by spam rules",TRIM(IF(X312&gt;=20,"Strong source. ","")&amp;IF(Y312&gt;0,"Company email. ","")&amp;IF(Z312&gt;=15,"High-value product. ","")&amp;IF(AA312&gt;='Scoring Model'!$B$15,"High engagement. ","")&amp;IF(AB312&gt;0,"Buying intent in message. ","")&amp;IF(AC312&lt;0,"Negative intent in message. ","")))</f>
        <v>Company email. Buying intent in message.</v>
      </c>
      <c r="AG312" s="11" t="n">
        <f aca="false">IF(W312="Likely Spam","",1/(1+EXP(-('Conversion Model'!$B$5+IFERROR(INDEX('Conversion Model'!$B$8:$B$14,MATCH(C312,'Conversion Model'!$A$8:$A$14,0)),0)+IFERROR(INDEX('Conversion Model'!$E$8:$E$9,MATCH(F312,'Conversion Model'!$D$8:$D$9,0)),0)+IFERROR(INDEX('Conversion Model'!$H$8:$H$12,MATCH(IF(LEFT(J312,8)="Payments","Payments",IF(LEFT(J312,7)="Lending","Lending",J312)),'Conversion Model'!$G$8:$G$12,0)),0)+MIN(L312,15)*'Conversion Model'!$B$17+IF(SUMPRODUCT(--ISNUMBER(SEARCH('Scoring Model'!$D$16:$D$25,K312)))&gt;0,'Conversion Model'!$B$18,0)+IF(SUMPRODUCT(--ISNUMBER(SEARCH('Scoring Model'!$G$16:$G$23,K312)))&gt;0,'Conversion Model'!$B$19,0)))))</f>
        <v>0.236132726667318</v>
      </c>
      <c r="AH312" s="3" t="str">
        <f aca="false">IF(OR(O312="Qualified",O312="Won",O312="Lost"),1,IF(O312="Unqualified",0,""))</f>
        <v/>
      </c>
    </row>
    <row r="313" customFormat="false" ht="15" hidden="false" customHeight="true" outlineLevel="0" collapsed="false">
      <c r="A313" s="3" t="s">
        <v>1277</v>
      </c>
      <c r="B313" s="9" t="n">
        <v>46074.4645833333</v>
      </c>
      <c r="C313" s="3" t="s">
        <v>160</v>
      </c>
      <c r="D313" s="3" t="s">
        <v>896</v>
      </c>
      <c r="E313" s="3" t="s">
        <v>1278</v>
      </c>
      <c r="F313" s="3" t="s">
        <v>54</v>
      </c>
      <c r="G313" s="3" t="s">
        <v>1279</v>
      </c>
      <c r="H313" s="3"/>
      <c r="I313" s="3" t="s">
        <v>260</v>
      </c>
      <c r="J313" s="3" t="s">
        <v>81</v>
      </c>
      <c r="K313" s="3" t="s">
        <v>349</v>
      </c>
      <c r="L313" s="3" t="n">
        <v>3</v>
      </c>
      <c r="M313" s="3" t="n">
        <v>4.1</v>
      </c>
      <c r="N313" s="3" t="s">
        <v>96</v>
      </c>
      <c r="O313" s="3" t="s">
        <v>194</v>
      </c>
      <c r="P313" s="10"/>
      <c r="Q313" s="3" t="n">
        <f aca="false">IF(F313="Disposable",1,0)</f>
        <v>0</v>
      </c>
      <c r="R313" s="3" t="n">
        <f aca="false">IF(SUMPRODUCT(--ISNUMBER(SEARCH('Spam Rules'!$A$22:$A$35,K313)))&gt;0,1,0)</f>
        <v>0</v>
      </c>
      <c r="S313" s="3" t="n">
        <f aca="false">IF(AND(F313="Free",G313=""),1,0)</f>
        <v>0</v>
      </c>
      <c r="T313" s="3" t="n">
        <f aca="false">IF(LEN(TRIM(K313))&lt;15,1,0)</f>
        <v>0</v>
      </c>
      <c r="U313" s="3" t="n">
        <f aca="false">IF(COUNTIF($E$2:$E$801,E313)&gt;1,1,0)</f>
        <v>0</v>
      </c>
      <c r="V313" s="3" t="n">
        <f aca="false">Q313*'Spam Rules'!$H$6+R313*'Spam Rules'!$H$7+S313*'Spam Rules'!$H$8+T313*'Spam Rules'!$H$9+U313*'Spam Rules'!$H$10</f>
        <v>0</v>
      </c>
      <c r="W313" s="3" t="str">
        <f aca="false">IF(V313&gt;='Spam Rules'!$B$3,"Likely Spam","Genuine")</f>
        <v>Genuine</v>
      </c>
      <c r="X313" s="3" t="n">
        <f aca="false">IFERROR(INDEX('Scoring Model'!$B$5:$B$11,MATCH(C313,'Scoring Model'!$A$5:$A$11,0)),0)</f>
        <v>25</v>
      </c>
      <c r="Y313" s="3" t="n">
        <f aca="false">IFERROR(INDEX('Scoring Model'!$E$5:$E$7,MATCH(F313,'Scoring Model'!$D$5:$D$7,0)),0)</f>
        <v>0</v>
      </c>
      <c r="Z313" s="3" t="n">
        <f aca="false">IFERROR(INDEX('Scoring Model'!$H$5:$H$13,MATCH(J313,'Scoring Model'!$G$5:$G$13,0)),0)</f>
        <v>5</v>
      </c>
      <c r="AA313" s="3" t="n">
        <f aca="false">IF(L313&gt;='Scoring Model'!$B$14,'Scoring Model'!$B$15,IF(L313&gt;='Scoring Model'!$B$16,'Scoring Model'!$B$17,0))</f>
        <v>0</v>
      </c>
      <c r="AB313" s="3" t="n">
        <f aca="false">IF(SUMPRODUCT(--ISNUMBER(SEARCH('Scoring Model'!$D$16:$D$25,K313)))&gt;0,'Scoring Model'!$B$18,0)</f>
        <v>0</v>
      </c>
      <c r="AC313" s="3" t="n">
        <f aca="false">IF(SUMPRODUCT(--ISNUMBER(SEARCH('Scoring Model'!$G$16:$G$23,K313)))&gt;0,'Scoring Model'!$B$19,0)</f>
        <v>-30</v>
      </c>
      <c r="AD313" s="3" t="n">
        <f aca="false">IF(W313="Likely Spam","",SUM(X313:AC313))</f>
        <v>0</v>
      </c>
      <c r="AE313" s="3" t="str">
        <f aca="false">IF(W313="Likely Spam","Spam",IF(AD313&gt;='Scoring Model'!$B$21,"Hot",IF(AD313&gt;='Scoring Model'!$B$22,"Warm","Nurture")))</f>
        <v>Nurture</v>
      </c>
      <c r="AF313" s="3" t="str">
        <f aca="false">IF(W313="Likely Spam","Flagged by spam rules",TRIM(IF(X313&gt;=20,"Strong source. ","")&amp;IF(Y313&gt;0,"Company email. ","")&amp;IF(Z313&gt;=15,"High-value product. ","")&amp;IF(AA313&gt;='Scoring Model'!$B$15,"High engagement. ","")&amp;IF(AB313&gt;0,"Buying intent in message. ","")&amp;IF(AC313&lt;0,"Negative intent in message. ","")))</f>
        <v>Strong source. Negative intent in message.</v>
      </c>
      <c r="AG313" s="11" t="n">
        <f aca="false">IF(W313="Likely Spam","",1/(1+EXP(-('Conversion Model'!$B$5+IFERROR(INDEX('Conversion Model'!$B$8:$B$14,MATCH(C313,'Conversion Model'!$A$8:$A$14,0)),0)+IFERROR(INDEX('Conversion Model'!$E$8:$E$9,MATCH(F313,'Conversion Model'!$D$8:$D$9,0)),0)+IFERROR(INDEX('Conversion Model'!$H$8:$H$12,MATCH(IF(LEFT(J313,8)="Payments","Payments",IF(LEFT(J313,7)="Lending","Lending",J313)),'Conversion Model'!$G$8:$G$12,0)),0)+MIN(L313,15)*'Conversion Model'!$B$17+IF(SUMPRODUCT(--ISNUMBER(SEARCH('Scoring Model'!$D$16:$D$25,K313)))&gt;0,'Conversion Model'!$B$18,0)+IF(SUMPRODUCT(--ISNUMBER(SEARCH('Scoring Model'!$G$16:$G$23,K313)))&gt;0,'Conversion Model'!$B$19,0)))))</f>
        <v>0.00619375953497351</v>
      </c>
      <c r="AH313" s="3" t="n">
        <f aca="false">IF(OR(O313="Qualified",O313="Won",O313="Lost"),1,IF(O313="Unqualified",0,""))</f>
        <v>0</v>
      </c>
    </row>
    <row r="314" customFormat="false" ht="15" hidden="false" customHeight="true" outlineLevel="0" collapsed="false">
      <c r="A314" s="3" t="s">
        <v>1280</v>
      </c>
      <c r="B314" s="9" t="n">
        <v>46074.9722222222</v>
      </c>
      <c r="C314" s="3" t="s">
        <v>51</v>
      </c>
      <c r="D314" s="3" t="s">
        <v>286</v>
      </c>
      <c r="E314" s="3" t="s">
        <v>1281</v>
      </c>
      <c r="F314" s="3" t="s">
        <v>63</v>
      </c>
      <c r="G314" s="3"/>
      <c r="H314" s="3"/>
      <c r="I314" s="3" t="s">
        <v>204</v>
      </c>
      <c r="J314" s="3" t="s">
        <v>122</v>
      </c>
      <c r="K314" s="3" t="s">
        <v>170</v>
      </c>
      <c r="L314" s="3" t="n">
        <v>1</v>
      </c>
      <c r="M314" s="3"/>
      <c r="N314" s="3" t="s">
        <v>67</v>
      </c>
      <c r="O314" s="3" t="s">
        <v>68</v>
      </c>
      <c r="P314" s="10"/>
      <c r="Q314" s="3" t="n">
        <f aca="false">IF(F314="Disposable",1,0)</f>
        <v>1</v>
      </c>
      <c r="R314" s="3" t="n">
        <f aca="false">IF(SUMPRODUCT(--ISNUMBER(SEARCH('Spam Rules'!$A$22:$A$35,K314)))&gt;0,1,0)</f>
        <v>0</v>
      </c>
      <c r="S314" s="3" t="n">
        <f aca="false">IF(AND(F314="Free",G314=""),1,0)</f>
        <v>0</v>
      </c>
      <c r="T314" s="3" t="n">
        <f aca="false">IF(LEN(TRIM(K314))&lt;15,1,0)</f>
        <v>1</v>
      </c>
      <c r="U314" s="3" t="n">
        <f aca="false">IF(COUNTIF($E$2:$E$801,E314)&gt;1,1,0)</f>
        <v>0</v>
      </c>
      <c r="V314" s="3" t="n">
        <f aca="false">Q314*'Spam Rules'!$H$6+R314*'Spam Rules'!$H$7+S314*'Spam Rules'!$H$8+T314*'Spam Rules'!$H$9+U314*'Spam Rules'!$H$10</f>
        <v>2</v>
      </c>
      <c r="W314" s="3" t="str">
        <f aca="false">IF(V314&gt;='Spam Rules'!$B$3,"Likely Spam","Genuine")</f>
        <v>Likely Spam</v>
      </c>
      <c r="X314" s="3" t="n">
        <f aca="false">IFERROR(INDEX('Scoring Model'!$B$5:$B$11,MATCH(C314,'Scoring Model'!$A$5:$A$11,0)),0)</f>
        <v>10</v>
      </c>
      <c r="Y314" s="3" t="n">
        <f aca="false">IFERROR(INDEX('Scoring Model'!$E$5:$E$7,MATCH(F314,'Scoring Model'!$D$5:$D$7,0)),0)</f>
        <v>0</v>
      </c>
      <c r="Z314" s="3" t="n">
        <f aca="false">IFERROR(INDEX('Scoring Model'!$H$5:$H$13,MATCH(J314,'Scoring Model'!$G$5:$G$13,0)),0)</f>
        <v>15</v>
      </c>
      <c r="AA314" s="3" t="n">
        <f aca="false">IF(L314&gt;='Scoring Model'!$B$14,'Scoring Model'!$B$15,IF(L314&gt;='Scoring Model'!$B$16,'Scoring Model'!$B$17,0))</f>
        <v>0</v>
      </c>
      <c r="AB314" s="3" t="n">
        <f aca="false">IF(SUMPRODUCT(--ISNUMBER(SEARCH('Scoring Model'!$D$16:$D$25,K314)))&gt;0,'Scoring Model'!$B$18,0)</f>
        <v>0</v>
      </c>
      <c r="AC314" s="3" t="n">
        <f aca="false">IF(SUMPRODUCT(--ISNUMBER(SEARCH('Scoring Model'!$G$16:$G$23,K314)))&gt;0,'Scoring Model'!$B$19,0)</f>
        <v>0</v>
      </c>
      <c r="AD314" s="3" t="str">
        <f aca="false">IF(W314="Likely Spam","",SUM(X314:AC314))</f>
        <v/>
      </c>
      <c r="AE314" s="3" t="str">
        <f aca="false">IF(W314="Likely Spam","Spam",IF(AD314&gt;='Scoring Model'!$B$21,"Hot",IF(AD314&gt;='Scoring Model'!$B$22,"Warm","Nurture")))</f>
        <v>Spam</v>
      </c>
      <c r="AF314" s="3" t="str">
        <f aca="false">IF(W314="Likely Spam","Flagged by spam rules",TRIM(IF(X314&gt;=20,"Strong source. ","")&amp;IF(Y314&gt;0,"Company email. ","")&amp;IF(Z314&gt;=15,"High-value product. ","")&amp;IF(AA314&gt;='Scoring Model'!$B$15,"High engagement. ","")&amp;IF(AB314&gt;0,"Buying intent in message. ","")&amp;IF(AC314&lt;0,"Negative intent in message. ","")))</f>
        <v>Flagged by spam rules</v>
      </c>
      <c r="AG314" s="11" t="str">
        <f aca="false">IF(W314="Likely Spam","",1/(1+EXP(-('Conversion Model'!$B$5+IFERROR(INDEX('Conversion Model'!$B$8:$B$14,MATCH(C314,'Conversion Model'!$A$8:$A$14,0)),0)+IFERROR(INDEX('Conversion Model'!$E$8:$E$9,MATCH(F314,'Conversion Model'!$D$8:$D$9,0)),0)+IFERROR(INDEX('Conversion Model'!$H$8:$H$12,MATCH(IF(LEFT(J314,8)="Payments","Payments",IF(LEFT(J314,7)="Lending","Lending",J314)),'Conversion Model'!$G$8:$G$12,0)),0)+MIN(L314,15)*'Conversion Model'!$B$17+IF(SUMPRODUCT(--ISNUMBER(SEARCH('Scoring Model'!$D$16:$D$25,K314)))&gt;0,'Conversion Model'!$B$18,0)+IF(SUMPRODUCT(--ISNUMBER(SEARCH('Scoring Model'!$G$16:$G$23,K314)))&gt;0,'Conversion Model'!$B$19,0)))))</f>
        <v/>
      </c>
      <c r="AH314" s="3" t="str">
        <f aca="false">IF(OR(O314="Qualified",O314="Won",O314="Lost"),1,IF(O314="Unqualified",0,""))</f>
        <v/>
      </c>
    </row>
    <row r="315" customFormat="false" ht="15" hidden="false" customHeight="true" outlineLevel="0" collapsed="false">
      <c r="A315" s="3" t="s">
        <v>1282</v>
      </c>
      <c r="B315" s="9" t="n">
        <v>46075.0277777778</v>
      </c>
      <c r="C315" s="3" t="s">
        <v>76</v>
      </c>
      <c r="D315" s="3" t="s">
        <v>1283</v>
      </c>
      <c r="E315" s="3" t="s">
        <v>1284</v>
      </c>
      <c r="F315" s="3" t="s">
        <v>63</v>
      </c>
      <c r="G315" s="3"/>
      <c r="H315" s="3"/>
      <c r="I315" s="3" t="s">
        <v>188</v>
      </c>
      <c r="J315" s="3" t="s">
        <v>65</v>
      </c>
      <c r="K315" s="3" t="s">
        <v>82</v>
      </c>
      <c r="L315" s="3" t="n">
        <v>1</v>
      </c>
      <c r="M315" s="3"/>
      <c r="N315" s="3" t="s">
        <v>67</v>
      </c>
      <c r="O315" s="3" t="s">
        <v>68</v>
      </c>
      <c r="P315" s="10"/>
      <c r="Q315" s="3" t="n">
        <f aca="false">IF(F315="Disposable",1,0)</f>
        <v>1</v>
      </c>
      <c r="R315" s="3" t="n">
        <f aca="false">IF(SUMPRODUCT(--ISNUMBER(SEARCH('Spam Rules'!$A$22:$A$35,K315)))&gt;0,1,0)</f>
        <v>1</v>
      </c>
      <c r="S315" s="3" t="n">
        <f aca="false">IF(AND(F315="Free",G315=""),1,0)</f>
        <v>0</v>
      </c>
      <c r="T315" s="3" t="n">
        <f aca="false">IF(LEN(TRIM(K315))&lt;15,1,0)</f>
        <v>0</v>
      </c>
      <c r="U315" s="3" t="n">
        <f aca="false">IF(COUNTIF($E$2:$E$801,E315)&gt;1,1,0)</f>
        <v>0</v>
      </c>
      <c r="V315" s="3" t="n">
        <f aca="false">Q315*'Spam Rules'!$H$6+R315*'Spam Rules'!$H$7+S315*'Spam Rules'!$H$8+T315*'Spam Rules'!$H$9+U315*'Spam Rules'!$H$10</f>
        <v>2</v>
      </c>
      <c r="W315" s="3" t="str">
        <f aca="false">IF(V315&gt;='Spam Rules'!$B$3,"Likely Spam","Genuine")</f>
        <v>Likely Spam</v>
      </c>
      <c r="X315" s="3" t="n">
        <f aca="false">IFERROR(INDEX('Scoring Model'!$B$5:$B$11,MATCH(C315,'Scoring Model'!$A$5:$A$11,0)),0)</f>
        <v>0</v>
      </c>
      <c r="Y315" s="3" t="n">
        <f aca="false">IFERROR(INDEX('Scoring Model'!$E$5:$E$7,MATCH(F315,'Scoring Model'!$D$5:$D$7,0)),0)</f>
        <v>0</v>
      </c>
      <c r="Z315" s="3" t="n">
        <f aca="false">IFERROR(INDEX('Scoring Model'!$H$5:$H$13,MATCH(J315,'Scoring Model'!$G$5:$G$13,0)),0)</f>
        <v>0</v>
      </c>
      <c r="AA315" s="3" t="n">
        <f aca="false">IF(L315&gt;='Scoring Model'!$B$14,'Scoring Model'!$B$15,IF(L315&gt;='Scoring Model'!$B$16,'Scoring Model'!$B$17,0))</f>
        <v>0</v>
      </c>
      <c r="AB315" s="3" t="n">
        <f aca="false">IF(SUMPRODUCT(--ISNUMBER(SEARCH('Scoring Model'!$D$16:$D$25,K315)))&gt;0,'Scoring Model'!$B$18,0)</f>
        <v>0</v>
      </c>
      <c r="AC315" s="3" t="n">
        <f aca="false">IF(SUMPRODUCT(--ISNUMBER(SEARCH('Scoring Model'!$G$16:$G$23,K315)))&gt;0,'Scoring Model'!$B$19,0)</f>
        <v>0</v>
      </c>
      <c r="AD315" s="3" t="str">
        <f aca="false">IF(W315="Likely Spam","",SUM(X315:AC315))</f>
        <v/>
      </c>
      <c r="AE315" s="3" t="str">
        <f aca="false">IF(W315="Likely Spam","Spam",IF(AD315&gt;='Scoring Model'!$B$21,"Hot",IF(AD315&gt;='Scoring Model'!$B$22,"Warm","Nurture")))</f>
        <v>Spam</v>
      </c>
      <c r="AF315" s="3" t="str">
        <f aca="false">IF(W315="Likely Spam","Flagged by spam rules",TRIM(IF(X315&gt;=20,"Strong source. ","")&amp;IF(Y315&gt;0,"Company email. ","")&amp;IF(Z315&gt;=15,"High-value product. ","")&amp;IF(AA315&gt;='Scoring Model'!$B$15,"High engagement. ","")&amp;IF(AB315&gt;0,"Buying intent in message. ","")&amp;IF(AC315&lt;0,"Negative intent in message. ","")))</f>
        <v>Flagged by spam rules</v>
      </c>
      <c r="AG315" s="11" t="str">
        <f aca="false">IF(W315="Likely Spam","",1/(1+EXP(-('Conversion Model'!$B$5+IFERROR(INDEX('Conversion Model'!$B$8:$B$14,MATCH(C315,'Conversion Model'!$A$8:$A$14,0)),0)+IFERROR(INDEX('Conversion Model'!$E$8:$E$9,MATCH(F315,'Conversion Model'!$D$8:$D$9,0)),0)+IFERROR(INDEX('Conversion Model'!$H$8:$H$12,MATCH(IF(LEFT(J315,8)="Payments","Payments",IF(LEFT(J315,7)="Lending","Lending",J315)),'Conversion Model'!$G$8:$G$12,0)),0)+MIN(L315,15)*'Conversion Model'!$B$17+IF(SUMPRODUCT(--ISNUMBER(SEARCH('Scoring Model'!$D$16:$D$25,K315)))&gt;0,'Conversion Model'!$B$18,0)+IF(SUMPRODUCT(--ISNUMBER(SEARCH('Scoring Model'!$G$16:$G$23,K315)))&gt;0,'Conversion Model'!$B$19,0)))))</f>
        <v/>
      </c>
      <c r="AH315" s="3" t="str">
        <f aca="false">IF(OR(O315="Qualified",O315="Won",O315="Lost"),1,IF(O315="Unqualified",0,""))</f>
        <v/>
      </c>
    </row>
    <row r="316" customFormat="false" ht="15" hidden="false" customHeight="true" outlineLevel="0" collapsed="false">
      <c r="A316" s="3" t="s">
        <v>1285</v>
      </c>
      <c r="B316" s="9" t="n">
        <v>46075.20625</v>
      </c>
      <c r="C316" s="3" t="s">
        <v>112</v>
      </c>
      <c r="D316" s="3" t="s">
        <v>1286</v>
      </c>
      <c r="E316" s="3" t="s">
        <v>1287</v>
      </c>
      <c r="F316" s="3" t="s">
        <v>22</v>
      </c>
      <c r="G316" s="3" t="s">
        <v>1288</v>
      </c>
      <c r="H316" s="3" t="s">
        <v>1289</v>
      </c>
      <c r="I316" s="3" t="s">
        <v>64</v>
      </c>
      <c r="J316" s="3" t="s">
        <v>122</v>
      </c>
      <c r="K316" s="3" t="s">
        <v>74</v>
      </c>
      <c r="L316" s="3" t="n">
        <v>3</v>
      </c>
      <c r="M316" s="3" t="n">
        <v>14.1</v>
      </c>
      <c r="N316" s="3" t="s">
        <v>59</v>
      </c>
      <c r="O316" s="3"/>
      <c r="P316" s="10"/>
      <c r="Q316" s="3" t="n">
        <f aca="false">IF(F316="Disposable",1,0)</f>
        <v>0</v>
      </c>
      <c r="R316" s="3" t="n">
        <f aca="false">IF(SUMPRODUCT(--ISNUMBER(SEARCH('Spam Rules'!$A$22:$A$35,K316)))&gt;0,1,0)</f>
        <v>0</v>
      </c>
      <c r="S316" s="3" t="n">
        <f aca="false">IF(AND(F316="Free",G316=""),1,0)</f>
        <v>0</v>
      </c>
      <c r="T316" s="3" t="n">
        <f aca="false">IF(LEN(TRIM(K316))&lt;15,1,0)</f>
        <v>0</v>
      </c>
      <c r="U316" s="3" t="n">
        <f aca="false">IF(COUNTIF($E$2:$E$801,E316)&gt;1,1,0)</f>
        <v>0</v>
      </c>
      <c r="V316" s="3" t="n">
        <f aca="false">Q316*'Spam Rules'!$H$6+R316*'Spam Rules'!$H$7+S316*'Spam Rules'!$H$8+T316*'Spam Rules'!$H$9+U316*'Spam Rules'!$H$10</f>
        <v>0</v>
      </c>
      <c r="W316" s="3" t="str">
        <f aca="false">IF(V316&gt;='Spam Rules'!$B$3,"Likely Spam","Genuine")</f>
        <v>Genuine</v>
      </c>
      <c r="X316" s="3" t="n">
        <f aca="false">IFERROR(INDEX('Scoring Model'!$B$5:$B$11,MATCH(C316,'Scoring Model'!$A$5:$A$11,0)),0)</f>
        <v>15</v>
      </c>
      <c r="Y316" s="3" t="n">
        <f aca="false">IFERROR(INDEX('Scoring Model'!$E$5:$E$7,MATCH(F316,'Scoring Model'!$D$5:$D$7,0)),0)</f>
        <v>20</v>
      </c>
      <c r="Z316" s="3" t="n">
        <f aca="false">IFERROR(INDEX('Scoring Model'!$H$5:$H$13,MATCH(J316,'Scoring Model'!$G$5:$G$13,0)),0)</f>
        <v>15</v>
      </c>
      <c r="AA316" s="3" t="n">
        <f aca="false">IF(L316&gt;='Scoring Model'!$B$14,'Scoring Model'!$B$15,IF(L316&gt;='Scoring Model'!$B$16,'Scoring Model'!$B$17,0))</f>
        <v>0</v>
      </c>
      <c r="AB316" s="3" t="n">
        <f aca="false">IF(SUMPRODUCT(--ISNUMBER(SEARCH('Scoring Model'!$D$16:$D$25,K316)))&gt;0,'Scoring Model'!$B$18,0)</f>
        <v>0</v>
      </c>
      <c r="AC316" s="3" t="n">
        <f aca="false">IF(SUMPRODUCT(--ISNUMBER(SEARCH('Scoring Model'!$G$16:$G$23,K316)))&gt;0,'Scoring Model'!$B$19,0)</f>
        <v>-30</v>
      </c>
      <c r="AD316" s="3" t="n">
        <f aca="false">IF(W316="Likely Spam","",SUM(X316:AC316))</f>
        <v>20</v>
      </c>
      <c r="AE316" s="3" t="str">
        <f aca="false">IF(W316="Likely Spam","Spam",IF(AD316&gt;='Scoring Model'!$B$21,"Hot",IF(AD316&gt;='Scoring Model'!$B$22,"Warm","Nurture")))</f>
        <v>Nurture</v>
      </c>
      <c r="AF316" s="3" t="str">
        <f aca="false">IF(W316="Likely Spam","Flagged by spam rules",TRIM(IF(X316&gt;=20,"Strong source. ","")&amp;IF(Y316&gt;0,"Company email. ","")&amp;IF(Z316&gt;=15,"High-value product. ","")&amp;IF(AA316&gt;='Scoring Model'!$B$15,"High engagement. ","")&amp;IF(AB316&gt;0,"Buying intent in message. ","")&amp;IF(AC316&lt;0,"Negative intent in message. ","")))</f>
        <v>Company email. High-value product. Negative intent in message.</v>
      </c>
      <c r="AG316" s="11" t="n">
        <f aca="false">IF(W316="Likely Spam","",1/(1+EXP(-('Conversion Model'!$B$5+IFERROR(INDEX('Conversion Model'!$B$8:$B$14,MATCH(C316,'Conversion Model'!$A$8:$A$14,0)),0)+IFERROR(INDEX('Conversion Model'!$E$8:$E$9,MATCH(F316,'Conversion Model'!$D$8:$D$9,0)),0)+IFERROR(INDEX('Conversion Model'!$H$8:$H$12,MATCH(IF(LEFT(J316,8)="Payments","Payments",IF(LEFT(J316,7)="Lending","Lending",J316)),'Conversion Model'!$G$8:$G$12,0)),0)+MIN(L316,15)*'Conversion Model'!$B$17+IF(SUMPRODUCT(--ISNUMBER(SEARCH('Scoring Model'!$D$16:$D$25,K316)))&gt;0,'Conversion Model'!$B$18,0)+IF(SUMPRODUCT(--ISNUMBER(SEARCH('Scoring Model'!$G$16:$G$23,K316)))&gt;0,'Conversion Model'!$B$19,0)))))</f>
        <v>0.0134265988505949</v>
      </c>
      <c r="AH316" s="3" t="str">
        <f aca="false">IF(OR(O316="Qualified",O316="Won",O316="Lost"),1,IF(O316="Unqualified",0,""))</f>
        <v/>
      </c>
    </row>
    <row r="317" customFormat="false" ht="15" hidden="false" customHeight="true" outlineLevel="0" collapsed="false">
      <c r="A317" s="3" t="s">
        <v>1290</v>
      </c>
      <c r="B317" s="9" t="n">
        <v>46076.2888888889</v>
      </c>
      <c r="C317" s="3" t="s">
        <v>51</v>
      </c>
      <c r="D317" s="3" t="s">
        <v>1291</v>
      </c>
      <c r="E317" s="3" t="s">
        <v>1292</v>
      </c>
      <c r="F317" s="3" t="s">
        <v>54</v>
      </c>
      <c r="G317" s="3" t="s">
        <v>79</v>
      </c>
      <c r="H317" s="3"/>
      <c r="I317" s="3" t="s">
        <v>73</v>
      </c>
      <c r="J317" s="3" t="s">
        <v>122</v>
      </c>
      <c r="K317" s="3" t="s">
        <v>322</v>
      </c>
      <c r="L317" s="3" t="n">
        <v>2</v>
      </c>
      <c r="M317" s="3"/>
      <c r="N317" s="3" t="s">
        <v>171</v>
      </c>
      <c r="O317" s="3"/>
      <c r="P317" s="10"/>
      <c r="Q317" s="3" t="n">
        <f aca="false">IF(F317="Disposable",1,0)</f>
        <v>0</v>
      </c>
      <c r="R317" s="3" t="n">
        <f aca="false">IF(SUMPRODUCT(--ISNUMBER(SEARCH('Spam Rules'!$A$22:$A$35,K317)))&gt;0,1,0)</f>
        <v>0</v>
      </c>
      <c r="S317" s="3" t="n">
        <f aca="false">IF(AND(F317="Free",G317=""),1,0)</f>
        <v>0</v>
      </c>
      <c r="T317" s="3" t="n">
        <f aca="false">IF(LEN(TRIM(K317))&lt;15,1,0)</f>
        <v>1</v>
      </c>
      <c r="U317" s="3" t="n">
        <f aca="false">IF(COUNTIF($E$2:$E$801,E317)&gt;1,1,0)</f>
        <v>0</v>
      </c>
      <c r="V317" s="3" t="n">
        <f aca="false">Q317*'Spam Rules'!$H$6+R317*'Spam Rules'!$H$7+S317*'Spam Rules'!$H$8+T317*'Spam Rules'!$H$9+U317*'Spam Rules'!$H$10</f>
        <v>1</v>
      </c>
      <c r="W317" s="3" t="str">
        <f aca="false">IF(V317&gt;='Spam Rules'!$B$3,"Likely Spam","Genuine")</f>
        <v>Likely Spam</v>
      </c>
      <c r="X317" s="3" t="n">
        <f aca="false">IFERROR(INDEX('Scoring Model'!$B$5:$B$11,MATCH(C317,'Scoring Model'!$A$5:$A$11,0)),0)</f>
        <v>10</v>
      </c>
      <c r="Y317" s="3" t="n">
        <f aca="false">IFERROR(INDEX('Scoring Model'!$E$5:$E$7,MATCH(F317,'Scoring Model'!$D$5:$D$7,0)),0)</f>
        <v>0</v>
      </c>
      <c r="Z317" s="3" t="n">
        <f aca="false">IFERROR(INDEX('Scoring Model'!$H$5:$H$13,MATCH(J317,'Scoring Model'!$G$5:$G$13,0)),0)</f>
        <v>15</v>
      </c>
      <c r="AA317" s="3" t="n">
        <f aca="false">IF(L317&gt;='Scoring Model'!$B$14,'Scoring Model'!$B$15,IF(L317&gt;='Scoring Model'!$B$16,'Scoring Model'!$B$17,0))</f>
        <v>0</v>
      </c>
      <c r="AB317" s="3" t="n">
        <f aca="false">IF(SUMPRODUCT(--ISNUMBER(SEARCH('Scoring Model'!$D$16:$D$25,K317)))&gt;0,'Scoring Model'!$B$18,0)</f>
        <v>0</v>
      </c>
      <c r="AC317" s="3" t="n">
        <f aca="false">IF(SUMPRODUCT(--ISNUMBER(SEARCH('Scoring Model'!$G$16:$G$23,K317)))&gt;0,'Scoring Model'!$B$19,0)</f>
        <v>0</v>
      </c>
      <c r="AD317" s="3" t="str">
        <f aca="false">IF(W317="Likely Spam","",SUM(X317:AC317))</f>
        <v/>
      </c>
      <c r="AE317" s="3" t="str">
        <f aca="false">IF(W317="Likely Spam","Spam",IF(AD317&gt;='Scoring Model'!$B$21,"Hot",IF(AD317&gt;='Scoring Model'!$B$22,"Warm","Nurture")))</f>
        <v>Spam</v>
      </c>
      <c r="AF317" s="3" t="str">
        <f aca="false">IF(W317="Likely Spam","Flagged by spam rules",TRIM(IF(X317&gt;=20,"Strong source. ","")&amp;IF(Y317&gt;0,"Company email. ","")&amp;IF(Z317&gt;=15,"High-value product. ","")&amp;IF(AA317&gt;='Scoring Model'!$B$15,"High engagement. ","")&amp;IF(AB317&gt;0,"Buying intent in message. ","")&amp;IF(AC317&lt;0,"Negative intent in message. ","")))</f>
        <v>Flagged by spam rules</v>
      </c>
      <c r="AG317" s="11" t="str">
        <f aca="false">IF(W317="Likely Spam","",1/(1+EXP(-('Conversion Model'!$B$5+IFERROR(INDEX('Conversion Model'!$B$8:$B$14,MATCH(C317,'Conversion Model'!$A$8:$A$14,0)),0)+IFERROR(INDEX('Conversion Model'!$E$8:$E$9,MATCH(F317,'Conversion Model'!$D$8:$D$9,0)),0)+IFERROR(INDEX('Conversion Model'!$H$8:$H$12,MATCH(IF(LEFT(J317,8)="Payments","Payments",IF(LEFT(J317,7)="Lending","Lending",J317)),'Conversion Model'!$G$8:$G$12,0)),0)+MIN(L317,15)*'Conversion Model'!$B$17+IF(SUMPRODUCT(--ISNUMBER(SEARCH('Scoring Model'!$D$16:$D$25,K317)))&gt;0,'Conversion Model'!$B$18,0)+IF(SUMPRODUCT(--ISNUMBER(SEARCH('Scoring Model'!$G$16:$G$23,K317)))&gt;0,'Conversion Model'!$B$19,0)))))</f>
        <v/>
      </c>
      <c r="AH317" s="3" t="str">
        <f aca="false">IF(OR(O317="Qualified",O317="Won",O317="Lost"),1,IF(O317="Unqualified",0,""))</f>
        <v/>
      </c>
    </row>
    <row r="318" customFormat="false" ht="15" hidden="false" customHeight="true" outlineLevel="0" collapsed="false">
      <c r="A318" s="3" t="s">
        <v>1293</v>
      </c>
      <c r="B318" s="9" t="n">
        <v>46076.8291666667</v>
      </c>
      <c r="C318" s="3" t="s">
        <v>51</v>
      </c>
      <c r="D318" s="3" t="s">
        <v>898</v>
      </c>
      <c r="E318" s="3" t="s">
        <v>1294</v>
      </c>
      <c r="F318" s="3" t="s">
        <v>22</v>
      </c>
      <c r="G318" s="3" t="s">
        <v>86</v>
      </c>
      <c r="H318" s="3" t="s">
        <v>87</v>
      </c>
      <c r="I318" s="3" t="s">
        <v>73</v>
      </c>
      <c r="J318" s="3" t="s">
        <v>65</v>
      </c>
      <c r="K318" s="3" t="s">
        <v>322</v>
      </c>
      <c r="L318" s="3" t="n">
        <v>1</v>
      </c>
      <c r="M318" s="3"/>
      <c r="N318" s="3" t="s">
        <v>67</v>
      </c>
      <c r="O318" s="3" t="s">
        <v>68</v>
      </c>
      <c r="P318" s="10"/>
      <c r="Q318" s="3" t="n">
        <f aca="false">IF(F318="Disposable",1,0)</f>
        <v>0</v>
      </c>
      <c r="R318" s="3" t="n">
        <f aca="false">IF(SUMPRODUCT(--ISNUMBER(SEARCH('Spam Rules'!$A$22:$A$35,K318)))&gt;0,1,0)</f>
        <v>0</v>
      </c>
      <c r="S318" s="3" t="n">
        <f aca="false">IF(AND(F318="Free",G318=""),1,0)</f>
        <v>0</v>
      </c>
      <c r="T318" s="3" t="n">
        <f aca="false">IF(LEN(TRIM(K318))&lt;15,1,0)</f>
        <v>1</v>
      </c>
      <c r="U318" s="3" t="n">
        <f aca="false">IF(COUNTIF($E$2:$E$801,E318)&gt;1,1,0)</f>
        <v>0</v>
      </c>
      <c r="V318" s="3" t="n">
        <f aca="false">Q318*'Spam Rules'!$H$6+R318*'Spam Rules'!$H$7+S318*'Spam Rules'!$H$8+T318*'Spam Rules'!$H$9+U318*'Spam Rules'!$H$10</f>
        <v>1</v>
      </c>
      <c r="W318" s="3" t="str">
        <f aca="false">IF(V318&gt;='Spam Rules'!$B$3,"Likely Spam","Genuine")</f>
        <v>Likely Spam</v>
      </c>
      <c r="X318" s="3" t="n">
        <f aca="false">IFERROR(INDEX('Scoring Model'!$B$5:$B$11,MATCH(C318,'Scoring Model'!$A$5:$A$11,0)),0)</f>
        <v>10</v>
      </c>
      <c r="Y318" s="3" t="n">
        <f aca="false">IFERROR(INDEX('Scoring Model'!$E$5:$E$7,MATCH(F318,'Scoring Model'!$D$5:$D$7,0)),0)</f>
        <v>20</v>
      </c>
      <c r="Z318" s="3" t="n">
        <f aca="false">IFERROR(INDEX('Scoring Model'!$H$5:$H$13,MATCH(J318,'Scoring Model'!$G$5:$G$13,0)),0)</f>
        <v>0</v>
      </c>
      <c r="AA318" s="3" t="n">
        <f aca="false">IF(L318&gt;='Scoring Model'!$B$14,'Scoring Model'!$B$15,IF(L318&gt;='Scoring Model'!$B$16,'Scoring Model'!$B$17,0))</f>
        <v>0</v>
      </c>
      <c r="AB318" s="3" t="n">
        <f aca="false">IF(SUMPRODUCT(--ISNUMBER(SEARCH('Scoring Model'!$D$16:$D$25,K318)))&gt;0,'Scoring Model'!$B$18,0)</f>
        <v>0</v>
      </c>
      <c r="AC318" s="3" t="n">
        <f aca="false">IF(SUMPRODUCT(--ISNUMBER(SEARCH('Scoring Model'!$G$16:$G$23,K318)))&gt;0,'Scoring Model'!$B$19,0)</f>
        <v>0</v>
      </c>
      <c r="AD318" s="3" t="str">
        <f aca="false">IF(W318="Likely Spam","",SUM(X318:AC318))</f>
        <v/>
      </c>
      <c r="AE318" s="3" t="str">
        <f aca="false">IF(W318="Likely Spam","Spam",IF(AD318&gt;='Scoring Model'!$B$21,"Hot",IF(AD318&gt;='Scoring Model'!$B$22,"Warm","Nurture")))</f>
        <v>Spam</v>
      </c>
      <c r="AF318" s="3" t="str">
        <f aca="false">IF(W318="Likely Spam","Flagged by spam rules",TRIM(IF(X318&gt;=20,"Strong source. ","")&amp;IF(Y318&gt;0,"Company email. ","")&amp;IF(Z318&gt;=15,"High-value product. ","")&amp;IF(AA318&gt;='Scoring Model'!$B$15,"High engagement. ","")&amp;IF(AB318&gt;0,"Buying intent in message. ","")&amp;IF(AC318&lt;0,"Negative intent in message. ","")))</f>
        <v>Flagged by spam rules</v>
      </c>
      <c r="AG318" s="11" t="str">
        <f aca="false">IF(W318="Likely Spam","",1/(1+EXP(-('Conversion Model'!$B$5+IFERROR(INDEX('Conversion Model'!$B$8:$B$14,MATCH(C318,'Conversion Model'!$A$8:$A$14,0)),0)+IFERROR(INDEX('Conversion Model'!$E$8:$E$9,MATCH(F318,'Conversion Model'!$D$8:$D$9,0)),0)+IFERROR(INDEX('Conversion Model'!$H$8:$H$12,MATCH(IF(LEFT(J318,8)="Payments","Payments",IF(LEFT(J318,7)="Lending","Lending",J318)),'Conversion Model'!$G$8:$G$12,0)),0)+MIN(L318,15)*'Conversion Model'!$B$17+IF(SUMPRODUCT(--ISNUMBER(SEARCH('Scoring Model'!$D$16:$D$25,K318)))&gt;0,'Conversion Model'!$B$18,0)+IF(SUMPRODUCT(--ISNUMBER(SEARCH('Scoring Model'!$G$16:$G$23,K318)))&gt;0,'Conversion Model'!$B$19,0)))))</f>
        <v/>
      </c>
      <c r="AH318" s="3" t="str">
        <f aca="false">IF(OR(O318="Qualified",O318="Won",O318="Lost"),1,IF(O318="Unqualified",0,""))</f>
        <v/>
      </c>
    </row>
    <row r="319" customFormat="false" ht="15" hidden="false" customHeight="true" outlineLevel="0" collapsed="false">
      <c r="A319" s="3" t="s">
        <v>1295</v>
      </c>
      <c r="B319" s="9" t="n">
        <v>46078.7416666667</v>
      </c>
      <c r="C319" s="3" t="s">
        <v>76</v>
      </c>
      <c r="D319" s="3" t="s">
        <v>1296</v>
      </c>
      <c r="E319" s="3" t="s">
        <v>1297</v>
      </c>
      <c r="F319" s="3" t="s">
        <v>63</v>
      </c>
      <c r="G319" s="3"/>
      <c r="H319" s="3"/>
      <c r="I319" s="3" t="s">
        <v>107</v>
      </c>
      <c r="J319" s="3" t="s">
        <v>65</v>
      </c>
      <c r="K319" s="3" t="s">
        <v>126</v>
      </c>
      <c r="L319" s="3" t="n">
        <v>1</v>
      </c>
      <c r="M319" s="3" t="n">
        <v>43.3</v>
      </c>
      <c r="N319" s="3" t="s">
        <v>67</v>
      </c>
      <c r="O319" s="3" t="s">
        <v>68</v>
      </c>
      <c r="P319" s="10"/>
      <c r="Q319" s="3" t="n">
        <f aca="false">IF(F319="Disposable",1,0)</f>
        <v>1</v>
      </c>
      <c r="R319" s="3" t="n">
        <f aca="false">IF(SUMPRODUCT(--ISNUMBER(SEARCH('Spam Rules'!$A$22:$A$35,K319)))&gt;0,1,0)</f>
        <v>0</v>
      </c>
      <c r="S319" s="3" t="n">
        <f aca="false">IF(AND(F319="Free",G319=""),1,0)</f>
        <v>0</v>
      </c>
      <c r="T319" s="3" t="n">
        <f aca="false">IF(LEN(TRIM(K319))&lt;15,1,0)</f>
        <v>1</v>
      </c>
      <c r="U319" s="3" t="n">
        <f aca="false">IF(COUNTIF($E$2:$E$801,E319)&gt;1,1,0)</f>
        <v>0</v>
      </c>
      <c r="V319" s="3" t="n">
        <f aca="false">Q319*'Spam Rules'!$H$6+R319*'Spam Rules'!$H$7+S319*'Spam Rules'!$H$8+T319*'Spam Rules'!$H$9+U319*'Spam Rules'!$H$10</f>
        <v>2</v>
      </c>
      <c r="W319" s="3" t="str">
        <f aca="false">IF(V319&gt;='Spam Rules'!$B$3,"Likely Spam","Genuine")</f>
        <v>Likely Spam</v>
      </c>
      <c r="X319" s="3" t="n">
        <f aca="false">IFERROR(INDEX('Scoring Model'!$B$5:$B$11,MATCH(C319,'Scoring Model'!$A$5:$A$11,0)),0)</f>
        <v>0</v>
      </c>
      <c r="Y319" s="3" t="n">
        <f aca="false">IFERROR(INDEX('Scoring Model'!$E$5:$E$7,MATCH(F319,'Scoring Model'!$D$5:$D$7,0)),0)</f>
        <v>0</v>
      </c>
      <c r="Z319" s="3" t="n">
        <f aca="false">IFERROR(INDEX('Scoring Model'!$H$5:$H$13,MATCH(J319,'Scoring Model'!$G$5:$G$13,0)),0)</f>
        <v>0</v>
      </c>
      <c r="AA319" s="3" t="n">
        <f aca="false">IF(L319&gt;='Scoring Model'!$B$14,'Scoring Model'!$B$15,IF(L319&gt;='Scoring Model'!$B$16,'Scoring Model'!$B$17,0))</f>
        <v>0</v>
      </c>
      <c r="AB319" s="3" t="n">
        <f aca="false">IF(SUMPRODUCT(--ISNUMBER(SEARCH('Scoring Model'!$D$16:$D$25,K319)))&gt;0,'Scoring Model'!$B$18,0)</f>
        <v>0</v>
      </c>
      <c r="AC319" s="3" t="n">
        <f aca="false">IF(SUMPRODUCT(--ISNUMBER(SEARCH('Scoring Model'!$G$16:$G$23,K319)))&gt;0,'Scoring Model'!$B$19,0)</f>
        <v>0</v>
      </c>
      <c r="AD319" s="3" t="str">
        <f aca="false">IF(W319="Likely Spam","",SUM(X319:AC319))</f>
        <v/>
      </c>
      <c r="AE319" s="3" t="str">
        <f aca="false">IF(W319="Likely Spam","Spam",IF(AD319&gt;='Scoring Model'!$B$21,"Hot",IF(AD319&gt;='Scoring Model'!$B$22,"Warm","Nurture")))</f>
        <v>Spam</v>
      </c>
      <c r="AF319" s="3" t="str">
        <f aca="false">IF(W319="Likely Spam","Flagged by spam rules",TRIM(IF(X319&gt;=20,"Strong source. ","")&amp;IF(Y319&gt;0,"Company email. ","")&amp;IF(Z319&gt;=15,"High-value product. ","")&amp;IF(AA319&gt;='Scoring Model'!$B$15,"High engagement. ","")&amp;IF(AB319&gt;0,"Buying intent in message. ","")&amp;IF(AC319&lt;0,"Negative intent in message. ","")))</f>
        <v>Flagged by spam rules</v>
      </c>
      <c r="AG319" s="11" t="str">
        <f aca="false">IF(W319="Likely Spam","",1/(1+EXP(-('Conversion Model'!$B$5+IFERROR(INDEX('Conversion Model'!$B$8:$B$14,MATCH(C319,'Conversion Model'!$A$8:$A$14,0)),0)+IFERROR(INDEX('Conversion Model'!$E$8:$E$9,MATCH(F319,'Conversion Model'!$D$8:$D$9,0)),0)+IFERROR(INDEX('Conversion Model'!$H$8:$H$12,MATCH(IF(LEFT(J319,8)="Payments","Payments",IF(LEFT(J319,7)="Lending","Lending",J319)),'Conversion Model'!$G$8:$G$12,0)),0)+MIN(L319,15)*'Conversion Model'!$B$17+IF(SUMPRODUCT(--ISNUMBER(SEARCH('Scoring Model'!$D$16:$D$25,K319)))&gt;0,'Conversion Model'!$B$18,0)+IF(SUMPRODUCT(--ISNUMBER(SEARCH('Scoring Model'!$G$16:$G$23,K319)))&gt;0,'Conversion Model'!$B$19,0)))))</f>
        <v/>
      </c>
      <c r="AH319" s="3" t="str">
        <f aca="false">IF(OR(O319="Qualified",O319="Won",O319="Lost"),1,IF(O319="Unqualified",0,""))</f>
        <v/>
      </c>
    </row>
    <row r="320" customFormat="false" ht="15" hidden="false" customHeight="true" outlineLevel="0" collapsed="false">
      <c r="A320" s="3" t="s">
        <v>1298</v>
      </c>
      <c r="B320" s="9" t="n">
        <v>46079.0270833333</v>
      </c>
      <c r="C320" s="3" t="s">
        <v>76</v>
      </c>
      <c r="D320" s="3" t="s">
        <v>1299</v>
      </c>
      <c r="E320" s="3" t="s">
        <v>1300</v>
      </c>
      <c r="F320" s="3" t="s">
        <v>54</v>
      </c>
      <c r="G320" s="3"/>
      <c r="H320" s="3"/>
      <c r="I320" s="3" t="s">
        <v>116</v>
      </c>
      <c r="J320" s="3" t="s">
        <v>81</v>
      </c>
      <c r="K320" s="3" t="s">
        <v>170</v>
      </c>
      <c r="L320" s="3" t="n">
        <v>2</v>
      </c>
      <c r="M320" s="3"/>
      <c r="N320" s="3" t="s">
        <v>67</v>
      </c>
      <c r="O320" s="3"/>
      <c r="P320" s="10"/>
      <c r="Q320" s="3" t="n">
        <f aca="false">IF(F320="Disposable",1,0)</f>
        <v>0</v>
      </c>
      <c r="R320" s="3" t="n">
        <f aca="false">IF(SUMPRODUCT(--ISNUMBER(SEARCH('Spam Rules'!$A$22:$A$35,K320)))&gt;0,1,0)</f>
        <v>0</v>
      </c>
      <c r="S320" s="3" t="n">
        <f aca="false">IF(AND(F320="Free",G320=""),1,0)</f>
        <v>1</v>
      </c>
      <c r="T320" s="3" t="n">
        <f aca="false">IF(LEN(TRIM(K320))&lt;15,1,0)</f>
        <v>1</v>
      </c>
      <c r="U320" s="3" t="n">
        <f aca="false">IF(COUNTIF($E$2:$E$801,E320)&gt;1,1,0)</f>
        <v>0</v>
      </c>
      <c r="V320" s="3" t="n">
        <f aca="false">Q320*'Spam Rules'!$H$6+R320*'Spam Rules'!$H$7+S320*'Spam Rules'!$H$8+T320*'Spam Rules'!$H$9+U320*'Spam Rules'!$H$10</f>
        <v>1</v>
      </c>
      <c r="W320" s="3" t="str">
        <f aca="false">IF(V320&gt;='Spam Rules'!$B$3,"Likely Spam","Genuine")</f>
        <v>Likely Spam</v>
      </c>
      <c r="X320" s="3" t="n">
        <f aca="false">IFERROR(INDEX('Scoring Model'!$B$5:$B$11,MATCH(C320,'Scoring Model'!$A$5:$A$11,0)),0)</f>
        <v>0</v>
      </c>
      <c r="Y320" s="3" t="n">
        <f aca="false">IFERROR(INDEX('Scoring Model'!$E$5:$E$7,MATCH(F320,'Scoring Model'!$D$5:$D$7,0)),0)</f>
        <v>0</v>
      </c>
      <c r="Z320" s="3" t="n">
        <f aca="false">IFERROR(INDEX('Scoring Model'!$H$5:$H$13,MATCH(J320,'Scoring Model'!$G$5:$G$13,0)),0)</f>
        <v>5</v>
      </c>
      <c r="AA320" s="3" t="n">
        <f aca="false">IF(L320&gt;='Scoring Model'!$B$14,'Scoring Model'!$B$15,IF(L320&gt;='Scoring Model'!$B$16,'Scoring Model'!$B$17,0))</f>
        <v>0</v>
      </c>
      <c r="AB320" s="3" t="n">
        <f aca="false">IF(SUMPRODUCT(--ISNUMBER(SEARCH('Scoring Model'!$D$16:$D$25,K320)))&gt;0,'Scoring Model'!$B$18,0)</f>
        <v>0</v>
      </c>
      <c r="AC320" s="3" t="n">
        <f aca="false">IF(SUMPRODUCT(--ISNUMBER(SEARCH('Scoring Model'!$G$16:$G$23,K320)))&gt;0,'Scoring Model'!$B$19,0)</f>
        <v>0</v>
      </c>
      <c r="AD320" s="3" t="str">
        <f aca="false">IF(W320="Likely Spam","",SUM(X320:AC320))</f>
        <v/>
      </c>
      <c r="AE320" s="3" t="str">
        <f aca="false">IF(W320="Likely Spam","Spam",IF(AD320&gt;='Scoring Model'!$B$21,"Hot",IF(AD320&gt;='Scoring Model'!$B$22,"Warm","Nurture")))</f>
        <v>Spam</v>
      </c>
      <c r="AF320" s="3" t="str">
        <f aca="false">IF(W320="Likely Spam","Flagged by spam rules",TRIM(IF(X320&gt;=20,"Strong source. ","")&amp;IF(Y320&gt;0,"Company email. ","")&amp;IF(Z320&gt;=15,"High-value product. ","")&amp;IF(AA320&gt;='Scoring Model'!$B$15,"High engagement. ","")&amp;IF(AB320&gt;0,"Buying intent in message. ","")&amp;IF(AC320&lt;0,"Negative intent in message. ","")))</f>
        <v>Flagged by spam rules</v>
      </c>
      <c r="AG320" s="11" t="str">
        <f aca="false">IF(W320="Likely Spam","",1/(1+EXP(-('Conversion Model'!$B$5+IFERROR(INDEX('Conversion Model'!$B$8:$B$14,MATCH(C320,'Conversion Model'!$A$8:$A$14,0)),0)+IFERROR(INDEX('Conversion Model'!$E$8:$E$9,MATCH(F320,'Conversion Model'!$D$8:$D$9,0)),0)+IFERROR(INDEX('Conversion Model'!$H$8:$H$12,MATCH(IF(LEFT(J320,8)="Payments","Payments",IF(LEFT(J320,7)="Lending","Lending",J320)),'Conversion Model'!$G$8:$G$12,0)),0)+MIN(L320,15)*'Conversion Model'!$B$17+IF(SUMPRODUCT(--ISNUMBER(SEARCH('Scoring Model'!$D$16:$D$25,K320)))&gt;0,'Conversion Model'!$B$18,0)+IF(SUMPRODUCT(--ISNUMBER(SEARCH('Scoring Model'!$G$16:$G$23,K320)))&gt;0,'Conversion Model'!$B$19,0)))))</f>
        <v/>
      </c>
      <c r="AH320" s="3" t="str">
        <f aca="false">IF(OR(O320="Qualified",O320="Won",O320="Lost"),1,IF(O320="Unqualified",0,""))</f>
        <v/>
      </c>
    </row>
    <row r="321" customFormat="false" ht="15" hidden="false" customHeight="true" outlineLevel="0" collapsed="false">
      <c r="A321" s="3" t="s">
        <v>1301</v>
      </c>
      <c r="B321" s="9" t="n">
        <v>46079.1590277778</v>
      </c>
      <c r="C321" s="3" t="s">
        <v>51</v>
      </c>
      <c r="D321" s="3" t="s">
        <v>1302</v>
      </c>
      <c r="E321" s="3" t="s">
        <v>719</v>
      </c>
      <c r="F321" s="3" t="s">
        <v>22</v>
      </c>
      <c r="G321" s="3" t="s">
        <v>79</v>
      </c>
      <c r="H321" s="3" t="s">
        <v>886</v>
      </c>
      <c r="I321" s="3" t="s">
        <v>80</v>
      </c>
      <c r="J321" s="3" t="s">
        <v>65</v>
      </c>
      <c r="K321" s="3" t="s">
        <v>170</v>
      </c>
      <c r="L321" s="3" t="n">
        <v>2</v>
      </c>
      <c r="M321" s="3" t="n">
        <v>39.2</v>
      </c>
      <c r="N321" s="3" t="s">
        <v>59</v>
      </c>
      <c r="O321" s="3"/>
      <c r="P321" s="10"/>
      <c r="Q321" s="3" t="n">
        <f aca="false">IF(F321="Disposable",1,0)</f>
        <v>0</v>
      </c>
      <c r="R321" s="3" t="n">
        <f aca="false">IF(SUMPRODUCT(--ISNUMBER(SEARCH('Spam Rules'!$A$22:$A$35,K321)))&gt;0,1,0)</f>
        <v>0</v>
      </c>
      <c r="S321" s="3" t="n">
        <f aca="false">IF(AND(F321="Free",G321=""),1,0)</f>
        <v>0</v>
      </c>
      <c r="T321" s="3" t="n">
        <f aca="false">IF(LEN(TRIM(K321))&lt;15,1,0)</f>
        <v>1</v>
      </c>
      <c r="U321" s="3" t="n">
        <f aca="false">IF(COUNTIF($E$2:$E$801,E321)&gt;1,1,0)</f>
        <v>1</v>
      </c>
      <c r="V321" s="3" t="n">
        <f aca="false">Q321*'Spam Rules'!$H$6+R321*'Spam Rules'!$H$7+S321*'Spam Rules'!$H$8+T321*'Spam Rules'!$H$9+U321*'Spam Rules'!$H$10</f>
        <v>1</v>
      </c>
      <c r="W321" s="3" t="str">
        <f aca="false">IF(V321&gt;='Spam Rules'!$B$3,"Likely Spam","Genuine")</f>
        <v>Likely Spam</v>
      </c>
      <c r="X321" s="3" t="n">
        <f aca="false">IFERROR(INDEX('Scoring Model'!$B$5:$B$11,MATCH(C321,'Scoring Model'!$A$5:$A$11,0)),0)</f>
        <v>10</v>
      </c>
      <c r="Y321" s="3" t="n">
        <f aca="false">IFERROR(INDEX('Scoring Model'!$E$5:$E$7,MATCH(F321,'Scoring Model'!$D$5:$D$7,0)),0)</f>
        <v>20</v>
      </c>
      <c r="Z321" s="3" t="n">
        <f aca="false">IFERROR(INDEX('Scoring Model'!$H$5:$H$13,MATCH(J321,'Scoring Model'!$G$5:$G$13,0)),0)</f>
        <v>0</v>
      </c>
      <c r="AA321" s="3" t="n">
        <f aca="false">IF(L321&gt;='Scoring Model'!$B$14,'Scoring Model'!$B$15,IF(L321&gt;='Scoring Model'!$B$16,'Scoring Model'!$B$17,0))</f>
        <v>0</v>
      </c>
      <c r="AB321" s="3" t="n">
        <f aca="false">IF(SUMPRODUCT(--ISNUMBER(SEARCH('Scoring Model'!$D$16:$D$25,K321)))&gt;0,'Scoring Model'!$B$18,0)</f>
        <v>0</v>
      </c>
      <c r="AC321" s="3" t="n">
        <f aca="false">IF(SUMPRODUCT(--ISNUMBER(SEARCH('Scoring Model'!$G$16:$G$23,K321)))&gt;0,'Scoring Model'!$B$19,0)</f>
        <v>0</v>
      </c>
      <c r="AD321" s="3" t="str">
        <f aca="false">IF(W321="Likely Spam","",SUM(X321:AC321))</f>
        <v/>
      </c>
      <c r="AE321" s="3" t="str">
        <f aca="false">IF(W321="Likely Spam","Spam",IF(AD321&gt;='Scoring Model'!$B$21,"Hot",IF(AD321&gt;='Scoring Model'!$B$22,"Warm","Nurture")))</f>
        <v>Spam</v>
      </c>
      <c r="AF321" s="3" t="str">
        <f aca="false">IF(W321="Likely Spam","Flagged by spam rules",TRIM(IF(X321&gt;=20,"Strong source. ","")&amp;IF(Y321&gt;0,"Company email. ","")&amp;IF(Z321&gt;=15,"High-value product. ","")&amp;IF(AA321&gt;='Scoring Model'!$B$15,"High engagement. ","")&amp;IF(AB321&gt;0,"Buying intent in message. ","")&amp;IF(AC321&lt;0,"Negative intent in message. ","")))</f>
        <v>Flagged by spam rules</v>
      </c>
      <c r="AG321" s="11" t="str">
        <f aca="false">IF(W321="Likely Spam","",1/(1+EXP(-('Conversion Model'!$B$5+IFERROR(INDEX('Conversion Model'!$B$8:$B$14,MATCH(C321,'Conversion Model'!$A$8:$A$14,0)),0)+IFERROR(INDEX('Conversion Model'!$E$8:$E$9,MATCH(F321,'Conversion Model'!$D$8:$D$9,0)),0)+IFERROR(INDEX('Conversion Model'!$H$8:$H$12,MATCH(IF(LEFT(J321,8)="Payments","Payments",IF(LEFT(J321,7)="Lending","Lending",J321)),'Conversion Model'!$G$8:$G$12,0)),0)+MIN(L321,15)*'Conversion Model'!$B$17+IF(SUMPRODUCT(--ISNUMBER(SEARCH('Scoring Model'!$D$16:$D$25,K321)))&gt;0,'Conversion Model'!$B$18,0)+IF(SUMPRODUCT(--ISNUMBER(SEARCH('Scoring Model'!$G$16:$G$23,K321)))&gt;0,'Conversion Model'!$B$19,0)))))</f>
        <v/>
      </c>
      <c r="AH321" s="3" t="str">
        <f aca="false">IF(OR(O321="Qualified",O321="Won",O321="Lost"),1,IF(O321="Unqualified",0,""))</f>
        <v/>
      </c>
    </row>
    <row r="322" customFormat="false" ht="15" hidden="false" customHeight="true" outlineLevel="0" collapsed="false">
      <c r="A322" s="3" t="s">
        <v>1303</v>
      </c>
      <c r="B322" s="9" t="n">
        <v>46079.7694444444</v>
      </c>
      <c r="C322" s="3" t="s">
        <v>135</v>
      </c>
      <c r="D322" s="3" t="s">
        <v>1304</v>
      </c>
      <c r="E322" s="3" t="s">
        <v>1305</v>
      </c>
      <c r="F322" s="3" t="s">
        <v>54</v>
      </c>
      <c r="G322" s="3" t="s">
        <v>250</v>
      </c>
      <c r="H322" s="3"/>
      <c r="I322" s="3" t="s">
        <v>107</v>
      </c>
      <c r="J322" s="3" t="s">
        <v>81</v>
      </c>
      <c r="K322" s="3" t="s">
        <v>378</v>
      </c>
      <c r="L322" s="3" t="n">
        <v>2</v>
      </c>
      <c r="M322" s="3" t="n">
        <v>24.4</v>
      </c>
      <c r="N322" s="3" t="s">
        <v>59</v>
      </c>
      <c r="O322" s="3" t="s">
        <v>194</v>
      </c>
      <c r="P322" s="10"/>
      <c r="Q322" s="3" t="n">
        <f aca="false">IF(F322="Disposable",1,0)</f>
        <v>0</v>
      </c>
      <c r="R322" s="3" t="n">
        <f aca="false">IF(SUMPRODUCT(--ISNUMBER(SEARCH('Spam Rules'!$A$22:$A$35,K322)))&gt;0,1,0)</f>
        <v>0</v>
      </c>
      <c r="S322" s="3" t="n">
        <f aca="false">IF(AND(F322="Free",G322=""),1,0)</f>
        <v>0</v>
      </c>
      <c r="T322" s="3" t="n">
        <f aca="false">IF(LEN(TRIM(K322))&lt;15,1,0)</f>
        <v>0</v>
      </c>
      <c r="U322" s="3" t="n">
        <f aca="false">IF(COUNTIF($E$2:$E$801,E322)&gt;1,1,0)</f>
        <v>0</v>
      </c>
      <c r="V322" s="3" t="n">
        <f aca="false">Q322*'Spam Rules'!$H$6+R322*'Spam Rules'!$H$7+S322*'Spam Rules'!$H$8+T322*'Spam Rules'!$H$9+U322*'Spam Rules'!$H$10</f>
        <v>0</v>
      </c>
      <c r="W322" s="3" t="str">
        <f aca="false">IF(V322&gt;='Spam Rules'!$B$3,"Likely Spam","Genuine")</f>
        <v>Genuine</v>
      </c>
      <c r="X322" s="3" t="n">
        <f aca="false">IFERROR(INDEX('Scoring Model'!$B$5:$B$11,MATCH(C322,'Scoring Model'!$A$5:$A$11,0)),0)</f>
        <v>20</v>
      </c>
      <c r="Y322" s="3" t="n">
        <f aca="false">IFERROR(INDEX('Scoring Model'!$E$5:$E$7,MATCH(F322,'Scoring Model'!$D$5:$D$7,0)),0)</f>
        <v>0</v>
      </c>
      <c r="Z322" s="3" t="n">
        <f aca="false">IFERROR(INDEX('Scoring Model'!$H$5:$H$13,MATCH(J322,'Scoring Model'!$G$5:$G$13,0)),0)</f>
        <v>5</v>
      </c>
      <c r="AA322" s="3" t="n">
        <f aca="false">IF(L322&gt;='Scoring Model'!$B$14,'Scoring Model'!$B$15,IF(L322&gt;='Scoring Model'!$B$16,'Scoring Model'!$B$17,0))</f>
        <v>0</v>
      </c>
      <c r="AB322" s="3" t="n">
        <f aca="false">IF(SUMPRODUCT(--ISNUMBER(SEARCH('Scoring Model'!$D$16:$D$25,K322)))&gt;0,'Scoring Model'!$B$18,0)</f>
        <v>0</v>
      </c>
      <c r="AC322" s="3" t="n">
        <f aca="false">IF(SUMPRODUCT(--ISNUMBER(SEARCH('Scoring Model'!$G$16:$G$23,K322)))&gt;0,'Scoring Model'!$B$19,0)</f>
        <v>-30</v>
      </c>
      <c r="AD322" s="3" t="n">
        <f aca="false">IF(W322="Likely Spam","",SUM(X322:AC322))</f>
        <v>-5</v>
      </c>
      <c r="AE322" s="3" t="str">
        <f aca="false">IF(W322="Likely Spam","Spam",IF(AD322&gt;='Scoring Model'!$B$21,"Hot",IF(AD322&gt;='Scoring Model'!$B$22,"Warm","Nurture")))</f>
        <v>Nurture</v>
      </c>
      <c r="AF322" s="3" t="str">
        <f aca="false">IF(W322="Likely Spam","Flagged by spam rules",TRIM(IF(X322&gt;=20,"Strong source. ","")&amp;IF(Y322&gt;0,"Company email. ","")&amp;IF(Z322&gt;=15,"High-value product. ","")&amp;IF(AA322&gt;='Scoring Model'!$B$15,"High engagement. ","")&amp;IF(AB322&gt;0,"Buying intent in message. ","")&amp;IF(AC322&lt;0,"Negative intent in message. ","")))</f>
        <v>Strong source. Negative intent in message.</v>
      </c>
      <c r="AG322" s="11" t="n">
        <f aca="false">IF(W322="Likely Spam","",1/(1+EXP(-('Conversion Model'!$B$5+IFERROR(INDEX('Conversion Model'!$B$8:$B$14,MATCH(C322,'Conversion Model'!$A$8:$A$14,0)),0)+IFERROR(INDEX('Conversion Model'!$E$8:$E$9,MATCH(F322,'Conversion Model'!$D$8:$D$9,0)),0)+IFERROR(INDEX('Conversion Model'!$H$8:$H$12,MATCH(IF(LEFT(J322,8)="Payments","Payments",IF(LEFT(J322,7)="Lending","Lending",J322)),'Conversion Model'!$G$8:$G$12,0)),0)+MIN(L322,15)*'Conversion Model'!$B$17+IF(SUMPRODUCT(--ISNUMBER(SEARCH('Scoring Model'!$D$16:$D$25,K322)))&gt;0,'Conversion Model'!$B$18,0)+IF(SUMPRODUCT(--ISNUMBER(SEARCH('Scoring Model'!$G$16:$G$23,K322)))&gt;0,'Conversion Model'!$B$19,0)))))</f>
        <v>0.00398589317334019</v>
      </c>
      <c r="AH322" s="3" t="n">
        <f aca="false">IF(OR(O322="Qualified",O322="Won",O322="Lost"),1,IF(O322="Unqualified",0,""))</f>
        <v>0</v>
      </c>
    </row>
    <row r="323" customFormat="false" ht="15" hidden="false" customHeight="true" outlineLevel="0" collapsed="false">
      <c r="A323" s="3" t="s">
        <v>1306</v>
      </c>
      <c r="B323" s="9" t="n">
        <v>46081.1173611111</v>
      </c>
      <c r="C323" s="3" t="s">
        <v>135</v>
      </c>
      <c r="D323" s="3" t="s">
        <v>1307</v>
      </c>
      <c r="E323" s="3" t="s">
        <v>1308</v>
      </c>
      <c r="F323" s="3" t="s">
        <v>54</v>
      </c>
      <c r="G323" s="3"/>
      <c r="H323" s="3"/>
      <c r="I323" s="3" t="s">
        <v>227</v>
      </c>
      <c r="J323" s="3" t="s">
        <v>65</v>
      </c>
      <c r="K323" s="3" t="s">
        <v>378</v>
      </c>
      <c r="L323" s="3" t="n">
        <v>2</v>
      </c>
      <c r="M323" s="3" t="n">
        <v>12.5</v>
      </c>
      <c r="N323" s="3" t="s">
        <v>171</v>
      </c>
      <c r="O323" s="3"/>
      <c r="P323" s="10"/>
      <c r="Q323" s="3" t="n">
        <f aca="false">IF(F323="Disposable",1,0)</f>
        <v>0</v>
      </c>
      <c r="R323" s="3" t="n">
        <f aca="false">IF(SUMPRODUCT(--ISNUMBER(SEARCH('Spam Rules'!$A$22:$A$35,K323)))&gt;0,1,0)</f>
        <v>0</v>
      </c>
      <c r="S323" s="3" t="n">
        <f aca="false">IF(AND(F323="Free",G323=""),1,0)</f>
        <v>1</v>
      </c>
      <c r="T323" s="3" t="n">
        <f aca="false">IF(LEN(TRIM(K323))&lt;15,1,0)</f>
        <v>0</v>
      </c>
      <c r="U323" s="3" t="n">
        <f aca="false">IF(COUNTIF($E$2:$E$801,E323)&gt;1,1,0)</f>
        <v>1</v>
      </c>
      <c r="V323" s="3" t="n">
        <f aca="false">Q323*'Spam Rules'!$H$6+R323*'Spam Rules'!$H$7+S323*'Spam Rules'!$H$8+T323*'Spam Rules'!$H$9+U323*'Spam Rules'!$H$10</f>
        <v>0</v>
      </c>
      <c r="W323" s="3" t="str">
        <f aca="false">IF(V323&gt;='Spam Rules'!$B$3,"Likely Spam","Genuine")</f>
        <v>Genuine</v>
      </c>
      <c r="X323" s="3" t="n">
        <f aca="false">IFERROR(INDEX('Scoring Model'!$B$5:$B$11,MATCH(C323,'Scoring Model'!$A$5:$A$11,0)),0)</f>
        <v>20</v>
      </c>
      <c r="Y323" s="3" t="n">
        <f aca="false">IFERROR(INDEX('Scoring Model'!$E$5:$E$7,MATCH(F323,'Scoring Model'!$D$5:$D$7,0)),0)</f>
        <v>0</v>
      </c>
      <c r="Z323" s="3" t="n">
        <f aca="false">IFERROR(INDEX('Scoring Model'!$H$5:$H$13,MATCH(J323,'Scoring Model'!$G$5:$G$13,0)),0)</f>
        <v>0</v>
      </c>
      <c r="AA323" s="3" t="n">
        <f aca="false">IF(L323&gt;='Scoring Model'!$B$14,'Scoring Model'!$B$15,IF(L323&gt;='Scoring Model'!$B$16,'Scoring Model'!$B$17,0))</f>
        <v>0</v>
      </c>
      <c r="AB323" s="3" t="n">
        <f aca="false">IF(SUMPRODUCT(--ISNUMBER(SEARCH('Scoring Model'!$D$16:$D$25,K323)))&gt;0,'Scoring Model'!$B$18,0)</f>
        <v>0</v>
      </c>
      <c r="AC323" s="3" t="n">
        <f aca="false">IF(SUMPRODUCT(--ISNUMBER(SEARCH('Scoring Model'!$G$16:$G$23,K323)))&gt;0,'Scoring Model'!$B$19,0)</f>
        <v>-30</v>
      </c>
      <c r="AD323" s="3" t="n">
        <f aca="false">IF(W323="Likely Spam","",SUM(X323:AC323))</f>
        <v>-10</v>
      </c>
      <c r="AE323" s="3" t="str">
        <f aca="false">IF(W323="Likely Spam","Spam",IF(AD323&gt;='Scoring Model'!$B$21,"Hot",IF(AD323&gt;='Scoring Model'!$B$22,"Warm","Nurture")))</f>
        <v>Nurture</v>
      </c>
      <c r="AF323" s="3" t="str">
        <f aca="false">IF(W323="Likely Spam","Flagged by spam rules",TRIM(IF(X323&gt;=20,"Strong source. ","")&amp;IF(Y323&gt;0,"Company email. ","")&amp;IF(Z323&gt;=15,"High-value product. ","")&amp;IF(AA323&gt;='Scoring Model'!$B$15,"High engagement. ","")&amp;IF(AB323&gt;0,"Buying intent in message. ","")&amp;IF(AC323&lt;0,"Negative intent in message. ","")))</f>
        <v>Strong source. Negative intent in message.</v>
      </c>
      <c r="AG323" s="11" t="n">
        <f aca="false">IF(W323="Likely Spam","",1/(1+EXP(-('Conversion Model'!$B$5+IFERROR(INDEX('Conversion Model'!$B$8:$B$14,MATCH(C323,'Conversion Model'!$A$8:$A$14,0)),0)+IFERROR(INDEX('Conversion Model'!$E$8:$E$9,MATCH(F323,'Conversion Model'!$D$8:$D$9,0)),0)+IFERROR(INDEX('Conversion Model'!$H$8:$H$12,MATCH(IF(LEFT(J323,8)="Payments","Payments",IF(LEFT(J323,7)="Lending","Lending",J323)),'Conversion Model'!$G$8:$G$12,0)),0)+MIN(L323,15)*'Conversion Model'!$B$17+IF(SUMPRODUCT(--ISNUMBER(SEARCH('Scoring Model'!$D$16:$D$25,K323)))&gt;0,'Conversion Model'!$B$18,0)+IF(SUMPRODUCT(--ISNUMBER(SEARCH('Scoring Model'!$G$16:$G$23,K323)))&gt;0,'Conversion Model'!$B$19,0)))))</f>
        <v>0.00494707221314219</v>
      </c>
      <c r="AH323" s="3" t="str">
        <f aca="false">IF(OR(O323="Qualified",O323="Won",O323="Lost"),1,IF(O323="Unqualified",0,""))</f>
        <v/>
      </c>
    </row>
    <row r="324" customFormat="false" ht="15" hidden="false" customHeight="true" outlineLevel="0" collapsed="false">
      <c r="A324" s="3" t="s">
        <v>1309</v>
      </c>
      <c r="B324" s="9" t="n">
        <v>46082.1722222222</v>
      </c>
      <c r="C324" s="3" t="s">
        <v>128</v>
      </c>
      <c r="D324" s="3" t="s">
        <v>1310</v>
      </c>
      <c r="E324" s="3" t="s">
        <v>1311</v>
      </c>
      <c r="F324" s="3" t="s">
        <v>22</v>
      </c>
      <c r="G324" s="3" t="s">
        <v>581</v>
      </c>
      <c r="H324" s="3" t="s">
        <v>582</v>
      </c>
      <c r="I324" s="3" t="s">
        <v>260</v>
      </c>
      <c r="J324" s="3" t="s">
        <v>81</v>
      </c>
      <c r="K324" s="3" t="s">
        <v>101</v>
      </c>
      <c r="L324" s="3" t="n">
        <v>4</v>
      </c>
      <c r="M324" s="3" t="n">
        <v>49.8</v>
      </c>
      <c r="N324" s="3" t="s">
        <v>171</v>
      </c>
      <c r="O324" s="3" t="s">
        <v>194</v>
      </c>
      <c r="P324" s="10"/>
      <c r="Q324" s="3" t="n">
        <f aca="false">IF(F324="Disposable",1,0)</f>
        <v>0</v>
      </c>
      <c r="R324" s="3" t="n">
        <f aca="false">IF(SUMPRODUCT(--ISNUMBER(SEARCH('Spam Rules'!$A$22:$A$35,K324)))&gt;0,1,0)</f>
        <v>0</v>
      </c>
      <c r="S324" s="3" t="n">
        <f aca="false">IF(AND(F324="Free",G324=""),1,0)</f>
        <v>0</v>
      </c>
      <c r="T324" s="3" t="n">
        <f aca="false">IF(LEN(TRIM(K324))&lt;15,1,0)</f>
        <v>0</v>
      </c>
      <c r="U324" s="3" t="n">
        <f aca="false">IF(COUNTIF($E$2:$E$801,E324)&gt;1,1,0)</f>
        <v>0</v>
      </c>
      <c r="V324" s="3" t="n">
        <f aca="false">Q324*'Spam Rules'!$H$6+R324*'Spam Rules'!$H$7+S324*'Spam Rules'!$H$8+T324*'Spam Rules'!$H$9+U324*'Spam Rules'!$H$10</f>
        <v>0</v>
      </c>
      <c r="W324" s="3" t="str">
        <f aca="false">IF(V324&gt;='Spam Rules'!$B$3,"Likely Spam","Genuine")</f>
        <v>Genuine</v>
      </c>
      <c r="X324" s="3" t="n">
        <f aca="false">IFERROR(INDEX('Scoring Model'!$B$5:$B$11,MATCH(C324,'Scoring Model'!$A$5:$A$11,0)),0)</f>
        <v>30</v>
      </c>
      <c r="Y324" s="3" t="n">
        <f aca="false">IFERROR(INDEX('Scoring Model'!$E$5:$E$7,MATCH(F324,'Scoring Model'!$D$5:$D$7,0)),0)</f>
        <v>20</v>
      </c>
      <c r="Z324" s="3" t="n">
        <f aca="false">IFERROR(INDEX('Scoring Model'!$H$5:$H$13,MATCH(J324,'Scoring Model'!$G$5:$G$13,0)),0)</f>
        <v>5</v>
      </c>
      <c r="AA324" s="3" t="n">
        <f aca="false">IF(L324&gt;='Scoring Model'!$B$14,'Scoring Model'!$B$15,IF(L324&gt;='Scoring Model'!$B$16,'Scoring Model'!$B$17,0))</f>
        <v>8</v>
      </c>
      <c r="AB324" s="3" t="n">
        <f aca="false">IF(SUMPRODUCT(--ISNUMBER(SEARCH('Scoring Model'!$D$16:$D$25,K324)))&gt;0,'Scoring Model'!$B$18,0)</f>
        <v>0</v>
      </c>
      <c r="AC324" s="3" t="n">
        <f aca="false">IF(SUMPRODUCT(--ISNUMBER(SEARCH('Scoring Model'!$G$16:$G$23,K324)))&gt;0,'Scoring Model'!$B$19,0)</f>
        <v>-30</v>
      </c>
      <c r="AD324" s="3" t="n">
        <f aca="false">IF(W324="Likely Spam","",SUM(X324:AC324))</f>
        <v>33</v>
      </c>
      <c r="AE324" s="3" t="str">
        <f aca="false">IF(W324="Likely Spam","Spam",IF(AD324&gt;='Scoring Model'!$B$21,"Hot",IF(AD324&gt;='Scoring Model'!$B$22,"Warm","Nurture")))</f>
        <v>Nurture</v>
      </c>
      <c r="AF324" s="3" t="str">
        <f aca="false">IF(W324="Likely Spam","Flagged by spam rules",TRIM(IF(X324&gt;=20,"Strong source. ","")&amp;IF(Y324&gt;0,"Company email. ","")&amp;IF(Z324&gt;=15,"High-value product. ","")&amp;IF(AA324&gt;='Scoring Model'!$B$15,"High engagement. ","")&amp;IF(AB324&gt;0,"Buying intent in message. ","")&amp;IF(AC324&lt;0,"Negative intent in message. ","")))</f>
        <v>Strong source. Company email. Negative intent in message.</v>
      </c>
      <c r="AG324" s="11" t="n">
        <f aca="false">IF(W324="Likely Spam","",1/(1+EXP(-('Conversion Model'!$B$5+IFERROR(INDEX('Conversion Model'!$B$8:$B$14,MATCH(C324,'Conversion Model'!$A$8:$A$14,0)),0)+IFERROR(INDEX('Conversion Model'!$E$8:$E$9,MATCH(F324,'Conversion Model'!$D$8:$D$9,0)),0)+IFERROR(INDEX('Conversion Model'!$H$8:$H$12,MATCH(IF(LEFT(J324,8)="Payments","Payments",IF(LEFT(J324,7)="Lending","Lending",J324)),'Conversion Model'!$G$8:$G$12,0)),0)+MIN(L324,15)*'Conversion Model'!$B$17+IF(SUMPRODUCT(--ISNUMBER(SEARCH('Scoring Model'!$D$16:$D$25,K324)))&gt;0,'Conversion Model'!$B$18,0)+IF(SUMPRODUCT(--ISNUMBER(SEARCH('Scoring Model'!$G$16:$G$23,K324)))&gt;0,'Conversion Model'!$B$19,0)))))</f>
        <v>0.0620358083911445</v>
      </c>
      <c r="AH324" s="3" t="n">
        <f aca="false">IF(OR(O324="Qualified",O324="Won",O324="Lost"),1,IF(O324="Unqualified",0,""))</f>
        <v>0</v>
      </c>
    </row>
    <row r="325" customFormat="false" ht="15" hidden="false" customHeight="true" outlineLevel="0" collapsed="false">
      <c r="A325" s="3" t="s">
        <v>1312</v>
      </c>
      <c r="B325" s="9" t="n">
        <v>46082.2083333333</v>
      </c>
      <c r="C325" s="3" t="s">
        <v>112</v>
      </c>
      <c r="D325" s="3" t="s">
        <v>1313</v>
      </c>
      <c r="E325" s="3" t="s">
        <v>1314</v>
      </c>
      <c r="F325" s="3" t="s">
        <v>22</v>
      </c>
      <c r="G325" s="3" t="s">
        <v>1315</v>
      </c>
      <c r="H325" s="3" t="s">
        <v>1316</v>
      </c>
      <c r="I325" s="3" t="s">
        <v>260</v>
      </c>
      <c r="J325" s="3" t="s">
        <v>108</v>
      </c>
      <c r="K325" s="3" t="s">
        <v>228</v>
      </c>
      <c r="L325" s="3" t="n">
        <v>6</v>
      </c>
      <c r="M325" s="3" t="n">
        <v>3.9</v>
      </c>
      <c r="N325" s="3" t="s">
        <v>96</v>
      </c>
      <c r="O325" s="3" t="s">
        <v>147</v>
      </c>
      <c r="P325" s="10" t="n">
        <v>48000</v>
      </c>
      <c r="Q325" s="3" t="n">
        <f aca="false">IF(F325="Disposable",1,0)</f>
        <v>0</v>
      </c>
      <c r="R325" s="3" t="n">
        <f aca="false">IF(SUMPRODUCT(--ISNUMBER(SEARCH('Spam Rules'!$A$22:$A$35,K325)))&gt;0,1,0)</f>
        <v>0</v>
      </c>
      <c r="S325" s="3" t="n">
        <f aca="false">IF(AND(F325="Free",G325=""),1,0)</f>
        <v>0</v>
      </c>
      <c r="T325" s="3" t="n">
        <f aca="false">IF(LEN(TRIM(K325))&lt;15,1,0)</f>
        <v>0</v>
      </c>
      <c r="U325" s="3" t="n">
        <f aca="false">IF(COUNTIF($E$2:$E$801,E325)&gt;1,1,0)</f>
        <v>0</v>
      </c>
      <c r="V325" s="3" t="n">
        <f aca="false">Q325*'Spam Rules'!$H$6+R325*'Spam Rules'!$H$7+S325*'Spam Rules'!$H$8+T325*'Spam Rules'!$H$9+U325*'Spam Rules'!$H$10</f>
        <v>0</v>
      </c>
      <c r="W325" s="3" t="str">
        <f aca="false">IF(V325&gt;='Spam Rules'!$B$3,"Likely Spam","Genuine")</f>
        <v>Genuine</v>
      </c>
      <c r="X325" s="3" t="n">
        <f aca="false">IFERROR(INDEX('Scoring Model'!$B$5:$B$11,MATCH(C325,'Scoring Model'!$A$5:$A$11,0)),0)</f>
        <v>15</v>
      </c>
      <c r="Y325" s="3" t="n">
        <f aca="false">IFERROR(INDEX('Scoring Model'!$E$5:$E$7,MATCH(F325,'Scoring Model'!$D$5:$D$7,0)),0)</f>
        <v>20</v>
      </c>
      <c r="Z325" s="3" t="n">
        <f aca="false">IFERROR(INDEX('Scoring Model'!$H$5:$H$13,MATCH(J325,'Scoring Model'!$G$5:$G$13,0)),0)</f>
        <v>15</v>
      </c>
      <c r="AA325" s="3" t="n">
        <f aca="false">IF(L325&gt;='Scoring Model'!$B$14,'Scoring Model'!$B$15,IF(L325&gt;='Scoring Model'!$B$16,'Scoring Model'!$B$17,0))</f>
        <v>8</v>
      </c>
      <c r="AB325" s="3" t="n">
        <f aca="false">IF(SUMPRODUCT(--ISNUMBER(SEARCH('Scoring Model'!$D$16:$D$25,K325)))&gt;0,'Scoring Model'!$B$18,0)</f>
        <v>15</v>
      </c>
      <c r="AC325" s="3" t="n">
        <f aca="false">IF(SUMPRODUCT(--ISNUMBER(SEARCH('Scoring Model'!$G$16:$G$23,K325)))&gt;0,'Scoring Model'!$B$19,0)</f>
        <v>0</v>
      </c>
      <c r="AD325" s="3" t="n">
        <f aca="false">IF(W325="Likely Spam","",SUM(X325:AC325))</f>
        <v>73</v>
      </c>
      <c r="AE325" s="3" t="str">
        <f aca="false">IF(W325="Likely Spam","Spam",IF(AD325&gt;='Scoring Model'!$B$21,"Hot",IF(AD325&gt;='Scoring Model'!$B$22,"Warm","Nurture")))</f>
        <v>Hot</v>
      </c>
      <c r="AF325" s="3" t="str">
        <f aca="false">IF(W325="Likely Spam","Flagged by spam rules",TRIM(IF(X325&gt;=20,"Strong source. ","")&amp;IF(Y325&gt;0,"Company email. ","")&amp;IF(Z325&gt;=15,"High-value product. ","")&amp;IF(AA325&gt;='Scoring Model'!$B$15,"High engagement. ","")&amp;IF(AB325&gt;0,"Buying intent in message. ","")&amp;IF(AC325&lt;0,"Negative intent in message. ","")))</f>
        <v>Company email. High-value product. Buying intent in message.</v>
      </c>
      <c r="AG325" s="11" t="n">
        <f aca="false">IF(W325="Likely Spam","",1/(1+EXP(-('Conversion Model'!$B$5+IFERROR(INDEX('Conversion Model'!$B$8:$B$14,MATCH(C325,'Conversion Model'!$A$8:$A$14,0)),0)+IFERROR(INDEX('Conversion Model'!$E$8:$E$9,MATCH(F325,'Conversion Model'!$D$8:$D$9,0)),0)+IFERROR(INDEX('Conversion Model'!$H$8:$H$12,MATCH(IF(LEFT(J325,8)="Payments","Payments",IF(LEFT(J325,7)="Lending","Lending",J325)),'Conversion Model'!$G$8:$G$12,0)),0)+MIN(L325,15)*'Conversion Model'!$B$17+IF(SUMPRODUCT(--ISNUMBER(SEARCH('Scoring Model'!$D$16:$D$25,K325)))&gt;0,'Conversion Model'!$B$18,0)+IF(SUMPRODUCT(--ISNUMBER(SEARCH('Scoring Model'!$G$16:$G$23,K325)))&gt;0,'Conversion Model'!$B$19,0)))))</f>
        <v>0.83451912064623</v>
      </c>
      <c r="AH325" s="3" t="n">
        <f aca="false">IF(OR(O325="Qualified",O325="Won",O325="Lost"),1,IF(O325="Unqualified",0,""))</f>
        <v>1</v>
      </c>
    </row>
    <row r="326" customFormat="false" ht="15" hidden="false" customHeight="true" outlineLevel="0" collapsed="false">
      <c r="A326" s="3" t="s">
        <v>1317</v>
      </c>
      <c r="B326" s="9" t="n">
        <v>46082.7381944444</v>
      </c>
      <c r="C326" s="3" t="s">
        <v>76</v>
      </c>
      <c r="D326" s="3" t="s">
        <v>519</v>
      </c>
      <c r="E326" s="3" t="s">
        <v>1318</v>
      </c>
      <c r="F326" s="3" t="s">
        <v>54</v>
      </c>
      <c r="G326" s="3" t="s">
        <v>321</v>
      </c>
      <c r="H326" s="3"/>
      <c r="I326" s="3" t="s">
        <v>94</v>
      </c>
      <c r="J326" s="3" t="s">
        <v>65</v>
      </c>
      <c r="K326" s="3" t="s">
        <v>363</v>
      </c>
      <c r="L326" s="3" t="n">
        <v>1</v>
      </c>
      <c r="M326" s="3" t="n">
        <v>7.7</v>
      </c>
      <c r="N326" s="3" t="s">
        <v>96</v>
      </c>
      <c r="O326" s="3" t="s">
        <v>68</v>
      </c>
      <c r="P326" s="10"/>
      <c r="Q326" s="3" t="n">
        <f aca="false">IF(F326="Disposable",1,0)</f>
        <v>0</v>
      </c>
      <c r="R326" s="3" t="n">
        <f aca="false">IF(SUMPRODUCT(--ISNUMBER(SEARCH('Spam Rules'!$A$22:$A$35,K326)))&gt;0,1,0)</f>
        <v>1</v>
      </c>
      <c r="S326" s="3" t="n">
        <f aca="false">IF(AND(F326="Free",G326=""),1,0)</f>
        <v>0</v>
      </c>
      <c r="T326" s="3" t="n">
        <f aca="false">IF(LEN(TRIM(K326))&lt;15,1,0)</f>
        <v>0</v>
      </c>
      <c r="U326" s="3" t="n">
        <f aca="false">IF(COUNTIF($E$2:$E$801,E326)&gt;1,1,0)</f>
        <v>0</v>
      </c>
      <c r="V326" s="3" t="n">
        <f aca="false">Q326*'Spam Rules'!$H$6+R326*'Spam Rules'!$H$7+S326*'Spam Rules'!$H$8+T326*'Spam Rules'!$H$9+U326*'Spam Rules'!$H$10</f>
        <v>1</v>
      </c>
      <c r="W326" s="3" t="str">
        <f aca="false">IF(V326&gt;='Spam Rules'!$B$3,"Likely Spam","Genuine")</f>
        <v>Likely Spam</v>
      </c>
      <c r="X326" s="3" t="n">
        <f aca="false">IFERROR(INDEX('Scoring Model'!$B$5:$B$11,MATCH(C326,'Scoring Model'!$A$5:$A$11,0)),0)</f>
        <v>0</v>
      </c>
      <c r="Y326" s="3" t="n">
        <f aca="false">IFERROR(INDEX('Scoring Model'!$E$5:$E$7,MATCH(F326,'Scoring Model'!$D$5:$D$7,0)),0)</f>
        <v>0</v>
      </c>
      <c r="Z326" s="3" t="n">
        <f aca="false">IFERROR(INDEX('Scoring Model'!$H$5:$H$13,MATCH(J326,'Scoring Model'!$G$5:$G$13,0)),0)</f>
        <v>0</v>
      </c>
      <c r="AA326" s="3" t="n">
        <f aca="false">IF(L326&gt;='Scoring Model'!$B$14,'Scoring Model'!$B$15,IF(L326&gt;='Scoring Model'!$B$16,'Scoring Model'!$B$17,0))</f>
        <v>0</v>
      </c>
      <c r="AB326" s="3" t="n">
        <f aca="false">IF(SUMPRODUCT(--ISNUMBER(SEARCH('Scoring Model'!$D$16:$D$25,K326)))&gt;0,'Scoring Model'!$B$18,0)</f>
        <v>0</v>
      </c>
      <c r="AC326" s="3" t="n">
        <f aca="false">IF(SUMPRODUCT(--ISNUMBER(SEARCH('Scoring Model'!$G$16:$G$23,K326)))&gt;0,'Scoring Model'!$B$19,0)</f>
        <v>0</v>
      </c>
      <c r="AD326" s="3" t="str">
        <f aca="false">IF(W326="Likely Spam","",SUM(X326:AC326))</f>
        <v/>
      </c>
      <c r="AE326" s="3" t="str">
        <f aca="false">IF(W326="Likely Spam","Spam",IF(AD326&gt;='Scoring Model'!$B$21,"Hot",IF(AD326&gt;='Scoring Model'!$B$22,"Warm","Nurture")))</f>
        <v>Spam</v>
      </c>
      <c r="AF326" s="3" t="str">
        <f aca="false">IF(W326="Likely Spam","Flagged by spam rules",TRIM(IF(X326&gt;=20,"Strong source. ","")&amp;IF(Y326&gt;0,"Company email. ","")&amp;IF(Z326&gt;=15,"High-value product. ","")&amp;IF(AA326&gt;='Scoring Model'!$B$15,"High engagement. ","")&amp;IF(AB326&gt;0,"Buying intent in message. ","")&amp;IF(AC326&lt;0,"Negative intent in message. ","")))</f>
        <v>Flagged by spam rules</v>
      </c>
      <c r="AG326" s="11" t="str">
        <f aca="false">IF(W326="Likely Spam","",1/(1+EXP(-('Conversion Model'!$B$5+IFERROR(INDEX('Conversion Model'!$B$8:$B$14,MATCH(C326,'Conversion Model'!$A$8:$A$14,0)),0)+IFERROR(INDEX('Conversion Model'!$E$8:$E$9,MATCH(F326,'Conversion Model'!$D$8:$D$9,0)),0)+IFERROR(INDEX('Conversion Model'!$H$8:$H$12,MATCH(IF(LEFT(J326,8)="Payments","Payments",IF(LEFT(J326,7)="Lending","Lending",J326)),'Conversion Model'!$G$8:$G$12,0)),0)+MIN(L326,15)*'Conversion Model'!$B$17+IF(SUMPRODUCT(--ISNUMBER(SEARCH('Scoring Model'!$D$16:$D$25,K326)))&gt;0,'Conversion Model'!$B$18,0)+IF(SUMPRODUCT(--ISNUMBER(SEARCH('Scoring Model'!$G$16:$G$23,K326)))&gt;0,'Conversion Model'!$B$19,0)))))</f>
        <v/>
      </c>
      <c r="AH326" s="3" t="str">
        <f aca="false">IF(OR(O326="Qualified",O326="Won",O326="Lost"),1,IF(O326="Unqualified",0,""))</f>
        <v/>
      </c>
    </row>
    <row r="327" customFormat="false" ht="15" hidden="false" customHeight="true" outlineLevel="0" collapsed="false">
      <c r="A327" s="3" t="s">
        <v>1319</v>
      </c>
      <c r="B327" s="9" t="n">
        <v>46084.0833333333</v>
      </c>
      <c r="C327" s="3" t="s">
        <v>160</v>
      </c>
      <c r="D327" s="3" t="s">
        <v>1320</v>
      </c>
      <c r="E327" s="3" t="s">
        <v>486</v>
      </c>
      <c r="F327" s="3" t="s">
        <v>54</v>
      </c>
      <c r="G327" s="3" t="s">
        <v>237</v>
      </c>
      <c r="H327" s="3"/>
      <c r="I327" s="3" t="s">
        <v>80</v>
      </c>
      <c r="J327" s="3" t="s">
        <v>65</v>
      </c>
      <c r="K327" s="3" t="s">
        <v>95</v>
      </c>
      <c r="L327" s="3" t="n">
        <v>2</v>
      </c>
      <c r="M327" s="3"/>
      <c r="N327" s="3" t="s">
        <v>96</v>
      </c>
      <c r="O327" s="3" t="s">
        <v>68</v>
      </c>
      <c r="P327" s="10"/>
      <c r="Q327" s="3" t="n">
        <f aca="false">IF(F327="Disposable",1,0)</f>
        <v>0</v>
      </c>
      <c r="R327" s="3" t="n">
        <f aca="false">IF(SUMPRODUCT(--ISNUMBER(SEARCH('Spam Rules'!$A$22:$A$35,K327)))&gt;0,1,0)</f>
        <v>1</v>
      </c>
      <c r="S327" s="3" t="n">
        <f aca="false">IF(AND(F327="Free",G327=""),1,0)</f>
        <v>0</v>
      </c>
      <c r="T327" s="3" t="n">
        <f aca="false">IF(LEN(TRIM(K327))&lt;15,1,0)</f>
        <v>0</v>
      </c>
      <c r="U327" s="3" t="n">
        <f aca="false">IF(COUNTIF($E$2:$E$801,E327)&gt;1,1,0)</f>
        <v>1</v>
      </c>
      <c r="V327" s="3" t="n">
        <f aca="false">Q327*'Spam Rules'!$H$6+R327*'Spam Rules'!$H$7+S327*'Spam Rules'!$H$8+T327*'Spam Rules'!$H$9+U327*'Spam Rules'!$H$10</f>
        <v>1</v>
      </c>
      <c r="W327" s="3" t="str">
        <f aca="false">IF(V327&gt;='Spam Rules'!$B$3,"Likely Spam","Genuine")</f>
        <v>Likely Spam</v>
      </c>
      <c r="X327" s="3" t="n">
        <f aca="false">IFERROR(INDEX('Scoring Model'!$B$5:$B$11,MATCH(C327,'Scoring Model'!$A$5:$A$11,0)),0)</f>
        <v>25</v>
      </c>
      <c r="Y327" s="3" t="n">
        <f aca="false">IFERROR(INDEX('Scoring Model'!$E$5:$E$7,MATCH(F327,'Scoring Model'!$D$5:$D$7,0)),0)</f>
        <v>0</v>
      </c>
      <c r="Z327" s="3" t="n">
        <f aca="false">IFERROR(INDEX('Scoring Model'!$H$5:$H$13,MATCH(J327,'Scoring Model'!$G$5:$G$13,0)),0)</f>
        <v>0</v>
      </c>
      <c r="AA327" s="3" t="n">
        <f aca="false">IF(L327&gt;='Scoring Model'!$B$14,'Scoring Model'!$B$15,IF(L327&gt;='Scoring Model'!$B$16,'Scoring Model'!$B$17,0))</f>
        <v>0</v>
      </c>
      <c r="AB327" s="3" t="n">
        <f aca="false">IF(SUMPRODUCT(--ISNUMBER(SEARCH('Scoring Model'!$D$16:$D$25,K327)))&gt;0,'Scoring Model'!$B$18,0)</f>
        <v>0</v>
      </c>
      <c r="AC327" s="3" t="n">
        <f aca="false">IF(SUMPRODUCT(--ISNUMBER(SEARCH('Scoring Model'!$G$16:$G$23,K327)))&gt;0,'Scoring Model'!$B$19,0)</f>
        <v>0</v>
      </c>
      <c r="AD327" s="3" t="str">
        <f aca="false">IF(W327="Likely Spam","",SUM(X327:AC327))</f>
        <v/>
      </c>
      <c r="AE327" s="3" t="str">
        <f aca="false">IF(W327="Likely Spam","Spam",IF(AD327&gt;='Scoring Model'!$B$21,"Hot",IF(AD327&gt;='Scoring Model'!$B$22,"Warm","Nurture")))</f>
        <v>Spam</v>
      </c>
      <c r="AF327" s="3" t="str">
        <f aca="false">IF(W327="Likely Spam","Flagged by spam rules",TRIM(IF(X327&gt;=20,"Strong source. ","")&amp;IF(Y327&gt;0,"Company email. ","")&amp;IF(Z327&gt;=15,"High-value product. ","")&amp;IF(AA327&gt;='Scoring Model'!$B$15,"High engagement. ","")&amp;IF(AB327&gt;0,"Buying intent in message. ","")&amp;IF(AC327&lt;0,"Negative intent in message. ","")))</f>
        <v>Flagged by spam rules</v>
      </c>
      <c r="AG327" s="11" t="str">
        <f aca="false">IF(W327="Likely Spam","",1/(1+EXP(-('Conversion Model'!$B$5+IFERROR(INDEX('Conversion Model'!$B$8:$B$14,MATCH(C327,'Conversion Model'!$A$8:$A$14,0)),0)+IFERROR(INDEX('Conversion Model'!$E$8:$E$9,MATCH(F327,'Conversion Model'!$D$8:$D$9,0)),0)+IFERROR(INDEX('Conversion Model'!$H$8:$H$12,MATCH(IF(LEFT(J327,8)="Payments","Payments",IF(LEFT(J327,7)="Lending","Lending",J327)),'Conversion Model'!$G$8:$G$12,0)),0)+MIN(L327,15)*'Conversion Model'!$B$17+IF(SUMPRODUCT(--ISNUMBER(SEARCH('Scoring Model'!$D$16:$D$25,K327)))&gt;0,'Conversion Model'!$B$18,0)+IF(SUMPRODUCT(--ISNUMBER(SEARCH('Scoring Model'!$G$16:$G$23,K327)))&gt;0,'Conversion Model'!$B$19,0)))))</f>
        <v/>
      </c>
      <c r="AH327" s="3" t="str">
        <f aca="false">IF(OR(O327="Qualified",O327="Won",O327="Lost"),1,IF(O327="Unqualified",0,""))</f>
        <v/>
      </c>
    </row>
    <row r="328" customFormat="false" ht="15" hidden="false" customHeight="true" outlineLevel="0" collapsed="false">
      <c r="A328" s="3" t="s">
        <v>1321</v>
      </c>
      <c r="B328" s="9" t="n">
        <v>46087.1736111111</v>
      </c>
      <c r="C328" s="3" t="s">
        <v>160</v>
      </c>
      <c r="D328" s="3" t="s">
        <v>1322</v>
      </c>
      <c r="E328" s="3" t="s">
        <v>1323</v>
      </c>
      <c r="F328" s="3" t="s">
        <v>54</v>
      </c>
      <c r="G328" s="3"/>
      <c r="H328" s="3"/>
      <c r="I328" s="3" t="s">
        <v>94</v>
      </c>
      <c r="J328" s="3" t="s">
        <v>145</v>
      </c>
      <c r="K328" s="3" t="s">
        <v>193</v>
      </c>
      <c r="L328" s="3" t="n">
        <v>4</v>
      </c>
      <c r="M328" s="3" t="n">
        <v>6.2</v>
      </c>
      <c r="N328" s="3" t="s">
        <v>67</v>
      </c>
      <c r="O328" s="3" t="s">
        <v>194</v>
      </c>
      <c r="P328" s="10"/>
      <c r="Q328" s="3" t="n">
        <f aca="false">IF(F328="Disposable",1,0)</f>
        <v>0</v>
      </c>
      <c r="R328" s="3" t="n">
        <f aca="false">IF(SUMPRODUCT(--ISNUMBER(SEARCH('Spam Rules'!$A$22:$A$35,K328)))&gt;0,1,0)</f>
        <v>0</v>
      </c>
      <c r="S328" s="3" t="n">
        <f aca="false">IF(AND(F328="Free",G328=""),1,0)</f>
        <v>1</v>
      </c>
      <c r="T328" s="3" t="n">
        <f aca="false">IF(LEN(TRIM(K328))&lt;15,1,0)</f>
        <v>0</v>
      </c>
      <c r="U328" s="3" t="n">
        <f aca="false">IF(COUNTIF($E$2:$E$801,E328)&gt;1,1,0)</f>
        <v>1</v>
      </c>
      <c r="V328" s="3" t="n">
        <f aca="false">Q328*'Spam Rules'!$H$6+R328*'Spam Rules'!$H$7+S328*'Spam Rules'!$H$8+T328*'Spam Rules'!$H$9+U328*'Spam Rules'!$H$10</f>
        <v>0</v>
      </c>
      <c r="W328" s="3" t="str">
        <f aca="false">IF(V328&gt;='Spam Rules'!$B$3,"Likely Spam","Genuine")</f>
        <v>Genuine</v>
      </c>
      <c r="X328" s="3" t="n">
        <f aca="false">IFERROR(INDEX('Scoring Model'!$B$5:$B$11,MATCH(C328,'Scoring Model'!$A$5:$A$11,0)),0)</f>
        <v>25</v>
      </c>
      <c r="Y328" s="3" t="n">
        <f aca="false">IFERROR(INDEX('Scoring Model'!$E$5:$E$7,MATCH(F328,'Scoring Model'!$D$5:$D$7,0)),0)</f>
        <v>0</v>
      </c>
      <c r="Z328" s="3" t="n">
        <f aca="false">IFERROR(INDEX('Scoring Model'!$H$5:$H$13,MATCH(J328,'Scoring Model'!$G$5:$G$13,0)),0)</f>
        <v>5</v>
      </c>
      <c r="AA328" s="3" t="n">
        <f aca="false">IF(L328&gt;='Scoring Model'!$B$14,'Scoring Model'!$B$15,IF(L328&gt;='Scoring Model'!$B$16,'Scoring Model'!$B$17,0))</f>
        <v>8</v>
      </c>
      <c r="AB328" s="3" t="n">
        <f aca="false">IF(SUMPRODUCT(--ISNUMBER(SEARCH('Scoring Model'!$D$16:$D$25,K328)))&gt;0,'Scoring Model'!$B$18,0)</f>
        <v>0</v>
      </c>
      <c r="AC328" s="3" t="n">
        <f aca="false">IF(SUMPRODUCT(--ISNUMBER(SEARCH('Scoring Model'!$G$16:$G$23,K328)))&gt;0,'Scoring Model'!$B$19,0)</f>
        <v>-30</v>
      </c>
      <c r="AD328" s="3" t="n">
        <f aca="false">IF(W328="Likely Spam","",SUM(X328:AC328))</f>
        <v>8</v>
      </c>
      <c r="AE328" s="3" t="str">
        <f aca="false">IF(W328="Likely Spam","Spam",IF(AD328&gt;='Scoring Model'!$B$21,"Hot",IF(AD328&gt;='Scoring Model'!$B$22,"Warm","Nurture")))</f>
        <v>Nurture</v>
      </c>
      <c r="AF328" s="3" t="str">
        <f aca="false">IF(W328="Likely Spam","Flagged by spam rules",TRIM(IF(X328&gt;=20,"Strong source. ","")&amp;IF(Y328&gt;0,"Company email. ","")&amp;IF(Z328&gt;=15,"High-value product. ","")&amp;IF(AA328&gt;='Scoring Model'!$B$15,"High engagement. ","")&amp;IF(AB328&gt;0,"Buying intent in message. ","")&amp;IF(AC328&lt;0,"Negative intent in message. ","")))</f>
        <v>Strong source. Negative intent in message.</v>
      </c>
      <c r="AG328" s="11" t="n">
        <f aca="false">IF(W328="Likely Spam","",1/(1+EXP(-('Conversion Model'!$B$5+IFERROR(INDEX('Conversion Model'!$B$8:$B$14,MATCH(C328,'Conversion Model'!$A$8:$A$14,0)),0)+IFERROR(INDEX('Conversion Model'!$E$8:$E$9,MATCH(F328,'Conversion Model'!$D$8:$D$9,0)),0)+IFERROR(INDEX('Conversion Model'!$H$8:$H$12,MATCH(IF(LEFT(J328,8)="Payments","Payments",IF(LEFT(J328,7)="Lending","Lending",J328)),'Conversion Model'!$G$8:$G$12,0)),0)+MIN(L328,15)*'Conversion Model'!$B$17+IF(SUMPRODUCT(--ISNUMBER(SEARCH('Scoring Model'!$D$16:$D$25,K328)))&gt;0,'Conversion Model'!$B$18,0)+IF(SUMPRODUCT(--ISNUMBER(SEARCH('Scoring Model'!$G$16:$G$23,K328)))&gt;0,'Conversion Model'!$B$19,0)))))</f>
        <v>0.0234994109193391</v>
      </c>
      <c r="AH328" s="3" t="n">
        <f aca="false">IF(OR(O328="Qualified",O328="Won",O328="Lost"),1,IF(O328="Unqualified",0,""))</f>
        <v>0</v>
      </c>
    </row>
    <row r="329" customFormat="false" ht="15" hidden="false" customHeight="true" outlineLevel="0" collapsed="false">
      <c r="A329" s="3" t="s">
        <v>1324</v>
      </c>
      <c r="B329" s="9" t="n">
        <v>46087.5819444444</v>
      </c>
      <c r="C329" s="3" t="s">
        <v>51</v>
      </c>
      <c r="D329" s="3" t="s">
        <v>771</v>
      </c>
      <c r="E329" s="3" t="s">
        <v>1325</v>
      </c>
      <c r="F329" s="3" t="s">
        <v>22</v>
      </c>
      <c r="G329" s="3" t="s">
        <v>186</v>
      </c>
      <c r="H329" s="3" t="s">
        <v>187</v>
      </c>
      <c r="I329" s="3" t="s">
        <v>334</v>
      </c>
      <c r="J329" s="3" t="s">
        <v>122</v>
      </c>
      <c r="K329" s="3" t="s">
        <v>303</v>
      </c>
      <c r="L329" s="3" t="n">
        <v>5</v>
      </c>
      <c r="M329" s="3" t="n">
        <v>20.1</v>
      </c>
      <c r="N329" s="3" t="s">
        <v>59</v>
      </c>
      <c r="O329" s="3" t="s">
        <v>133</v>
      </c>
      <c r="P329" s="10"/>
      <c r="Q329" s="3" t="n">
        <f aca="false">IF(F329="Disposable",1,0)</f>
        <v>0</v>
      </c>
      <c r="R329" s="3" t="n">
        <f aca="false">IF(SUMPRODUCT(--ISNUMBER(SEARCH('Spam Rules'!$A$22:$A$35,K329)))&gt;0,1,0)</f>
        <v>0</v>
      </c>
      <c r="S329" s="3" t="n">
        <f aca="false">IF(AND(F329="Free",G329=""),1,0)</f>
        <v>0</v>
      </c>
      <c r="T329" s="3" t="n">
        <f aca="false">IF(LEN(TRIM(K329))&lt;15,1,0)</f>
        <v>0</v>
      </c>
      <c r="U329" s="3" t="n">
        <f aca="false">IF(COUNTIF($E$2:$E$801,E329)&gt;1,1,0)</f>
        <v>0</v>
      </c>
      <c r="V329" s="3" t="n">
        <f aca="false">Q329*'Spam Rules'!$H$6+R329*'Spam Rules'!$H$7+S329*'Spam Rules'!$H$8+T329*'Spam Rules'!$H$9+U329*'Spam Rules'!$H$10</f>
        <v>0</v>
      </c>
      <c r="W329" s="3" t="str">
        <f aca="false">IF(V329&gt;='Spam Rules'!$B$3,"Likely Spam","Genuine")</f>
        <v>Genuine</v>
      </c>
      <c r="X329" s="3" t="n">
        <f aca="false">IFERROR(INDEX('Scoring Model'!$B$5:$B$11,MATCH(C329,'Scoring Model'!$A$5:$A$11,0)),0)</f>
        <v>10</v>
      </c>
      <c r="Y329" s="3" t="n">
        <f aca="false">IFERROR(INDEX('Scoring Model'!$E$5:$E$7,MATCH(F329,'Scoring Model'!$D$5:$D$7,0)),0)</f>
        <v>20</v>
      </c>
      <c r="Z329" s="3" t="n">
        <f aca="false">IFERROR(INDEX('Scoring Model'!$H$5:$H$13,MATCH(J329,'Scoring Model'!$G$5:$G$13,0)),0)</f>
        <v>15</v>
      </c>
      <c r="AA329" s="3" t="n">
        <f aca="false">IF(L329&gt;='Scoring Model'!$B$14,'Scoring Model'!$B$15,IF(L329&gt;='Scoring Model'!$B$16,'Scoring Model'!$B$17,0))</f>
        <v>8</v>
      </c>
      <c r="AB329" s="3" t="n">
        <f aca="false">IF(SUMPRODUCT(--ISNUMBER(SEARCH('Scoring Model'!$D$16:$D$25,K329)))&gt;0,'Scoring Model'!$B$18,0)</f>
        <v>15</v>
      </c>
      <c r="AC329" s="3" t="n">
        <f aca="false">IF(SUMPRODUCT(--ISNUMBER(SEARCH('Scoring Model'!$G$16:$G$23,K329)))&gt;0,'Scoring Model'!$B$19,0)</f>
        <v>0</v>
      </c>
      <c r="AD329" s="3" t="n">
        <f aca="false">IF(W329="Likely Spam","",SUM(X329:AC329))</f>
        <v>68</v>
      </c>
      <c r="AE329" s="3" t="str">
        <f aca="false">IF(W329="Likely Spam","Spam",IF(AD329&gt;='Scoring Model'!$B$21,"Hot",IF(AD329&gt;='Scoring Model'!$B$22,"Warm","Nurture")))</f>
        <v>Warm</v>
      </c>
      <c r="AF329" s="3" t="str">
        <f aca="false">IF(W329="Likely Spam","Flagged by spam rules",TRIM(IF(X329&gt;=20,"Strong source. ","")&amp;IF(Y329&gt;0,"Company email. ","")&amp;IF(Z329&gt;=15,"High-value product. ","")&amp;IF(AA329&gt;='Scoring Model'!$B$15,"High engagement. ","")&amp;IF(AB329&gt;0,"Buying intent in message. ","")&amp;IF(AC329&lt;0,"Negative intent in message. ","")))</f>
        <v>Company email. High-value product. Buying intent in message.</v>
      </c>
      <c r="AG329" s="11" t="n">
        <f aca="false">IF(W329="Likely Spam","",1/(1+EXP(-('Conversion Model'!$B$5+IFERROR(INDEX('Conversion Model'!$B$8:$B$14,MATCH(C329,'Conversion Model'!$A$8:$A$14,0)),0)+IFERROR(INDEX('Conversion Model'!$E$8:$E$9,MATCH(F329,'Conversion Model'!$D$8:$D$9,0)),0)+IFERROR(INDEX('Conversion Model'!$H$8:$H$12,MATCH(IF(LEFT(J329,8)="Payments","Payments",IF(LEFT(J329,7)="Lending","Lending",J329)),'Conversion Model'!$G$8:$G$12,0)),0)+MIN(L329,15)*'Conversion Model'!$B$17+IF(SUMPRODUCT(--ISNUMBER(SEARCH('Scoring Model'!$D$16:$D$25,K329)))&gt;0,'Conversion Model'!$B$18,0)+IF(SUMPRODUCT(--ISNUMBER(SEARCH('Scoring Model'!$G$16:$G$23,K329)))&gt;0,'Conversion Model'!$B$19,0)))))</f>
        <v>0.686756726643902</v>
      </c>
      <c r="AH329" s="3" t="str">
        <f aca="false">IF(OR(O329="Qualified",O329="Won",O329="Lost"),1,IF(O329="Unqualified",0,""))</f>
        <v/>
      </c>
    </row>
    <row r="330" customFormat="false" ht="15" hidden="false" customHeight="true" outlineLevel="0" collapsed="false">
      <c r="A330" s="3" t="s">
        <v>1326</v>
      </c>
      <c r="B330" s="9" t="n">
        <v>46087.6208333333</v>
      </c>
      <c r="C330" s="3" t="s">
        <v>76</v>
      </c>
      <c r="D330" s="3" t="s">
        <v>838</v>
      </c>
      <c r="E330" s="3" t="s">
        <v>1327</v>
      </c>
      <c r="F330" s="3" t="s">
        <v>22</v>
      </c>
      <c r="G330" s="3" t="s">
        <v>321</v>
      </c>
      <c r="H330" s="3" t="s">
        <v>388</v>
      </c>
      <c r="I330" s="3" t="s">
        <v>73</v>
      </c>
      <c r="J330" s="3" t="s">
        <v>65</v>
      </c>
      <c r="K330" s="3" t="s">
        <v>66</v>
      </c>
      <c r="L330" s="3" t="n">
        <v>2</v>
      </c>
      <c r="M330" s="3" t="n">
        <v>45.9</v>
      </c>
      <c r="N330" s="3" t="s">
        <v>96</v>
      </c>
      <c r="O330" s="3"/>
      <c r="P330" s="10"/>
      <c r="Q330" s="3" t="n">
        <f aca="false">IF(F330="Disposable",1,0)</f>
        <v>0</v>
      </c>
      <c r="R330" s="3" t="n">
        <f aca="false">IF(SUMPRODUCT(--ISNUMBER(SEARCH('Spam Rules'!$A$22:$A$35,K330)))&gt;0,1,0)</f>
        <v>1</v>
      </c>
      <c r="S330" s="3" t="n">
        <f aca="false">IF(AND(F330="Free",G330=""),1,0)</f>
        <v>0</v>
      </c>
      <c r="T330" s="3" t="n">
        <f aca="false">IF(LEN(TRIM(K330))&lt;15,1,0)</f>
        <v>0</v>
      </c>
      <c r="U330" s="3" t="n">
        <f aca="false">IF(COUNTIF($E$2:$E$801,E330)&gt;1,1,0)</f>
        <v>0</v>
      </c>
      <c r="V330" s="3" t="n">
        <f aca="false">Q330*'Spam Rules'!$H$6+R330*'Spam Rules'!$H$7+S330*'Spam Rules'!$H$8+T330*'Spam Rules'!$H$9+U330*'Spam Rules'!$H$10</f>
        <v>1</v>
      </c>
      <c r="W330" s="3" t="str">
        <f aca="false">IF(V330&gt;='Spam Rules'!$B$3,"Likely Spam","Genuine")</f>
        <v>Likely Spam</v>
      </c>
      <c r="X330" s="3" t="n">
        <f aca="false">IFERROR(INDEX('Scoring Model'!$B$5:$B$11,MATCH(C330,'Scoring Model'!$A$5:$A$11,0)),0)</f>
        <v>0</v>
      </c>
      <c r="Y330" s="3" t="n">
        <f aca="false">IFERROR(INDEX('Scoring Model'!$E$5:$E$7,MATCH(F330,'Scoring Model'!$D$5:$D$7,0)),0)</f>
        <v>20</v>
      </c>
      <c r="Z330" s="3" t="n">
        <f aca="false">IFERROR(INDEX('Scoring Model'!$H$5:$H$13,MATCH(J330,'Scoring Model'!$G$5:$G$13,0)),0)</f>
        <v>0</v>
      </c>
      <c r="AA330" s="3" t="n">
        <f aca="false">IF(L330&gt;='Scoring Model'!$B$14,'Scoring Model'!$B$15,IF(L330&gt;='Scoring Model'!$B$16,'Scoring Model'!$B$17,0))</f>
        <v>0</v>
      </c>
      <c r="AB330" s="3" t="n">
        <f aca="false">IF(SUMPRODUCT(--ISNUMBER(SEARCH('Scoring Model'!$D$16:$D$25,K330)))&gt;0,'Scoring Model'!$B$18,0)</f>
        <v>0</v>
      </c>
      <c r="AC330" s="3" t="n">
        <f aca="false">IF(SUMPRODUCT(--ISNUMBER(SEARCH('Scoring Model'!$G$16:$G$23,K330)))&gt;0,'Scoring Model'!$B$19,0)</f>
        <v>0</v>
      </c>
      <c r="AD330" s="3" t="str">
        <f aca="false">IF(W330="Likely Spam","",SUM(X330:AC330))</f>
        <v/>
      </c>
      <c r="AE330" s="3" t="str">
        <f aca="false">IF(W330="Likely Spam","Spam",IF(AD330&gt;='Scoring Model'!$B$21,"Hot",IF(AD330&gt;='Scoring Model'!$B$22,"Warm","Nurture")))</f>
        <v>Spam</v>
      </c>
      <c r="AF330" s="3" t="str">
        <f aca="false">IF(W330="Likely Spam","Flagged by spam rules",TRIM(IF(X330&gt;=20,"Strong source. ","")&amp;IF(Y330&gt;0,"Company email. ","")&amp;IF(Z330&gt;=15,"High-value product. ","")&amp;IF(AA330&gt;='Scoring Model'!$B$15,"High engagement. ","")&amp;IF(AB330&gt;0,"Buying intent in message. ","")&amp;IF(AC330&lt;0,"Negative intent in message. ","")))</f>
        <v>Flagged by spam rules</v>
      </c>
      <c r="AG330" s="11" t="str">
        <f aca="false">IF(W330="Likely Spam","",1/(1+EXP(-('Conversion Model'!$B$5+IFERROR(INDEX('Conversion Model'!$B$8:$B$14,MATCH(C330,'Conversion Model'!$A$8:$A$14,0)),0)+IFERROR(INDEX('Conversion Model'!$E$8:$E$9,MATCH(F330,'Conversion Model'!$D$8:$D$9,0)),0)+IFERROR(INDEX('Conversion Model'!$H$8:$H$12,MATCH(IF(LEFT(J330,8)="Payments","Payments",IF(LEFT(J330,7)="Lending","Lending",J330)),'Conversion Model'!$G$8:$G$12,0)),0)+MIN(L330,15)*'Conversion Model'!$B$17+IF(SUMPRODUCT(--ISNUMBER(SEARCH('Scoring Model'!$D$16:$D$25,K330)))&gt;0,'Conversion Model'!$B$18,0)+IF(SUMPRODUCT(--ISNUMBER(SEARCH('Scoring Model'!$G$16:$G$23,K330)))&gt;0,'Conversion Model'!$B$19,0)))))</f>
        <v/>
      </c>
      <c r="AH330" s="3" t="str">
        <f aca="false">IF(OR(O330="Qualified",O330="Won",O330="Lost"),1,IF(O330="Unqualified",0,""))</f>
        <v/>
      </c>
    </row>
    <row r="331" customFormat="false" ht="15" hidden="false" customHeight="true" outlineLevel="0" collapsed="false">
      <c r="A331" s="3" t="s">
        <v>1328</v>
      </c>
      <c r="B331" s="9" t="n">
        <v>46088.0222222222</v>
      </c>
      <c r="C331" s="3" t="s">
        <v>76</v>
      </c>
      <c r="D331" s="3" t="s">
        <v>1329</v>
      </c>
      <c r="E331" s="3" t="s">
        <v>1330</v>
      </c>
      <c r="F331" s="3" t="s">
        <v>54</v>
      </c>
      <c r="G331" s="3" t="s">
        <v>1331</v>
      </c>
      <c r="H331" s="3"/>
      <c r="I331" s="3" t="s">
        <v>139</v>
      </c>
      <c r="J331" s="3" t="s">
        <v>122</v>
      </c>
      <c r="K331" s="3" t="s">
        <v>74</v>
      </c>
      <c r="L331" s="3" t="n">
        <v>3</v>
      </c>
      <c r="M331" s="3" t="n">
        <v>8.7</v>
      </c>
      <c r="N331" s="3" t="s">
        <v>171</v>
      </c>
      <c r="O331" s="3" t="s">
        <v>194</v>
      </c>
      <c r="P331" s="10"/>
      <c r="Q331" s="3" t="n">
        <f aca="false">IF(F331="Disposable",1,0)</f>
        <v>0</v>
      </c>
      <c r="R331" s="3" t="n">
        <f aca="false">IF(SUMPRODUCT(--ISNUMBER(SEARCH('Spam Rules'!$A$22:$A$35,K331)))&gt;0,1,0)</f>
        <v>0</v>
      </c>
      <c r="S331" s="3" t="n">
        <f aca="false">IF(AND(F331="Free",G331=""),1,0)</f>
        <v>0</v>
      </c>
      <c r="T331" s="3" t="n">
        <f aca="false">IF(LEN(TRIM(K331))&lt;15,1,0)</f>
        <v>0</v>
      </c>
      <c r="U331" s="3" t="n">
        <f aca="false">IF(COUNTIF($E$2:$E$801,E331)&gt;1,1,0)</f>
        <v>0</v>
      </c>
      <c r="V331" s="3" t="n">
        <f aca="false">Q331*'Spam Rules'!$H$6+R331*'Spam Rules'!$H$7+S331*'Spam Rules'!$H$8+T331*'Spam Rules'!$H$9+U331*'Spam Rules'!$H$10</f>
        <v>0</v>
      </c>
      <c r="W331" s="3" t="str">
        <f aca="false">IF(V331&gt;='Spam Rules'!$B$3,"Likely Spam","Genuine")</f>
        <v>Genuine</v>
      </c>
      <c r="X331" s="3" t="n">
        <f aca="false">IFERROR(INDEX('Scoring Model'!$B$5:$B$11,MATCH(C331,'Scoring Model'!$A$5:$A$11,0)),0)</f>
        <v>0</v>
      </c>
      <c r="Y331" s="3" t="n">
        <f aca="false">IFERROR(INDEX('Scoring Model'!$E$5:$E$7,MATCH(F331,'Scoring Model'!$D$5:$D$7,0)),0)</f>
        <v>0</v>
      </c>
      <c r="Z331" s="3" t="n">
        <f aca="false">IFERROR(INDEX('Scoring Model'!$H$5:$H$13,MATCH(J331,'Scoring Model'!$G$5:$G$13,0)),0)</f>
        <v>15</v>
      </c>
      <c r="AA331" s="3" t="n">
        <f aca="false">IF(L331&gt;='Scoring Model'!$B$14,'Scoring Model'!$B$15,IF(L331&gt;='Scoring Model'!$B$16,'Scoring Model'!$B$17,0))</f>
        <v>0</v>
      </c>
      <c r="AB331" s="3" t="n">
        <f aca="false">IF(SUMPRODUCT(--ISNUMBER(SEARCH('Scoring Model'!$D$16:$D$25,K331)))&gt;0,'Scoring Model'!$B$18,0)</f>
        <v>0</v>
      </c>
      <c r="AC331" s="3" t="n">
        <f aca="false">IF(SUMPRODUCT(--ISNUMBER(SEARCH('Scoring Model'!$G$16:$G$23,K331)))&gt;0,'Scoring Model'!$B$19,0)</f>
        <v>-30</v>
      </c>
      <c r="AD331" s="3" t="n">
        <f aca="false">IF(W331="Likely Spam","",SUM(X331:AC331))</f>
        <v>-15</v>
      </c>
      <c r="AE331" s="3" t="str">
        <f aca="false">IF(W331="Likely Spam","Spam",IF(AD331&gt;='Scoring Model'!$B$21,"Hot",IF(AD331&gt;='Scoring Model'!$B$22,"Warm","Nurture")))</f>
        <v>Nurture</v>
      </c>
      <c r="AF331" s="3" t="str">
        <f aca="false">IF(W331="Likely Spam","Flagged by spam rules",TRIM(IF(X331&gt;=20,"Strong source. ","")&amp;IF(Y331&gt;0,"Company email. ","")&amp;IF(Z331&gt;=15,"High-value product. ","")&amp;IF(AA331&gt;='Scoring Model'!$B$15,"High engagement. ","")&amp;IF(AB331&gt;0,"Buying intent in message. ","")&amp;IF(AC331&lt;0,"Negative intent in message. ","")))</f>
        <v>High-value product. Negative intent in message.</v>
      </c>
      <c r="AG331" s="11" t="n">
        <f aca="false">IF(W331="Likely Spam","",1/(1+EXP(-('Conversion Model'!$B$5+IFERROR(INDEX('Conversion Model'!$B$8:$B$14,MATCH(C331,'Conversion Model'!$A$8:$A$14,0)),0)+IFERROR(INDEX('Conversion Model'!$E$8:$E$9,MATCH(F331,'Conversion Model'!$D$8:$D$9,0)),0)+IFERROR(INDEX('Conversion Model'!$H$8:$H$12,MATCH(IF(LEFT(J331,8)="Payments","Payments",IF(LEFT(J331,7)="Lending","Lending",J331)),'Conversion Model'!$G$8:$G$12,0)),0)+MIN(L331,15)*'Conversion Model'!$B$17+IF(SUMPRODUCT(--ISNUMBER(SEARCH('Scoring Model'!$D$16:$D$25,K331)))&gt;0,'Conversion Model'!$B$18,0)+IF(SUMPRODUCT(--ISNUMBER(SEARCH('Scoring Model'!$G$16:$G$23,K331)))&gt;0,'Conversion Model'!$B$19,0)))))</f>
        <v>0.0039898651489941</v>
      </c>
      <c r="AH331" s="3" t="n">
        <f aca="false">IF(OR(O331="Qualified",O331="Won",O331="Lost"),1,IF(O331="Unqualified",0,""))</f>
        <v>0</v>
      </c>
    </row>
    <row r="332" customFormat="false" ht="15" hidden="false" customHeight="true" outlineLevel="0" collapsed="false">
      <c r="A332" s="3" t="s">
        <v>1332</v>
      </c>
      <c r="B332" s="9" t="n">
        <v>46088.1520833333</v>
      </c>
      <c r="C332" s="3" t="s">
        <v>135</v>
      </c>
      <c r="D332" s="3" t="s">
        <v>1333</v>
      </c>
      <c r="E332" s="3" t="s">
        <v>1334</v>
      </c>
      <c r="F332" s="3" t="s">
        <v>22</v>
      </c>
      <c r="G332" s="3" t="s">
        <v>250</v>
      </c>
      <c r="H332" s="3" t="s">
        <v>251</v>
      </c>
      <c r="I332" s="3" t="s">
        <v>204</v>
      </c>
      <c r="J332" s="3" t="s">
        <v>245</v>
      </c>
      <c r="K332" s="3" t="s">
        <v>1335</v>
      </c>
      <c r="L332" s="3" t="n">
        <v>11</v>
      </c>
      <c r="M332" s="3" t="n">
        <v>16.1</v>
      </c>
      <c r="N332" s="3" t="s">
        <v>67</v>
      </c>
      <c r="O332" s="3" t="s">
        <v>110</v>
      </c>
      <c r="P332" s="10"/>
      <c r="Q332" s="3" t="n">
        <f aca="false">IF(F332="Disposable",1,0)</f>
        <v>0</v>
      </c>
      <c r="R332" s="3" t="n">
        <f aca="false">IF(SUMPRODUCT(--ISNUMBER(SEARCH('Spam Rules'!$A$22:$A$35,K332)))&gt;0,1,0)</f>
        <v>0</v>
      </c>
      <c r="S332" s="3" t="n">
        <f aca="false">IF(AND(F332="Free",G332=""),1,0)</f>
        <v>0</v>
      </c>
      <c r="T332" s="3" t="n">
        <f aca="false">IF(LEN(TRIM(K332))&lt;15,1,0)</f>
        <v>0</v>
      </c>
      <c r="U332" s="3" t="n">
        <f aca="false">IF(COUNTIF($E$2:$E$801,E332)&gt;1,1,0)</f>
        <v>0</v>
      </c>
      <c r="V332" s="3" t="n">
        <f aca="false">Q332*'Spam Rules'!$H$6+R332*'Spam Rules'!$H$7+S332*'Spam Rules'!$H$8+T332*'Spam Rules'!$H$9+U332*'Spam Rules'!$H$10</f>
        <v>0</v>
      </c>
      <c r="W332" s="3" t="str">
        <f aca="false">IF(V332&gt;='Spam Rules'!$B$3,"Likely Spam","Genuine")</f>
        <v>Genuine</v>
      </c>
      <c r="X332" s="3" t="n">
        <f aca="false">IFERROR(INDEX('Scoring Model'!$B$5:$B$11,MATCH(C332,'Scoring Model'!$A$5:$A$11,0)),0)</f>
        <v>20</v>
      </c>
      <c r="Y332" s="3" t="n">
        <f aca="false">IFERROR(INDEX('Scoring Model'!$E$5:$E$7,MATCH(F332,'Scoring Model'!$D$5:$D$7,0)),0)</f>
        <v>20</v>
      </c>
      <c r="Z332" s="3" t="n">
        <f aca="false">IFERROR(INDEX('Scoring Model'!$H$5:$H$13,MATCH(J332,'Scoring Model'!$G$5:$G$13,0)),0)</f>
        <v>15</v>
      </c>
      <c r="AA332" s="3" t="n">
        <f aca="false">IF(L332&gt;='Scoring Model'!$B$14,'Scoring Model'!$B$15,IF(L332&gt;='Scoring Model'!$B$16,'Scoring Model'!$B$17,0))</f>
        <v>15</v>
      </c>
      <c r="AB332" s="3" t="n">
        <f aca="false">IF(SUMPRODUCT(--ISNUMBER(SEARCH('Scoring Model'!$D$16:$D$25,K332)))&gt;0,'Scoring Model'!$B$18,0)</f>
        <v>15</v>
      </c>
      <c r="AC332" s="3" t="n">
        <f aca="false">IF(SUMPRODUCT(--ISNUMBER(SEARCH('Scoring Model'!$G$16:$G$23,K332)))&gt;0,'Scoring Model'!$B$19,0)</f>
        <v>0</v>
      </c>
      <c r="AD332" s="3" t="n">
        <f aca="false">IF(W332="Likely Spam","",SUM(X332:AC332))</f>
        <v>85</v>
      </c>
      <c r="AE332" s="3" t="str">
        <f aca="false">IF(W332="Likely Spam","Spam",IF(AD332&gt;='Scoring Model'!$B$21,"Hot",IF(AD332&gt;='Scoring Model'!$B$22,"Warm","Nurture")))</f>
        <v>Hot</v>
      </c>
      <c r="AF332" s="3" t="str">
        <f aca="false">IF(W332="Likely Spam","Flagged by spam rules",TRIM(IF(X332&gt;=20,"Strong source. ","")&amp;IF(Y332&gt;0,"Company email. ","")&amp;IF(Z332&gt;=15,"High-value product. ","")&amp;IF(AA332&gt;='Scoring Model'!$B$15,"High engagement. ","")&amp;IF(AB332&gt;0,"Buying intent in message. ","")&amp;IF(AC332&lt;0,"Negative intent in message. ","")))</f>
        <v>Strong source. Company email. High-value product. High engagement. Buying intent in message.</v>
      </c>
      <c r="AG332" s="11" t="n">
        <f aca="false">IF(W332="Likely Spam","",1/(1+EXP(-('Conversion Model'!$B$5+IFERROR(INDEX('Conversion Model'!$B$8:$B$14,MATCH(C332,'Conversion Model'!$A$8:$A$14,0)),0)+IFERROR(INDEX('Conversion Model'!$E$8:$E$9,MATCH(F332,'Conversion Model'!$D$8:$D$9,0)),0)+IFERROR(INDEX('Conversion Model'!$H$8:$H$12,MATCH(IF(LEFT(J332,8)="Payments","Payments",IF(LEFT(J332,7)="Lending","Lending",J332)),'Conversion Model'!$G$8:$G$12,0)),0)+MIN(L332,15)*'Conversion Model'!$B$17+IF(SUMPRODUCT(--ISNUMBER(SEARCH('Scoring Model'!$D$16:$D$25,K332)))&gt;0,'Conversion Model'!$B$18,0)+IF(SUMPRODUCT(--ISNUMBER(SEARCH('Scoring Model'!$G$16:$G$23,K332)))&gt;0,'Conversion Model'!$B$19,0)))))</f>
        <v>0.999393985229526</v>
      </c>
      <c r="AH332" s="3" t="n">
        <f aca="false">IF(OR(O332="Qualified",O332="Won",O332="Lost"),1,IF(O332="Unqualified",0,""))</f>
        <v>1</v>
      </c>
    </row>
    <row r="333" customFormat="false" ht="15" hidden="false" customHeight="true" outlineLevel="0" collapsed="false">
      <c r="A333" s="3" t="s">
        <v>1336</v>
      </c>
      <c r="B333" s="9" t="n">
        <v>46088.4277777778</v>
      </c>
      <c r="C333" s="3" t="s">
        <v>51</v>
      </c>
      <c r="D333" s="3" t="s">
        <v>1337</v>
      </c>
      <c r="E333" s="3" t="s">
        <v>1338</v>
      </c>
      <c r="F333" s="3" t="s">
        <v>63</v>
      </c>
      <c r="G333" s="3"/>
      <c r="H333" s="3"/>
      <c r="I333" s="3" t="s">
        <v>260</v>
      </c>
      <c r="J333" s="3" t="s">
        <v>122</v>
      </c>
      <c r="K333" s="3" t="s">
        <v>82</v>
      </c>
      <c r="L333" s="3" t="n">
        <v>2</v>
      </c>
      <c r="M333" s="3" t="n">
        <v>34.1</v>
      </c>
      <c r="N333" s="3" t="s">
        <v>67</v>
      </c>
      <c r="O333" s="3"/>
      <c r="P333" s="10"/>
      <c r="Q333" s="3" t="n">
        <f aca="false">IF(F333="Disposable",1,0)</f>
        <v>1</v>
      </c>
      <c r="R333" s="3" t="n">
        <f aca="false">IF(SUMPRODUCT(--ISNUMBER(SEARCH('Spam Rules'!$A$22:$A$35,K333)))&gt;0,1,0)</f>
        <v>1</v>
      </c>
      <c r="S333" s="3" t="n">
        <f aca="false">IF(AND(F333="Free",G333=""),1,0)</f>
        <v>0</v>
      </c>
      <c r="T333" s="3" t="n">
        <f aca="false">IF(LEN(TRIM(K333))&lt;15,1,0)</f>
        <v>0</v>
      </c>
      <c r="U333" s="3" t="n">
        <f aca="false">IF(COUNTIF($E$2:$E$801,E333)&gt;1,1,0)</f>
        <v>0</v>
      </c>
      <c r="V333" s="3" t="n">
        <f aca="false">Q333*'Spam Rules'!$H$6+R333*'Spam Rules'!$H$7+S333*'Spam Rules'!$H$8+T333*'Spam Rules'!$H$9+U333*'Spam Rules'!$H$10</f>
        <v>2</v>
      </c>
      <c r="W333" s="3" t="str">
        <f aca="false">IF(V333&gt;='Spam Rules'!$B$3,"Likely Spam","Genuine")</f>
        <v>Likely Spam</v>
      </c>
      <c r="X333" s="3" t="n">
        <f aca="false">IFERROR(INDEX('Scoring Model'!$B$5:$B$11,MATCH(C333,'Scoring Model'!$A$5:$A$11,0)),0)</f>
        <v>10</v>
      </c>
      <c r="Y333" s="3" t="n">
        <f aca="false">IFERROR(INDEX('Scoring Model'!$E$5:$E$7,MATCH(F333,'Scoring Model'!$D$5:$D$7,0)),0)</f>
        <v>0</v>
      </c>
      <c r="Z333" s="3" t="n">
        <f aca="false">IFERROR(INDEX('Scoring Model'!$H$5:$H$13,MATCH(J333,'Scoring Model'!$G$5:$G$13,0)),0)</f>
        <v>15</v>
      </c>
      <c r="AA333" s="3" t="n">
        <f aca="false">IF(L333&gt;='Scoring Model'!$B$14,'Scoring Model'!$B$15,IF(L333&gt;='Scoring Model'!$B$16,'Scoring Model'!$B$17,0))</f>
        <v>0</v>
      </c>
      <c r="AB333" s="3" t="n">
        <f aca="false">IF(SUMPRODUCT(--ISNUMBER(SEARCH('Scoring Model'!$D$16:$D$25,K333)))&gt;0,'Scoring Model'!$B$18,0)</f>
        <v>0</v>
      </c>
      <c r="AC333" s="3" t="n">
        <f aca="false">IF(SUMPRODUCT(--ISNUMBER(SEARCH('Scoring Model'!$G$16:$G$23,K333)))&gt;0,'Scoring Model'!$B$19,0)</f>
        <v>0</v>
      </c>
      <c r="AD333" s="3" t="str">
        <f aca="false">IF(W333="Likely Spam","",SUM(X333:AC333))</f>
        <v/>
      </c>
      <c r="AE333" s="3" t="str">
        <f aca="false">IF(W333="Likely Spam","Spam",IF(AD333&gt;='Scoring Model'!$B$21,"Hot",IF(AD333&gt;='Scoring Model'!$B$22,"Warm","Nurture")))</f>
        <v>Spam</v>
      </c>
      <c r="AF333" s="3" t="str">
        <f aca="false">IF(W333="Likely Spam","Flagged by spam rules",TRIM(IF(X333&gt;=20,"Strong source. ","")&amp;IF(Y333&gt;0,"Company email. ","")&amp;IF(Z333&gt;=15,"High-value product. ","")&amp;IF(AA333&gt;='Scoring Model'!$B$15,"High engagement. ","")&amp;IF(AB333&gt;0,"Buying intent in message. ","")&amp;IF(AC333&lt;0,"Negative intent in message. ","")))</f>
        <v>Flagged by spam rules</v>
      </c>
      <c r="AG333" s="11" t="str">
        <f aca="false">IF(W333="Likely Spam","",1/(1+EXP(-('Conversion Model'!$B$5+IFERROR(INDEX('Conversion Model'!$B$8:$B$14,MATCH(C333,'Conversion Model'!$A$8:$A$14,0)),0)+IFERROR(INDEX('Conversion Model'!$E$8:$E$9,MATCH(F333,'Conversion Model'!$D$8:$D$9,0)),0)+IFERROR(INDEX('Conversion Model'!$H$8:$H$12,MATCH(IF(LEFT(J333,8)="Payments","Payments",IF(LEFT(J333,7)="Lending","Lending",J333)),'Conversion Model'!$G$8:$G$12,0)),0)+MIN(L333,15)*'Conversion Model'!$B$17+IF(SUMPRODUCT(--ISNUMBER(SEARCH('Scoring Model'!$D$16:$D$25,K333)))&gt;0,'Conversion Model'!$B$18,0)+IF(SUMPRODUCT(--ISNUMBER(SEARCH('Scoring Model'!$G$16:$G$23,K333)))&gt;0,'Conversion Model'!$B$19,0)))))</f>
        <v/>
      </c>
      <c r="AH333" s="3" t="str">
        <f aca="false">IF(OR(O333="Qualified",O333="Won",O333="Lost"),1,IF(O333="Unqualified",0,""))</f>
        <v/>
      </c>
    </row>
    <row r="334" customFormat="false" ht="15" hidden="false" customHeight="true" outlineLevel="0" collapsed="false">
      <c r="A334" s="3" t="s">
        <v>1339</v>
      </c>
      <c r="B334" s="9" t="n">
        <v>46089.3006944444</v>
      </c>
      <c r="C334" s="3" t="s">
        <v>160</v>
      </c>
      <c r="D334" s="3" t="s">
        <v>469</v>
      </c>
      <c r="E334" s="3" t="s">
        <v>1340</v>
      </c>
      <c r="F334" s="3" t="s">
        <v>54</v>
      </c>
      <c r="G334" s="3"/>
      <c r="H334" s="3"/>
      <c r="I334" s="3" t="s">
        <v>56</v>
      </c>
      <c r="J334" s="3" t="s">
        <v>145</v>
      </c>
      <c r="K334" s="3" t="s">
        <v>213</v>
      </c>
      <c r="L334" s="3" t="n">
        <v>1</v>
      </c>
      <c r="M334" s="3" t="n">
        <v>58.3</v>
      </c>
      <c r="N334" s="3" t="s">
        <v>171</v>
      </c>
      <c r="O334" s="3" t="s">
        <v>194</v>
      </c>
      <c r="P334" s="10"/>
      <c r="Q334" s="3" t="n">
        <f aca="false">IF(F334="Disposable",1,0)</f>
        <v>0</v>
      </c>
      <c r="R334" s="3" t="n">
        <f aca="false">IF(SUMPRODUCT(--ISNUMBER(SEARCH('Spam Rules'!$A$22:$A$35,K334)))&gt;0,1,0)</f>
        <v>0</v>
      </c>
      <c r="S334" s="3" t="n">
        <f aca="false">IF(AND(F334="Free",G334=""),1,0)</f>
        <v>1</v>
      </c>
      <c r="T334" s="3" t="n">
        <f aca="false">IF(LEN(TRIM(K334))&lt;15,1,0)</f>
        <v>0</v>
      </c>
      <c r="U334" s="3" t="n">
        <f aca="false">IF(COUNTIF($E$2:$E$801,E334)&gt;1,1,0)</f>
        <v>0</v>
      </c>
      <c r="V334" s="3" t="n">
        <f aca="false">Q334*'Spam Rules'!$H$6+R334*'Spam Rules'!$H$7+S334*'Spam Rules'!$H$8+T334*'Spam Rules'!$H$9+U334*'Spam Rules'!$H$10</f>
        <v>0</v>
      </c>
      <c r="W334" s="3" t="str">
        <f aca="false">IF(V334&gt;='Spam Rules'!$B$3,"Likely Spam","Genuine")</f>
        <v>Genuine</v>
      </c>
      <c r="X334" s="3" t="n">
        <f aca="false">IFERROR(INDEX('Scoring Model'!$B$5:$B$11,MATCH(C334,'Scoring Model'!$A$5:$A$11,0)),0)</f>
        <v>25</v>
      </c>
      <c r="Y334" s="3" t="n">
        <f aca="false">IFERROR(INDEX('Scoring Model'!$E$5:$E$7,MATCH(F334,'Scoring Model'!$D$5:$D$7,0)),0)</f>
        <v>0</v>
      </c>
      <c r="Z334" s="3" t="n">
        <f aca="false">IFERROR(INDEX('Scoring Model'!$H$5:$H$13,MATCH(J334,'Scoring Model'!$G$5:$G$13,0)),0)</f>
        <v>5</v>
      </c>
      <c r="AA334" s="3" t="n">
        <f aca="false">IF(L334&gt;='Scoring Model'!$B$14,'Scoring Model'!$B$15,IF(L334&gt;='Scoring Model'!$B$16,'Scoring Model'!$B$17,0))</f>
        <v>0</v>
      </c>
      <c r="AB334" s="3" t="n">
        <f aca="false">IF(SUMPRODUCT(--ISNUMBER(SEARCH('Scoring Model'!$D$16:$D$25,K334)))&gt;0,'Scoring Model'!$B$18,0)</f>
        <v>0</v>
      </c>
      <c r="AC334" s="3" t="n">
        <f aca="false">IF(SUMPRODUCT(--ISNUMBER(SEARCH('Scoring Model'!$G$16:$G$23,K334)))&gt;0,'Scoring Model'!$B$19,0)</f>
        <v>-30</v>
      </c>
      <c r="AD334" s="3" t="n">
        <f aca="false">IF(W334="Likely Spam","",SUM(X334:AC334))</f>
        <v>0</v>
      </c>
      <c r="AE334" s="3" t="str">
        <f aca="false">IF(W334="Likely Spam","Spam",IF(AD334&gt;='Scoring Model'!$B$21,"Hot",IF(AD334&gt;='Scoring Model'!$B$22,"Warm","Nurture")))</f>
        <v>Nurture</v>
      </c>
      <c r="AF334" s="3" t="str">
        <f aca="false">IF(W334="Likely Spam","Flagged by spam rules",TRIM(IF(X334&gt;=20,"Strong source. ","")&amp;IF(Y334&gt;0,"Company email. ","")&amp;IF(Z334&gt;=15,"High-value product. ","")&amp;IF(AA334&gt;='Scoring Model'!$B$15,"High engagement. ","")&amp;IF(AB334&gt;0,"Buying intent in message. ","")&amp;IF(AC334&lt;0,"Negative intent in message. ","")))</f>
        <v>Strong source. Negative intent in message.</v>
      </c>
      <c r="AG334" s="11" t="n">
        <f aca="false">IF(W334="Likely Spam","",1/(1+EXP(-('Conversion Model'!$B$5+IFERROR(INDEX('Conversion Model'!$B$8:$B$14,MATCH(C334,'Conversion Model'!$A$8:$A$14,0)),0)+IFERROR(INDEX('Conversion Model'!$E$8:$E$9,MATCH(F334,'Conversion Model'!$D$8:$D$9,0)),0)+IFERROR(INDEX('Conversion Model'!$H$8:$H$12,MATCH(IF(LEFT(J334,8)="Payments","Payments",IF(LEFT(J334,7)="Lending","Lending",J334)),'Conversion Model'!$G$8:$G$12,0)),0)+MIN(L334,15)*'Conversion Model'!$B$17+IF(SUMPRODUCT(--ISNUMBER(SEARCH('Scoring Model'!$D$16:$D$25,K334)))&gt;0,'Conversion Model'!$B$18,0)+IF(SUMPRODUCT(--ISNUMBER(SEARCH('Scoring Model'!$G$16:$G$23,K334)))&gt;0,'Conversion Model'!$B$19,0)))))</f>
        <v>0.00216536203495134</v>
      </c>
      <c r="AH334" s="3" t="n">
        <f aca="false">IF(OR(O334="Qualified",O334="Won",O334="Lost"),1,IF(O334="Unqualified",0,""))</f>
        <v>0</v>
      </c>
    </row>
    <row r="335" customFormat="false" ht="15" hidden="false" customHeight="true" outlineLevel="0" collapsed="false">
      <c r="A335" s="3" t="s">
        <v>1341</v>
      </c>
      <c r="B335" s="9" t="n">
        <v>46089.7201388889</v>
      </c>
      <c r="C335" s="3" t="s">
        <v>51</v>
      </c>
      <c r="D335" s="3" t="s">
        <v>1342</v>
      </c>
      <c r="E335" s="3" t="s">
        <v>1343</v>
      </c>
      <c r="F335" s="3" t="s">
        <v>54</v>
      </c>
      <c r="G335" s="3" t="s">
        <v>1344</v>
      </c>
      <c r="H335" s="3"/>
      <c r="I335" s="3" t="s">
        <v>107</v>
      </c>
      <c r="J335" s="3" t="s">
        <v>81</v>
      </c>
      <c r="K335" s="3" t="s">
        <v>228</v>
      </c>
      <c r="L335" s="3" t="n">
        <v>4</v>
      </c>
      <c r="M335" s="3" t="n">
        <v>18.9</v>
      </c>
      <c r="N335" s="3" t="s">
        <v>96</v>
      </c>
      <c r="O335" s="3" t="s">
        <v>133</v>
      </c>
      <c r="P335" s="10"/>
      <c r="Q335" s="3" t="n">
        <f aca="false">IF(F335="Disposable",1,0)</f>
        <v>0</v>
      </c>
      <c r="R335" s="3" t="n">
        <f aca="false">IF(SUMPRODUCT(--ISNUMBER(SEARCH('Spam Rules'!$A$22:$A$35,K335)))&gt;0,1,0)</f>
        <v>0</v>
      </c>
      <c r="S335" s="3" t="n">
        <f aca="false">IF(AND(F335="Free",G335=""),1,0)</f>
        <v>0</v>
      </c>
      <c r="T335" s="3" t="n">
        <f aca="false">IF(LEN(TRIM(K335))&lt;15,1,0)</f>
        <v>0</v>
      </c>
      <c r="U335" s="3" t="n">
        <f aca="false">IF(COUNTIF($E$2:$E$801,E335)&gt;1,1,0)</f>
        <v>0</v>
      </c>
      <c r="V335" s="3" t="n">
        <f aca="false">Q335*'Spam Rules'!$H$6+R335*'Spam Rules'!$H$7+S335*'Spam Rules'!$H$8+T335*'Spam Rules'!$H$9+U335*'Spam Rules'!$H$10</f>
        <v>0</v>
      </c>
      <c r="W335" s="3" t="str">
        <f aca="false">IF(V335&gt;='Spam Rules'!$B$3,"Likely Spam","Genuine")</f>
        <v>Genuine</v>
      </c>
      <c r="X335" s="3" t="n">
        <f aca="false">IFERROR(INDEX('Scoring Model'!$B$5:$B$11,MATCH(C335,'Scoring Model'!$A$5:$A$11,0)),0)</f>
        <v>10</v>
      </c>
      <c r="Y335" s="3" t="n">
        <f aca="false">IFERROR(INDEX('Scoring Model'!$E$5:$E$7,MATCH(F335,'Scoring Model'!$D$5:$D$7,0)),0)</f>
        <v>0</v>
      </c>
      <c r="Z335" s="3" t="n">
        <f aca="false">IFERROR(INDEX('Scoring Model'!$H$5:$H$13,MATCH(J335,'Scoring Model'!$G$5:$G$13,0)),0)</f>
        <v>5</v>
      </c>
      <c r="AA335" s="3" t="n">
        <f aca="false">IF(L335&gt;='Scoring Model'!$B$14,'Scoring Model'!$B$15,IF(L335&gt;='Scoring Model'!$B$16,'Scoring Model'!$B$17,0))</f>
        <v>8</v>
      </c>
      <c r="AB335" s="3" t="n">
        <f aca="false">IF(SUMPRODUCT(--ISNUMBER(SEARCH('Scoring Model'!$D$16:$D$25,K335)))&gt;0,'Scoring Model'!$B$18,0)</f>
        <v>15</v>
      </c>
      <c r="AC335" s="3" t="n">
        <f aca="false">IF(SUMPRODUCT(--ISNUMBER(SEARCH('Scoring Model'!$G$16:$G$23,K335)))&gt;0,'Scoring Model'!$B$19,0)</f>
        <v>0</v>
      </c>
      <c r="AD335" s="3" t="n">
        <f aca="false">IF(W335="Likely Spam","",SUM(X335:AC335))</f>
        <v>38</v>
      </c>
      <c r="AE335" s="3" t="str">
        <f aca="false">IF(W335="Likely Spam","Spam",IF(AD335&gt;='Scoring Model'!$B$21,"Hot",IF(AD335&gt;='Scoring Model'!$B$22,"Warm","Nurture")))</f>
        <v>Nurture</v>
      </c>
      <c r="AF335" s="3" t="str">
        <f aca="false">IF(W335="Likely Spam","Flagged by spam rules",TRIM(IF(X335&gt;=20,"Strong source. ","")&amp;IF(Y335&gt;0,"Company email. ","")&amp;IF(Z335&gt;=15,"High-value product. ","")&amp;IF(AA335&gt;='Scoring Model'!$B$15,"High engagement. ","")&amp;IF(AB335&gt;0,"Buying intent in message. ","")&amp;IF(AC335&lt;0,"Negative intent in message. ","")))</f>
        <v>Buying intent in message.</v>
      </c>
      <c r="AG335" s="11" t="n">
        <f aca="false">IF(W335="Likely Spam","",1/(1+EXP(-('Conversion Model'!$B$5+IFERROR(INDEX('Conversion Model'!$B$8:$B$14,MATCH(C335,'Conversion Model'!$A$8:$A$14,0)),0)+IFERROR(INDEX('Conversion Model'!$E$8:$E$9,MATCH(F335,'Conversion Model'!$D$8:$D$9,0)),0)+IFERROR(INDEX('Conversion Model'!$H$8:$H$12,MATCH(IF(LEFT(J335,8)="Payments","Payments",IF(LEFT(J335,7)="Lending","Lending",J335)),'Conversion Model'!$G$8:$G$12,0)),0)+MIN(L335,15)*'Conversion Model'!$B$17+IF(SUMPRODUCT(--ISNUMBER(SEARCH('Scoring Model'!$D$16:$D$25,K335)))&gt;0,'Conversion Model'!$B$18,0)+IF(SUMPRODUCT(--ISNUMBER(SEARCH('Scoring Model'!$G$16:$G$23,K335)))&gt;0,'Conversion Model'!$B$19,0)))))</f>
        <v>0.216870104386572</v>
      </c>
      <c r="AH335" s="3" t="str">
        <f aca="false">IF(OR(O335="Qualified",O335="Won",O335="Lost"),1,IF(O335="Unqualified",0,""))</f>
        <v/>
      </c>
    </row>
    <row r="336" customFormat="false" ht="15" hidden="false" customHeight="true" outlineLevel="0" collapsed="false">
      <c r="A336" s="3" t="s">
        <v>1345</v>
      </c>
      <c r="B336" s="9" t="n">
        <v>46090.7173611111</v>
      </c>
      <c r="C336" s="3" t="s">
        <v>91</v>
      </c>
      <c r="D336" s="3" t="s">
        <v>529</v>
      </c>
      <c r="E336" s="3" t="s">
        <v>1346</v>
      </c>
      <c r="F336" s="3" t="s">
        <v>54</v>
      </c>
      <c r="G336" s="3"/>
      <c r="H336" s="3"/>
      <c r="I336" s="3" t="s">
        <v>188</v>
      </c>
      <c r="J336" s="3" t="s">
        <v>81</v>
      </c>
      <c r="K336" s="3" t="s">
        <v>213</v>
      </c>
      <c r="L336" s="3" t="n">
        <v>3</v>
      </c>
      <c r="M336" s="3" t="n">
        <v>16.2</v>
      </c>
      <c r="N336" s="3" t="s">
        <v>171</v>
      </c>
      <c r="O336" s="3"/>
      <c r="P336" s="10"/>
      <c r="Q336" s="3" t="n">
        <f aca="false">IF(F336="Disposable",1,0)</f>
        <v>0</v>
      </c>
      <c r="R336" s="3" t="n">
        <f aca="false">IF(SUMPRODUCT(--ISNUMBER(SEARCH('Spam Rules'!$A$22:$A$35,K336)))&gt;0,1,0)</f>
        <v>0</v>
      </c>
      <c r="S336" s="3" t="n">
        <f aca="false">IF(AND(F336="Free",G336=""),1,0)</f>
        <v>1</v>
      </c>
      <c r="T336" s="3" t="n">
        <f aca="false">IF(LEN(TRIM(K336))&lt;15,1,0)</f>
        <v>0</v>
      </c>
      <c r="U336" s="3" t="n">
        <f aca="false">IF(COUNTIF($E$2:$E$801,E336)&gt;1,1,0)</f>
        <v>0</v>
      </c>
      <c r="V336" s="3" t="n">
        <f aca="false">Q336*'Spam Rules'!$H$6+R336*'Spam Rules'!$H$7+S336*'Spam Rules'!$H$8+T336*'Spam Rules'!$H$9+U336*'Spam Rules'!$H$10</f>
        <v>0</v>
      </c>
      <c r="W336" s="3" t="str">
        <f aca="false">IF(V336&gt;='Spam Rules'!$B$3,"Likely Spam","Genuine")</f>
        <v>Genuine</v>
      </c>
      <c r="X336" s="3" t="n">
        <f aca="false">IFERROR(INDEX('Scoring Model'!$B$5:$B$11,MATCH(C336,'Scoring Model'!$A$5:$A$11,0)),0)</f>
        <v>5</v>
      </c>
      <c r="Y336" s="3" t="n">
        <f aca="false">IFERROR(INDEX('Scoring Model'!$E$5:$E$7,MATCH(F336,'Scoring Model'!$D$5:$D$7,0)),0)</f>
        <v>0</v>
      </c>
      <c r="Z336" s="3" t="n">
        <f aca="false">IFERROR(INDEX('Scoring Model'!$H$5:$H$13,MATCH(J336,'Scoring Model'!$G$5:$G$13,0)),0)</f>
        <v>5</v>
      </c>
      <c r="AA336" s="3" t="n">
        <f aca="false">IF(L336&gt;='Scoring Model'!$B$14,'Scoring Model'!$B$15,IF(L336&gt;='Scoring Model'!$B$16,'Scoring Model'!$B$17,0))</f>
        <v>0</v>
      </c>
      <c r="AB336" s="3" t="n">
        <f aca="false">IF(SUMPRODUCT(--ISNUMBER(SEARCH('Scoring Model'!$D$16:$D$25,K336)))&gt;0,'Scoring Model'!$B$18,0)</f>
        <v>0</v>
      </c>
      <c r="AC336" s="3" t="n">
        <f aca="false">IF(SUMPRODUCT(--ISNUMBER(SEARCH('Scoring Model'!$G$16:$G$23,K336)))&gt;0,'Scoring Model'!$B$19,0)</f>
        <v>-30</v>
      </c>
      <c r="AD336" s="3" t="n">
        <f aca="false">IF(W336="Likely Spam","",SUM(X336:AC336))</f>
        <v>-20</v>
      </c>
      <c r="AE336" s="3" t="str">
        <f aca="false">IF(W336="Likely Spam","Spam",IF(AD336&gt;='Scoring Model'!$B$21,"Hot",IF(AD336&gt;='Scoring Model'!$B$22,"Warm","Nurture")))</f>
        <v>Nurture</v>
      </c>
      <c r="AF336" s="3" t="str">
        <f aca="false">IF(W336="Likely Spam","Flagged by spam rules",TRIM(IF(X336&gt;=20,"Strong source. ","")&amp;IF(Y336&gt;0,"Company email. ","")&amp;IF(Z336&gt;=15,"High-value product. ","")&amp;IF(AA336&gt;='Scoring Model'!$B$15,"High engagement. ","")&amp;IF(AB336&gt;0,"Buying intent in message. ","")&amp;IF(AC336&lt;0,"Negative intent in message. ","")))</f>
        <v>Negative intent in message.</v>
      </c>
      <c r="AG336" s="11" t="n">
        <f aca="false">IF(W336="Likely Spam","",1/(1+EXP(-('Conversion Model'!$B$5+IFERROR(INDEX('Conversion Model'!$B$8:$B$14,MATCH(C336,'Conversion Model'!$A$8:$A$14,0)),0)+IFERROR(INDEX('Conversion Model'!$E$8:$E$9,MATCH(F336,'Conversion Model'!$D$8:$D$9,0)),0)+IFERROR(INDEX('Conversion Model'!$H$8:$H$12,MATCH(IF(LEFT(J336,8)="Payments","Payments",IF(LEFT(J336,7)="Lending","Lending",J336)),'Conversion Model'!$G$8:$G$12,0)),0)+MIN(L336,15)*'Conversion Model'!$B$17+IF(SUMPRODUCT(--ISNUMBER(SEARCH('Scoring Model'!$D$16:$D$25,K336)))&gt;0,'Conversion Model'!$B$18,0)+IF(SUMPRODUCT(--ISNUMBER(SEARCH('Scoring Model'!$G$16:$G$23,K336)))&gt;0,'Conversion Model'!$B$19,0)))))</f>
        <v>0.00271295551545726</v>
      </c>
      <c r="AH336" s="3" t="str">
        <f aca="false">IF(OR(O336="Qualified",O336="Won",O336="Lost"),1,IF(O336="Unqualified",0,""))</f>
        <v/>
      </c>
    </row>
    <row r="337" customFormat="false" ht="15" hidden="false" customHeight="true" outlineLevel="0" collapsed="false">
      <c r="A337" s="3" t="s">
        <v>1347</v>
      </c>
      <c r="B337" s="9" t="n">
        <v>46091.9305555556</v>
      </c>
      <c r="C337" s="3" t="s">
        <v>51</v>
      </c>
      <c r="D337" s="3" t="s">
        <v>454</v>
      </c>
      <c r="E337" s="3" t="s">
        <v>1348</v>
      </c>
      <c r="F337" s="3" t="s">
        <v>22</v>
      </c>
      <c r="G337" s="3" t="s">
        <v>79</v>
      </c>
      <c r="H337" s="3" t="s">
        <v>886</v>
      </c>
      <c r="I337" s="3" t="s">
        <v>64</v>
      </c>
      <c r="J337" s="3" t="s">
        <v>122</v>
      </c>
      <c r="K337" s="3" t="s">
        <v>66</v>
      </c>
      <c r="L337" s="3" t="n">
        <v>2</v>
      </c>
      <c r="M337" s="3"/>
      <c r="N337" s="3" t="s">
        <v>67</v>
      </c>
      <c r="O337" s="3" t="s">
        <v>68</v>
      </c>
      <c r="P337" s="10"/>
      <c r="Q337" s="3" t="n">
        <f aca="false">IF(F337="Disposable",1,0)</f>
        <v>0</v>
      </c>
      <c r="R337" s="3" t="n">
        <f aca="false">IF(SUMPRODUCT(--ISNUMBER(SEARCH('Spam Rules'!$A$22:$A$35,K337)))&gt;0,1,0)</f>
        <v>1</v>
      </c>
      <c r="S337" s="3" t="n">
        <f aca="false">IF(AND(F337="Free",G337=""),1,0)</f>
        <v>0</v>
      </c>
      <c r="T337" s="3" t="n">
        <f aca="false">IF(LEN(TRIM(K337))&lt;15,1,0)</f>
        <v>0</v>
      </c>
      <c r="U337" s="3" t="n">
        <f aca="false">IF(COUNTIF($E$2:$E$801,E337)&gt;1,1,0)</f>
        <v>0</v>
      </c>
      <c r="V337" s="3" t="n">
        <f aca="false">Q337*'Spam Rules'!$H$6+R337*'Spam Rules'!$H$7+S337*'Spam Rules'!$H$8+T337*'Spam Rules'!$H$9+U337*'Spam Rules'!$H$10</f>
        <v>1</v>
      </c>
      <c r="W337" s="3" t="str">
        <f aca="false">IF(V337&gt;='Spam Rules'!$B$3,"Likely Spam","Genuine")</f>
        <v>Likely Spam</v>
      </c>
      <c r="X337" s="3" t="n">
        <f aca="false">IFERROR(INDEX('Scoring Model'!$B$5:$B$11,MATCH(C337,'Scoring Model'!$A$5:$A$11,0)),0)</f>
        <v>10</v>
      </c>
      <c r="Y337" s="3" t="n">
        <f aca="false">IFERROR(INDEX('Scoring Model'!$E$5:$E$7,MATCH(F337,'Scoring Model'!$D$5:$D$7,0)),0)</f>
        <v>20</v>
      </c>
      <c r="Z337" s="3" t="n">
        <f aca="false">IFERROR(INDEX('Scoring Model'!$H$5:$H$13,MATCH(J337,'Scoring Model'!$G$5:$G$13,0)),0)</f>
        <v>15</v>
      </c>
      <c r="AA337" s="3" t="n">
        <f aca="false">IF(L337&gt;='Scoring Model'!$B$14,'Scoring Model'!$B$15,IF(L337&gt;='Scoring Model'!$B$16,'Scoring Model'!$B$17,0))</f>
        <v>0</v>
      </c>
      <c r="AB337" s="3" t="n">
        <f aca="false">IF(SUMPRODUCT(--ISNUMBER(SEARCH('Scoring Model'!$D$16:$D$25,K337)))&gt;0,'Scoring Model'!$B$18,0)</f>
        <v>0</v>
      </c>
      <c r="AC337" s="3" t="n">
        <f aca="false">IF(SUMPRODUCT(--ISNUMBER(SEARCH('Scoring Model'!$G$16:$G$23,K337)))&gt;0,'Scoring Model'!$B$19,0)</f>
        <v>0</v>
      </c>
      <c r="AD337" s="3" t="str">
        <f aca="false">IF(W337="Likely Spam","",SUM(X337:AC337))</f>
        <v/>
      </c>
      <c r="AE337" s="3" t="str">
        <f aca="false">IF(W337="Likely Spam","Spam",IF(AD337&gt;='Scoring Model'!$B$21,"Hot",IF(AD337&gt;='Scoring Model'!$B$22,"Warm","Nurture")))</f>
        <v>Spam</v>
      </c>
      <c r="AF337" s="3" t="str">
        <f aca="false">IF(W337="Likely Spam","Flagged by spam rules",TRIM(IF(X337&gt;=20,"Strong source. ","")&amp;IF(Y337&gt;0,"Company email. ","")&amp;IF(Z337&gt;=15,"High-value product. ","")&amp;IF(AA337&gt;='Scoring Model'!$B$15,"High engagement. ","")&amp;IF(AB337&gt;0,"Buying intent in message. ","")&amp;IF(AC337&lt;0,"Negative intent in message. ","")))</f>
        <v>Flagged by spam rules</v>
      </c>
      <c r="AG337" s="11" t="str">
        <f aca="false">IF(W337="Likely Spam","",1/(1+EXP(-('Conversion Model'!$B$5+IFERROR(INDEX('Conversion Model'!$B$8:$B$14,MATCH(C337,'Conversion Model'!$A$8:$A$14,0)),0)+IFERROR(INDEX('Conversion Model'!$E$8:$E$9,MATCH(F337,'Conversion Model'!$D$8:$D$9,0)),0)+IFERROR(INDEX('Conversion Model'!$H$8:$H$12,MATCH(IF(LEFT(J337,8)="Payments","Payments",IF(LEFT(J337,7)="Lending","Lending",J337)),'Conversion Model'!$G$8:$G$12,0)),0)+MIN(L337,15)*'Conversion Model'!$B$17+IF(SUMPRODUCT(--ISNUMBER(SEARCH('Scoring Model'!$D$16:$D$25,K337)))&gt;0,'Conversion Model'!$B$18,0)+IF(SUMPRODUCT(--ISNUMBER(SEARCH('Scoring Model'!$G$16:$G$23,K337)))&gt;0,'Conversion Model'!$B$19,0)))))</f>
        <v/>
      </c>
      <c r="AH337" s="3" t="str">
        <f aca="false">IF(OR(O337="Qualified",O337="Won",O337="Lost"),1,IF(O337="Unqualified",0,""))</f>
        <v/>
      </c>
    </row>
    <row r="338" customFormat="false" ht="15" hidden="false" customHeight="true" outlineLevel="0" collapsed="false">
      <c r="A338" s="3" t="s">
        <v>1349</v>
      </c>
      <c r="B338" s="9" t="n">
        <v>46092.2194444445</v>
      </c>
      <c r="C338" s="3" t="s">
        <v>76</v>
      </c>
      <c r="D338" s="3" t="s">
        <v>1350</v>
      </c>
      <c r="E338" s="3" t="s">
        <v>1351</v>
      </c>
      <c r="F338" s="3" t="s">
        <v>22</v>
      </c>
      <c r="G338" s="3" t="s">
        <v>79</v>
      </c>
      <c r="H338" s="3" t="s">
        <v>886</v>
      </c>
      <c r="I338" s="3" t="s">
        <v>56</v>
      </c>
      <c r="J338" s="3" t="s">
        <v>122</v>
      </c>
      <c r="K338" s="3" t="s">
        <v>95</v>
      </c>
      <c r="L338" s="3" t="n">
        <v>1</v>
      </c>
      <c r="M338" s="3"/>
      <c r="N338" s="3" t="s">
        <v>171</v>
      </c>
      <c r="O338" s="3"/>
      <c r="P338" s="10"/>
      <c r="Q338" s="3" t="n">
        <f aca="false">IF(F338="Disposable",1,0)</f>
        <v>0</v>
      </c>
      <c r="R338" s="3" t="n">
        <f aca="false">IF(SUMPRODUCT(--ISNUMBER(SEARCH('Spam Rules'!$A$22:$A$35,K338)))&gt;0,1,0)</f>
        <v>1</v>
      </c>
      <c r="S338" s="3" t="n">
        <f aca="false">IF(AND(F338="Free",G338=""),1,0)</f>
        <v>0</v>
      </c>
      <c r="T338" s="3" t="n">
        <f aca="false">IF(LEN(TRIM(K338))&lt;15,1,0)</f>
        <v>0</v>
      </c>
      <c r="U338" s="3" t="n">
        <f aca="false">IF(COUNTIF($E$2:$E$801,E338)&gt;1,1,0)</f>
        <v>0</v>
      </c>
      <c r="V338" s="3" t="n">
        <f aca="false">Q338*'Spam Rules'!$H$6+R338*'Spam Rules'!$H$7+S338*'Spam Rules'!$H$8+T338*'Spam Rules'!$H$9+U338*'Spam Rules'!$H$10</f>
        <v>1</v>
      </c>
      <c r="W338" s="3" t="str">
        <f aca="false">IF(V338&gt;='Spam Rules'!$B$3,"Likely Spam","Genuine")</f>
        <v>Likely Spam</v>
      </c>
      <c r="X338" s="3" t="n">
        <f aca="false">IFERROR(INDEX('Scoring Model'!$B$5:$B$11,MATCH(C338,'Scoring Model'!$A$5:$A$11,0)),0)</f>
        <v>0</v>
      </c>
      <c r="Y338" s="3" t="n">
        <f aca="false">IFERROR(INDEX('Scoring Model'!$E$5:$E$7,MATCH(F338,'Scoring Model'!$D$5:$D$7,0)),0)</f>
        <v>20</v>
      </c>
      <c r="Z338" s="3" t="n">
        <f aca="false">IFERROR(INDEX('Scoring Model'!$H$5:$H$13,MATCH(J338,'Scoring Model'!$G$5:$G$13,0)),0)</f>
        <v>15</v>
      </c>
      <c r="AA338" s="3" t="n">
        <f aca="false">IF(L338&gt;='Scoring Model'!$B$14,'Scoring Model'!$B$15,IF(L338&gt;='Scoring Model'!$B$16,'Scoring Model'!$B$17,0))</f>
        <v>0</v>
      </c>
      <c r="AB338" s="3" t="n">
        <f aca="false">IF(SUMPRODUCT(--ISNUMBER(SEARCH('Scoring Model'!$D$16:$D$25,K338)))&gt;0,'Scoring Model'!$B$18,0)</f>
        <v>0</v>
      </c>
      <c r="AC338" s="3" t="n">
        <f aca="false">IF(SUMPRODUCT(--ISNUMBER(SEARCH('Scoring Model'!$G$16:$G$23,K338)))&gt;0,'Scoring Model'!$B$19,0)</f>
        <v>0</v>
      </c>
      <c r="AD338" s="3" t="str">
        <f aca="false">IF(W338="Likely Spam","",SUM(X338:AC338))</f>
        <v/>
      </c>
      <c r="AE338" s="3" t="str">
        <f aca="false">IF(W338="Likely Spam","Spam",IF(AD338&gt;='Scoring Model'!$B$21,"Hot",IF(AD338&gt;='Scoring Model'!$B$22,"Warm","Nurture")))</f>
        <v>Spam</v>
      </c>
      <c r="AF338" s="3" t="str">
        <f aca="false">IF(W338="Likely Spam","Flagged by spam rules",TRIM(IF(X338&gt;=20,"Strong source. ","")&amp;IF(Y338&gt;0,"Company email. ","")&amp;IF(Z338&gt;=15,"High-value product. ","")&amp;IF(AA338&gt;='Scoring Model'!$B$15,"High engagement. ","")&amp;IF(AB338&gt;0,"Buying intent in message. ","")&amp;IF(AC338&lt;0,"Negative intent in message. ","")))</f>
        <v>Flagged by spam rules</v>
      </c>
      <c r="AG338" s="11" t="str">
        <f aca="false">IF(W338="Likely Spam","",1/(1+EXP(-('Conversion Model'!$B$5+IFERROR(INDEX('Conversion Model'!$B$8:$B$14,MATCH(C338,'Conversion Model'!$A$8:$A$14,0)),0)+IFERROR(INDEX('Conversion Model'!$E$8:$E$9,MATCH(F338,'Conversion Model'!$D$8:$D$9,0)),0)+IFERROR(INDEX('Conversion Model'!$H$8:$H$12,MATCH(IF(LEFT(J338,8)="Payments","Payments",IF(LEFT(J338,7)="Lending","Lending",J338)),'Conversion Model'!$G$8:$G$12,0)),0)+MIN(L338,15)*'Conversion Model'!$B$17+IF(SUMPRODUCT(--ISNUMBER(SEARCH('Scoring Model'!$D$16:$D$25,K338)))&gt;0,'Conversion Model'!$B$18,0)+IF(SUMPRODUCT(--ISNUMBER(SEARCH('Scoring Model'!$G$16:$G$23,K338)))&gt;0,'Conversion Model'!$B$19,0)))))</f>
        <v/>
      </c>
      <c r="AH338" s="3" t="str">
        <f aca="false">IF(OR(O338="Qualified",O338="Won",O338="Lost"),1,IF(O338="Unqualified",0,""))</f>
        <v/>
      </c>
    </row>
    <row r="339" customFormat="false" ht="15" hidden="false" customHeight="true" outlineLevel="0" collapsed="false">
      <c r="A339" s="3" t="s">
        <v>1352</v>
      </c>
      <c r="B339" s="9" t="n">
        <v>46093.4215277778</v>
      </c>
      <c r="C339" s="3" t="s">
        <v>91</v>
      </c>
      <c r="D339" s="3" t="s">
        <v>933</v>
      </c>
      <c r="E339" s="3" t="s">
        <v>362</v>
      </c>
      <c r="F339" s="3" t="s">
        <v>63</v>
      </c>
      <c r="G339" s="3"/>
      <c r="H339" s="3"/>
      <c r="I339" s="3" t="s">
        <v>88</v>
      </c>
      <c r="J339" s="3" t="s">
        <v>122</v>
      </c>
      <c r="K339" s="3" t="s">
        <v>126</v>
      </c>
      <c r="L339" s="3" t="n">
        <v>1</v>
      </c>
      <c r="M339" s="3" t="n">
        <v>77.7</v>
      </c>
      <c r="N339" s="3" t="s">
        <v>67</v>
      </c>
      <c r="O339" s="3"/>
      <c r="P339" s="10"/>
      <c r="Q339" s="3" t="n">
        <f aca="false">IF(F339="Disposable",1,0)</f>
        <v>1</v>
      </c>
      <c r="R339" s="3" t="n">
        <f aca="false">IF(SUMPRODUCT(--ISNUMBER(SEARCH('Spam Rules'!$A$22:$A$35,K339)))&gt;0,1,0)</f>
        <v>0</v>
      </c>
      <c r="S339" s="3" t="n">
        <f aca="false">IF(AND(F339="Free",G339=""),1,0)</f>
        <v>0</v>
      </c>
      <c r="T339" s="3" t="n">
        <f aca="false">IF(LEN(TRIM(K339))&lt;15,1,0)</f>
        <v>1</v>
      </c>
      <c r="U339" s="3" t="n">
        <f aca="false">IF(COUNTIF($E$2:$E$801,E339)&gt;1,1,0)</f>
        <v>1</v>
      </c>
      <c r="V339" s="3" t="n">
        <f aca="false">Q339*'Spam Rules'!$H$6+R339*'Spam Rules'!$H$7+S339*'Spam Rules'!$H$8+T339*'Spam Rules'!$H$9+U339*'Spam Rules'!$H$10</f>
        <v>2</v>
      </c>
      <c r="W339" s="3" t="str">
        <f aca="false">IF(V339&gt;='Spam Rules'!$B$3,"Likely Spam","Genuine")</f>
        <v>Likely Spam</v>
      </c>
      <c r="X339" s="3" t="n">
        <f aca="false">IFERROR(INDEX('Scoring Model'!$B$5:$B$11,MATCH(C339,'Scoring Model'!$A$5:$A$11,0)),0)</f>
        <v>5</v>
      </c>
      <c r="Y339" s="3" t="n">
        <f aca="false">IFERROR(INDEX('Scoring Model'!$E$5:$E$7,MATCH(F339,'Scoring Model'!$D$5:$D$7,0)),0)</f>
        <v>0</v>
      </c>
      <c r="Z339" s="3" t="n">
        <f aca="false">IFERROR(INDEX('Scoring Model'!$H$5:$H$13,MATCH(J339,'Scoring Model'!$G$5:$G$13,0)),0)</f>
        <v>15</v>
      </c>
      <c r="AA339" s="3" t="n">
        <f aca="false">IF(L339&gt;='Scoring Model'!$B$14,'Scoring Model'!$B$15,IF(L339&gt;='Scoring Model'!$B$16,'Scoring Model'!$B$17,0))</f>
        <v>0</v>
      </c>
      <c r="AB339" s="3" t="n">
        <f aca="false">IF(SUMPRODUCT(--ISNUMBER(SEARCH('Scoring Model'!$D$16:$D$25,K339)))&gt;0,'Scoring Model'!$B$18,0)</f>
        <v>0</v>
      </c>
      <c r="AC339" s="3" t="n">
        <f aca="false">IF(SUMPRODUCT(--ISNUMBER(SEARCH('Scoring Model'!$G$16:$G$23,K339)))&gt;0,'Scoring Model'!$B$19,0)</f>
        <v>0</v>
      </c>
      <c r="AD339" s="3" t="str">
        <f aca="false">IF(W339="Likely Spam","",SUM(X339:AC339))</f>
        <v/>
      </c>
      <c r="AE339" s="3" t="str">
        <f aca="false">IF(W339="Likely Spam","Spam",IF(AD339&gt;='Scoring Model'!$B$21,"Hot",IF(AD339&gt;='Scoring Model'!$B$22,"Warm","Nurture")))</f>
        <v>Spam</v>
      </c>
      <c r="AF339" s="3" t="str">
        <f aca="false">IF(W339="Likely Spam","Flagged by spam rules",TRIM(IF(X339&gt;=20,"Strong source. ","")&amp;IF(Y339&gt;0,"Company email. ","")&amp;IF(Z339&gt;=15,"High-value product. ","")&amp;IF(AA339&gt;='Scoring Model'!$B$15,"High engagement. ","")&amp;IF(AB339&gt;0,"Buying intent in message. ","")&amp;IF(AC339&lt;0,"Negative intent in message. ","")))</f>
        <v>Flagged by spam rules</v>
      </c>
      <c r="AG339" s="11" t="str">
        <f aca="false">IF(W339="Likely Spam","",1/(1+EXP(-('Conversion Model'!$B$5+IFERROR(INDEX('Conversion Model'!$B$8:$B$14,MATCH(C339,'Conversion Model'!$A$8:$A$14,0)),0)+IFERROR(INDEX('Conversion Model'!$E$8:$E$9,MATCH(F339,'Conversion Model'!$D$8:$D$9,0)),0)+IFERROR(INDEX('Conversion Model'!$H$8:$H$12,MATCH(IF(LEFT(J339,8)="Payments","Payments",IF(LEFT(J339,7)="Lending","Lending",J339)),'Conversion Model'!$G$8:$G$12,0)),0)+MIN(L339,15)*'Conversion Model'!$B$17+IF(SUMPRODUCT(--ISNUMBER(SEARCH('Scoring Model'!$D$16:$D$25,K339)))&gt;0,'Conversion Model'!$B$18,0)+IF(SUMPRODUCT(--ISNUMBER(SEARCH('Scoring Model'!$G$16:$G$23,K339)))&gt;0,'Conversion Model'!$B$19,0)))))</f>
        <v/>
      </c>
      <c r="AH339" s="3" t="str">
        <f aca="false">IF(OR(O339="Qualified",O339="Won",O339="Lost"),1,IF(O339="Unqualified",0,""))</f>
        <v/>
      </c>
    </row>
    <row r="340" customFormat="false" ht="15" hidden="false" customHeight="true" outlineLevel="0" collapsed="false">
      <c r="A340" s="3" t="s">
        <v>1353</v>
      </c>
      <c r="B340" s="9" t="n">
        <v>46093.7319444444</v>
      </c>
      <c r="C340" s="3" t="s">
        <v>51</v>
      </c>
      <c r="D340" s="3" t="s">
        <v>1354</v>
      </c>
      <c r="E340" s="3" t="s">
        <v>1355</v>
      </c>
      <c r="F340" s="3" t="s">
        <v>54</v>
      </c>
      <c r="G340" s="3" t="s">
        <v>237</v>
      </c>
      <c r="H340" s="3"/>
      <c r="I340" s="3" t="s">
        <v>260</v>
      </c>
      <c r="J340" s="3" t="s">
        <v>81</v>
      </c>
      <c r="K340" s="3" t="s">
        <v>363</v>
      </c>
      <c r="L340" s="3" t="n">
        <v>1</v>
      </c>
      <c r="M340" s="3" t="n">
        <v>49.7</v>
      </c>
      <c r="N340" s="3" t="s">
        <v>96</v>
      </c>
      <c r="O340" s="3"/>
      <c r="P340" s="10"/>
      <c r="Q340" s="3" t="n">
        <f aca="false">IF(F340="Disposable",1,0)</f>
        <v>0</v>
      </c>
      <c r="R340" s="3" t="n">
        <f aca="false">IF(SUMPRODUCT(--ISNUMBER(SEARCH('Spam Rules'!$A$22:$A$35,K340)))&gt;0,1,0)</f>
        <v>1</v>
      </c>
      <c r="S340" s="3" t="n">
        <f aca="false">IF(AND(F340="Free",G340=""),1,0)</f>
        <v>0</v>
      </c>
      <c r="T340" s="3" t="n">
        <f aca="false">IF(LEN(TRIM(K340))&lt;15,1,0)</f>
        <v>0</v>
      </c>
      <c r="U340" s="3" t="n">
        <f aca="false">IF(COUNTIF($E$2:$E$801,E340)&gt;1,1,0)</f>
        <v>0</v>
      </c>
      <c r="V340" s="3" t="n">
        <f aca="false">Q340*'Spam Rules'!$H$6+R340*'Spam Rules'!$H$7+S340*'Spam Rules'!$H$8+T340*'Spam Rules'!$H$9+U340*'Spam Rules'!$H$10</f>
        <v>1</v>
      </c>
      <c r="W340" s="3" t="str">
        <f aca="false">IF(V340&gt;='Spam Rules'!$B$3,"Likely Spam","Genuine")</f>
        <v>Likely Spam</v>
      </c>
      <c r="X340" s="3" t="n">
        <f aca="false">IFERROR(INDEX('Scoring Model'!$B$5:$B$11,MATCH(C340,'Scoring Model'!$A$5:$A$11,0)),0)</f>
        <v>10</v>
      </c>
      <c r="Y340" s="3" t="n">
        <f aca="false">IFERROR(INDEX('Scoring Model'!$E$5:$E$7,MATCH(F340,'Scoring Model'!$D$5:$D$7,0)),0)</f>
        <v>0</v>
      </c>
      <c r="Z340" s="3" t="n">
        <f aca="false">IFERROR(INDEX('Scoring Model'!$H$5:$H$13,MATCH(J340,'Scoring Model'!$G$5:$G$13,0)),0)</f>
        <v>5</v>
      </c>
      <c r="AA340" s="3" t="n">
        <f aca="false">IF(L340&gt;='Scoring Model'!$B$14,'Scoring Model'!$B$15,IF(L340&gt;='Scoring Model'!$B$16,'Scoring Model'!$B$17,0))</f>
        <v>0</v>
      </c>
      <c r="AB340" s="3" t="n">
        <f aca="false">IF(SUMPRODUCT(--ISNUMBER(SEARCH('Scoring Model'!$D$16:$D$25,K340)))&gt;0,'Scoring Model'!$B$18,0)</f>
        <v>0</v>
      </c>
      <c r="AC340" s="3" t="n">
        <f aca="false">IF(SUMPRODUCT(--ISNUMBER(SEARCH('Scoring Model'!$G$16:$G$23,K340)))&gt;0,'Scoring Model'!$B$19,0)</f>
        <v>0</v>
      </c>
      <c r="AD340" s="3" t="str">
        <f aca="false">IF(W340="Likely Spam","",SUM(X340:AC340))</f>
        <v/>
      </c>
      <c r="AE340" s="3" t="str">
        <f aca="false">IF(W340="Likely Spam","Spam",IF(AD340&gt;='Scoring Model'!$B$21,"Hot",IF(AD340&gt;='Scoring Model'!$B$22,"Warm","Nurture")))</f>
        <v>Spam</v>
      </c>
      <c r="AF340" s="3" t="str">
        <f aca="false">IF(W340="Likely Spam","Flagged by spam rules",TRIM(IF(X340&gt;=20,"Strong source. ","")&amp;IF(Y340&gt;0,"Company email. ","")&amp;IF(Z340&gt;=15,"High-value product. ","")&amp;IF(AA340&gt;='Scoring Model'!$B$15,"High engagement. ","")&amp;IF(AB340&gt;0,"Buying intent in message. ","")&amp;IF(AC340&lt;0,"Negative intent in message. ","")))</f>
        <v>Flagged by spam rules</v>
      </c>
      <c r="AG340" s="11" t="str">
        <f aca="false">IF(W340="Likely Spam","",1/(1+EXP(-('Conversion Model'!$B$5+IFERROR(INDEX('Conversion Model'!$B$8:$B$14,MATCH(C340,'Conversion Model'!$A$8:$A$14,0)),0)+IFERROR(INDEX('Conversion Model'!$E$8:$E$9,MATCH(F340,'Conversion Model'!$D$8:$D$9,0)),0)+IFERROR(INDEX('Conversion Model'!$H$8:$H$12,MATCH(IF(LEFT(J340,8)="Payments","Payments",IF(LEFT(J340,7)="Lending","Lending",J340)),'Conversion Model'!$G$8:$G$12,0)),0)+MIN(L340,15)*'Conversion Model'!$B$17+IF(SUMPRODUCT(--ISNUMBER(SEARCH('Scoring Model'!$D$16:$D$25,K340)))&gt;0,'Conversion Model'!$B$18,0)+IF(SUMPRODUCT(--ISNUMBER(SEARCH('Scoring Model'!$G$16:$G$23,K340)))&gt;0,'Conversion Model'!$B$19,0)))))</f>
        <v/>
      </c>
      <c r="AH340" s="3" t="str">
        <f aca="false">IF(OR(O340="Qualified",O340="Won",O340="Lost"),1,IF(O340="Unqualified",0,""))</f>
        <v/>
      </c>
    </row>
    <row r="341" customFormat="false" ht="15" hidden="false" customHeight="true" outlineLevel="0" collapsed="false">
      <c r="A341" s="3" t="s">
        <v>1356</v>
      </c>
      <c r="B341" s="9" t="n">
        <v>46094.2152777778</v>
      </c>
      <c r="C341" s="3" t="s">
        <v>76</v>
      </c>
      <c r="D341" s="3" t="s">
        <v>1265</v>
      </c>
      <c r="E341" s="3" t="s">
        <v>1357</v>
      </c>
      <c r="F341" s="3" t="s">
        <v>54</v>
      </c>
      <c r="G341" s="3" t="s">
        <v>1200</v>
      </c>
      <c r="H341" s="3"/>
      <c r="I341" s="3" t="s">
        <v>227</v>
      </c>
      <c r="J341" s="3" t="s">
        <v>108</v>
      </c>
      <c r="K341" s="3" t="s">
        <v>644</v>
      </c>
      <c r="L341" s="3" t="n">
        <v>5</v>
      </c>
      <c r="M341" s="3" t="n">
        <v>18.6</v>
      </c>
      <c r="N341" s="3" t="s">
        <v>171</v>
      </c>
      <c r="O341" s="3"/>
      <c r="P341" s="10"/>
      <c r="Q341" s="3" t="n">
        <f aca="false">IF(F341="Disposable",1,0)</f>
        <v>0</v>
      </c>
      <c r="R341" s="3" t="n">
        <f aca="false">IF(SUMPRODUCT(--ISNUMBER(SEARCH('Spam Rules'!$A$22:$A$35,K341)))&gt;0,1,0)</f>
        <v>0</v>
      </c>
      <c r="S341" s="3" t="n">
        <f aca="false">IF(AND(F341="Free",G341=""),1,0)</f>
        <v>0</v>
      </c>
      <c r="T341" s="3" t="n">
        <f aca="false">IF(LEN(TRIM(K341))&lt;15,1,0)</f>
        <v>0</v>
      </c>
      <c r="U341" s="3" t="n">
        <f aca="false">IF(COUNTIF($E$2:$E$801,E341)&gt;1,1,0)</f>
        <v>1</v>
      </c>
      <c r="V341" s="3" t="n">
        <f aca="false">Q341*'Spam Rules'!$H$6+R341*'Spam Rules'!$H$7+S341*'Spam Rules'!$H$8+T341*'Spam Rules'!$H$9+U341*'Spam Rules'!$H$10</f>
        <v>0</v>
      </c>
      <c r="W341" s="3" t="str">
        <f aca="false">IF(V341&gt;='Spam Rules'!$B$3,"Likely Spam","Genuine")</f>
        <v>Genuine</v>
      </c>
      <c r="X341" s="3" t="n">
        <f aca="false">IFERROR(INDEX('Scoring Model'!$B$5:$B$11,MATCH(C341,'Scoring Model'!$A$5:$A$11,0)),0)</f>
        <v>0</v>
      </c>
      <c r="Y341" s="3" t="n">
        <f aca="false">IFERROR(INDEX('Scoring Model'!$E$5:$E$7,MATCH(F341,'Scoring Model'!$D$5:$D$7,0)),0)</f>
        <v>0</v>
      </c>
      <c r="Z341" s="3" t="n">
        <f aca="false">IFERROR(INDEX('Scoring Model'!$H$5:$H$13,MATCH(J341,'Scoring Model'!$G$5:$G$13,0)),0)</f>
        <v>15</v>
      </c>
      <c r="AA341" s="3" t="n">
        <f aca="false">IF(L341&gt;='Scoring Model'!$B$14,'Scoring Model'!$B$15,IF(L341&gt;='Scoring Model'!$B$16,'Scoring Model'!$B$17,0))</f>
        <v>8</v>
      </c>
      <c r="AB341" s="3" t="n">
        <f aca="false">IF(SUMPRODUCT(--ISNUMBER(SEARCH('Scoring Model'!$D$16:$D$25,K341)))&gt;0,'Scoring Model'!$B$18,0)</f>
        <v>15</v>
      </c>
      <c r="AC341" s="3" t="n">
        <f aca="false">IF(SUMPRODUCT(--ISNUMBER(SEARCH('Scoring Model'!$G$16:$G$23,K341)))&gt;0,'Scoring Model'!$B$19,0)</f>
        <v>0</v>
      </c>
      <c r="AD341" s="3" t="n">
        <f aca="false">IF(W341="Likely Spam","",SUM(X341:AC341))</f>
        <v>38</v>
      </c>
      <c r="AE341" s="3" t="str">
        <f aca="false">IF(W341="Likely Spam","Spam",IF(AD341&gt;='Scoring Model'!$B$21,"Hot",IF(AD341&gt;='Scoring Model'!$B$22,"Warm","Nurture")))</f>
        <v>Nurture</v>
      </c>
      <c r="AF341" s="3" t="str">
        <f aca="false">IF(W341="Likely Spam","Flagged by spam rules",TRIM(IF(X341&gt;=20,"Strong source. ","")&amp;IF(Y341&gt;0,"Company email. ","")&amp;IF(Z341&gt;=15,"High-value product. ","")&amp;IF(AA341&gt;='Scoring Model'!$B$15,"High engagement. ","")&amp;IF(AB341&gt;0,"Buying intent in message. ","")&amp;IF(AC341&lt;0,"Negative intent in message. ","")))</f>
        <v>High-value product. Buying intent in message.</v>
      </c>
      <c r="AG341" s="11" t="n">
        <f aca="false">IF(W341="Likely Spam","",1/(1+EXP(-('Conversion Model'!$B$5+IFERROR(INDEX('Conversion Model'!$B$8:$B$14,MATCH(C341,'Conversion Model'!$A$8:$A$14,0)),0)+IFERROR(INDEX('Conversion Model'!$E$8:$E$9,MATCH(F341,'Conversion Model'!$D$8:$D$9,0)),0)+IFERROR(INDEX('Conversion Model'!$H$8:$H$12,MATCH(IF(LEFT(J341,8)="Payments","Payments",IF(LEFT(J341,7)="Lending","Lending",J341)),'Conversion Model'!$G$8:$G$12,0)),0)+MIN(L341,15)*'Conversion Model'!$B$17+IF(SUMPRODUCT(--ISNUMBER(SEARCH('Scoring Model'!$D$16:$D$25,K341)))&gt;0,'Conversion Model'!$B$18,0)+IF(SUMPRODUCT(--ISNUMBER(SEARCH('Scoring Model'!$G$16:$G$23,K341)))&gt;0,'Conversion Model'!$B$19,0)))))</f>
        <v>0.399631682551016</v>
      </c>
      <c r="AH341" s="3" t="str">
        <f aca="false">IF(OR(O341="Qualified",O341="Won",O341="Lost"),1,IF(O341="Unqualified",0,""))</f>
        <v/>
      </c>
    </row>
    <row r="342" customFormat="false" ht="15" hidden="false" customHeight="true" outlineLevel="0" collapsed="false">
      <c r="A342" s="3" t="s">
        <v>1358</v>
      </c>
      <c r="B342" s="9" t="n">
        <v>46094.9340277778</v>
      </c>
      <c r="C342" s="3" t="s">
        <v>91</v>
      </c>
      <c r="D342" s="3" t="s">
        <v>1299</v>
      </c>
      <c r="E342" s="3" t="s">
        <v>1359</v>
      </c>
      <c r="F342" s="3" t="s">
        <v>22</v>
      </c>
      <c r="G342" s="3" t="s">
        <v>802</v>
      </c>
      <c r="H342" s="3" t="s">
        <v>803</v>
      </c>
      <c r="I342" s="3" t="s">
        <v>116</v>
      </c>
      <c r="J342" s="3" t="s">
        <v>81</v>
      </c>
      <c r="K342" s="3" t="s">
        <v>213</v>
      </c>
      <c r="L342" s="3" t="n">
        <v>1</v>
      </c>
      <c r="M342" s="3" t="n">
        <v>24.9</v>
      </c>
      <c r="N342" s="3" t="s">
        <v>96</v>
      </c>
      <c r="O342" s="3"/>
      <c r="P342" s="10"/>
      <c r="Q342" s="3" t="n">
        <f aca="false">IF(F342="Disposable",1,0)</f>
        <v>0</v>
      </c>
      <c r="R342" s="3" t="n">
        <f aca="false">IF(SUMPRODUCT(--ISNUMBER(SEARCH('Spam Rules'!$A$22:$A$35,K342)))&gt;0,1,0)</f>
        <v>0</v>
      </c>
      <c r="S342" s="3" t="n">
        <f aca="false">IF(AND(F342="Free",G342=""),1,0)</f>
        <v>0</v>
      </c>
      <c r="T342" s="3" t="n">
        <f aca="false">IF(LEN(TRIM(K342))&lt;15,1,0)</f>
        <v>0</v>
      </c>
      <c r="U342" s="3" t="n">
        <f aca="false">IF(COUNTIF($E$2:$E$801,E342)&gt;1,1,0)</f>
        <v>0</v>
      </c>
      <c r="V342" s="3" t="n">
        <f aca="false">Q342*'Spam Rules'!$H$6+R342*'Spam Rules'!$H$7+S342*'Spam Rules'!$H$8+T342*'Spam Rules'!$H$9+U342*'Spam Rules'!$H$10</f>
        <v>0</v>
      </c>
      <c r="W342" s="3" t="str">
        <f aca="false">IF(V342&gt;='Spam Rules'!$B$3,"Likely Spam","Genuine")</f>
        <v>Genuine</v>
      </c>
      <c r="X342" s="3" t="n">
        <f aca="false">IFERROR(INDEX('Scoring Model'!$B$5:$B$11,MATCH(C342,'Scoring Model'!$A$5:$A$11,0)),0)</f>
        <v>5</v>
      </c>
      <c r="Y342" s="3" t="n">
        <f aca="false">IFERROR(INDEX('Scoring Model'!$E$5:$E$7,MATCH(F342,'Scoring Model'!$D$5:$D$7,0)),0)</f>
        <v>20</v>
      </c>
      <c r="Z342" s="3" t="n">
        <f aca="false">IFERROR(INDEX('Scoring Model'!$H$5:$H$13,MATCH(J342,'Scoring Model'!$G$5:$G$13,0)),0)</f>
        <v>5</v>
      </c>
      <c r="AA342" s="3" t="n">
        <f aca="false">IF(L342&gt;='Scoring Model'!$B$14,'Scoring Model'!$B$15,IF(L342&gt;='Scoring Model'!$B$16,'Scoring Model'!$B$17,0))</f>
        <v>0</v>
      </c>
      <c r="AB342" s="3" t="n">
        <f aca="false">IF(SUMPRODUCT(--ISNUMBER(SEARCH('Scoring Model'!$D$16:$D$25,K342)))&gt;0,'Scoring Model'!$B$18,0)</f>
        <v>0</v>
      </c>
      <c r="AC342" s="3" t="n">
        <f aca="false">IF(SUMPRODUCT(--ISNUMBER(SEARCH('Scoring Model'!$G$16:$G$23,K342)))&gt;0,'Scoring Model'!$B$19,0)</f>
        <v>-30</v>
      </c>
      <c r="AD342" s="3" t="n">
        <f aca="false">IF(W342="Likely Spam","",SUM(X342:AC342))</f>
        <v>0</v>
      </c>
      <c r="AE342" s="3" t="str">
        <f aca="false">IF(W342="Likely Spam","Spam",IF(AD342&gt;='Scoring Model'!$B$21,"Hot",IF(AD342&gt;='Scoring Model'!$B$22,"Warm","Nurture")))</f>
        <v>Nurture</v>
      </c>
      <c r="AF342" s="3" t="str">
        <f aca="false">IF(W342="Likely Spam","Flagged by spam rules",TRIM(IF(X342&gt;=20,"Strong source. ","")&amp;IF(Y342&gt;0,"Company email. ","")&amp;IF(Z342&gt;=15,"High-value product. ","")&amp;IF(AA342&gt;='Scoring Model'!$B$15,"High engagement. ","")&amp;IF(AB342&gt;0,"Buying intent in message. ","")&amp;IF(AC342&lt;0,"Negative intent in message. ","")))</f>
        <v>Company email. Negative intent in message.</v>
      </c>
      <c r="AG342" s="11" t="n">
        <f aca="false">IF(W342="Likely Spam","",1/(1+EXP(-('Conversion Model'!$B$5+IFERROR(INDEX('Conversion Model'!$B$8:$B$14,MATCH(C342,'Conversion Model'!$A$8:$A$14,0)),0)+IFERROR(INDEX('Conversion Model'!$E$8:$E$9,MATCH(F342,'Conversion Model'!$D$8:$D$9,0)),0)+IFERROR(INDEX('Conversion Model'!$H$8:$H$12,MATCH(IF(LEFT(J342,8)="Payments","Payments",IF(LEFT(J342,7)="Lending","Lending",J342)),'Conversion Model'!$G$8:$G$12,0)),0)+MIN(L342,15)*'Conversion Model'!$B$17+IF(SUMPRODUCT(--ISNUMBER(SEARCH('Scoring Model'!$D$16:$D$25,K342)))&gt;0,'Conversion Model'!$B$18,0)+IF(SUMPRODUCT(--ISNUMBER(SEARCH('Scoring Model'!$G$16:$G$23,K342)))&gt;0,'Conversion Model'!$B$19,0)))))</f>
        <v>0.00131842255323395</v>
      </c>
      <c r="AH342" s="3" t="str">
        <f aca="false">IF(OR(O342="Qualified",O342="Won",O342="Lost"),1,IF(O342="Unqualified",0,""))</f>
        <v/>
      </c>
    </row>
    <row r="343" customFormat="false" ht="15" hidden="false" customHeight="true" outlineLevel="0" collapsed="false">
      <c r="A343" s="3" t="s">
        <v>1360</v>
      </c>
      <c r="B343" s="9" t="n">
        <v>46096.2013888889</v>
      </c>
      <c r="C343" s="3" t="s">
        <v>135</v>
      </c>
      <c r="D343" s="3" t="s">
        <v>1361</v>
      </c>
      <c r="E343" s="3" t="s">
        <v>1362</v>
      </c>
      <c r="F343" s="3" t="s">
        <v>22</v>
      </c>
      <c r="G343" s="3" t="s">
        <v>1363</v>
      </c>
      <c r="H343" s="3" t="s">
        <v>1364</v>
      </c>
      <c r="I343" s="3" t="s">
        <v>80</v>
      </c>
      <c r="J343" s="3" t="s">
        <v>65</v>
      </c>
      <c r="K343" s="3" t="s">
        <v>349</v>
      </c>
      <c r="L343" s="3" t="n">
        <v>3</v>
      </c>
      <c r="M343" s="3" t="n">
        <v>4.4</v>
      </c>
      <c r="N343" s="3" t="s">
        <v>171</v>
      </c>
      <c r="O343" s="3" t="s">
        <v>194</v>
      </c>
      <c r="P343" s="10"/>
      <c r="Q343" s="3" t="n">
        <f aca="false">IF(F343="Disposable",1,0)</f>
        <v>0</v>
      </c>
      <c r="R343" s="3" t="n">
        <f aca="false">IF(SUMPRODUCT(--ISNUMBER(SEARCH('Spam Rules'!$A$22:$A$35,K343)))&gt;0,1,0)</f>
        <v>0</v>
      </c>
      <c r="S343" s="3" t="n">
        <f aca="false">IF(AND(F343="Free",G343=""),1,0)</f>
        <v>0</v>
      </c>
      <c r="T343" s="3" t="n">
        <f aca="false">IF(LEN(TRIM(K343))&lt;15,1,0)</f>
        <v>0</v>
      </c>
      <c r="U343" s="3" t="n">
        <f aca="false">IF(COUNTIF($E$2:$E$801,E343)&gt;1,1,0)</f>
        <v>0</v>
      </c>
      <c r="V343" s="3" t="n">
        <f aca="false">Q343*'Spam Rules'!$H$6+R343*'Spam Rules'!$H$7+S343*'Spam Rules'!$H$8+T343*'Spam Rules'!$H$9+U343*'Spam Rules'!$H$10</f>
        <v>0</v>
      </c>
      <c r="W343" s="3" t="str">
        <f aca="false">IF(V343&gt;='Spam Rules'!$B$3,"Likely Spam","Genuine")</f>
        <v>Genuine</v>
      </c>
      <c r="X343" s="3" t="n">
        <f aca="false">IFERROR(INDEX('Scoring Model'!$B$5:$B$11,MATCH(C343,'Scoring Model'!$A$5:$A$11,0)),0)</f>
        <v>20</v>
      </c>
      <c r="Y343" s="3" t="n">
        <f aca="false">IFERROR(INDEX('Scoring Model'!$E$5:$E$7,MATCH(F343,'Scoring Model'!$D$5:$D$7,0)),0)</f>
        <v>20</v>
      </c>
      <c r="Z343" s="3" t="n">
        <f aca="false">IFERROR(INDEX('Scoring Model'!$H$5:$H$13,MATCH(J343,'Scoring Model'!$G$5:$G$13,0)),0)</f>
        <v>0</v>
      </c>
      <c r="AA343" s="3" t="n">
        <f aca="false">IF(L343&gt;='Scoring Model'!$B$14,'Scoring Model'!$B$15,IF(L343&gt;='Scoring Model'!$B$16,'Scoring Model'!$B$17,0))</f>
        <v>0</v>
      </c>
      <c r="AB343" s="3" t="n">
        <f aca="false">IF(SUMPRODUCT(--ISNUMBER(SEARCH('Scoring Model'!$D$16:$D$25,K343)))&gt;0,'Scoring Model'!$B$18,0)</f>
        <v>0</v>
      </c>
      <c r="AC343" s="3" t="n">
        <f aca="false">IF(SUMPRODUCT(--ISNUMBER(SEARCH('Scoring Model'!$G$16:$G$23,K343)))&gt;0,'Scoring Model'!$B$19,0)</f>
        <v>-30</v>
      </c>
      <c r="AD343" s="3" t="n">
        <f aca="false">IF(W343="Likely Spam","",SUM(X343:AC343))</f>
        <v>10</v>
      </c>
      <c r="AE343" s="3" t="str">
        <f aca="false">IF(W343="Likely Spam","Spam",IF(AD343&gt;='Scoring Model'!$B$21,"Hot",IF(AD343&gt;='Scoring Model'!$B$22,"Warm","Nurture")))</f>
        <v>Nurture</v>
      </c>
      <c r="AF343" s="3" t="str">
        <f aca="false">IF(W343="Likely Spam","Flagged by spam rules",TRIM(IF(X343&gt;=20,"Strong source. ","")&amp;IF(Y343&gt;0,"Company email. ","")&amp;IF(Z343&gt;=15,"High-value product. ","")&amp;IF(AA343&gt;='Scoring Model'!$B$15,"High engagement. ","")&amp;IF(AB343&gt;0,"Buying intent in message. ","")&amp;IF(AC343&lt;0,"Negative intent in message. ","")))</f>
        <v>Strong source. Company email. Negative intent in message.</v>
      </c>
      <c r="AG343" s="11" t="n">
        <f aca="false">IF(W343="Likely Spam","",1/(1+EXP(-('Conversion Model'!$B$5+IFERROR(INDEX('Conversion Model'!$B$8:$B$14,MATCH(C343,'Conversion Model'!$A$8:$A$14,0)),0)+IFERROR(INDEX('Conversion Model'!$E$8:$E$9,MATCH(F343,'Conversion Model'!$D$8:$D$9,0)),0)+IFERROR(INDEX('Conversion Model'!$H$8:$H$12,MATCH(IF(LEFT(J343,8)="Payments","Payments",IF(LEFT(J343,7)="Lending","Lending",J343)),'Conversion Model'!$G$8:$G$12,0)),0)+MIN(L343,15)*'Conversion Model'!$B$17+IF(SUMPRODUCT(--ISNUMBER(SEARCH('Scoring Model'!$D$16:$D$25,K343)))&gt;0,'Conversion Model'!$B$18,0)+IF(SUMPRODUCT(--ISNUMBER(SEARCH('Scoring Model'!$G$16:$G$23,K343)))&gt;0,'Conversion Model'!$B$19,0)))))</f>
        <v>0.026058683485841</v>
      </c>
      <c r="AH343" s="3" t="n">
        <f aca="false">IF(OR(O343="Qualified",O343="Won",O343="Lost"),1,IF(O343="Unqualified",0,""))</f>
        <v>0</v>
      </c>
    </row>
    <row r="344" customFormat="false" ht="15" hidden="false" customHeight="true" outlineLevel="0" collapsed="false">
      <c r="A344" s="3" t="s">
        <v>1365</v>
      </c>
      <c r="B344" s="9" t="n">
        <v>46097.1041666667</v>
      </c>
      <c r="C344" s="3" t="s">
        <v>51</v>
      </c>
      <c r="D344" s="3" t="s">
        <v>1366</v>
      </c>
      <c r="E344" s="3" t="s">
        <v>1367</v>
      </c>
      <c r="F344" s="3" t="s">
        <v>63</v>
      </c>
      <c r="G344" s="3"/>
      <c r="H344" s="3"/>
      <c r="I344" s="3" t="s">
        <v>188</v>
      </c>
      <c r="J344" s="3" t="s">
        <v>122</v>
      </c>
      <c r="K344" s="3" t="s">
        <v>66</v>
      </c>
      <c r="L344" s="3" t="n">
        <v>1</v>
      </c>
      <c r="M344" s="3" t="n">
        <v>16.5</v>
      </c>
      <c r="N344" s="3" t="s">
        <v>96</v>
      </c>
      <c r="O344" s="3" t="s">
        <v>68</v>
      </c>
      <c r="P344" s="10"/>
      <c r="Q344" s="3" t="n">
        <f aca="false">IF(F344="Disposable",1,0)</f>
        <v>1</v>
      </c>
      <c r="R344" s="3" t="n">
        <f aca="false">IF(SUMPRODUCT(--ISNUMBER(SEARCH('Spam Rules'!$A$22:$A$35,K344)))&gt;0,1,0)</f>
        <v>1</v>
      </c>
      <c r="S344" s="3" t="n">
        <f aca="false">IF(AND(F344="Free",G344=""),1,0)</f>
        <v>0</v>
      </c>
      <c r="T344" s="3" t="n">
        <f aca="false">IF(LEN(TRIM(K344))&lt;15,1,0)</f>
        <v>0</v>
      </c>
      <c r="U344" s="3" t="n">
        <f aca="false">IF(COUNTIF($E$2:$E$801,E344)&gt;1,1,0)</f>
        <v>0</v>
      </c>
      <c r="V344" s="3" t="n">
        <f aca="false">Q344*'Spam Rules'!$H$6+R344*'Spam Rules'!$H$7+S344*'Spam Rules'!$H$8+T344*'Spam Rules'!$H$9+U344*'Spam Rules'!$H$10</f>
        <v>2</v>
      </c>
      <c r="W344" s="3" t="str">
        <f aca="false">IF(V344&gt;='Spam Rules'!$B$3,"Likely Spam","Genuine")</f>
        <v>Likely Spam</v>
      </c>
      <c r="X344" s="3" t="n">
        <f aca="false">IFERROR(INDEX('Scoring Model'!$B$5:$B$11,MATCH(C344,'Scoring Model'!$A$5:$A$11,0)),0)</f>
        <v>10</v>
      </c>
      <c r="Y344" s="3" t="n">
        <f aca="false">IFERROR(INDEX('Scoring Model'!$E$5:$E$7,MATCH(F344,'Scoring Model'!$D$5:$D$7,0)),0)</f>
        <v>0</v>
      </c>
      <c r="Z344" s="3" t="n">
        <f aca="false">IFERROR(INDEX('Scoring Model'!$H$5:$H$13,MATCH(J344,'Scoring Model'!$G$5:$G$13,0)),0)</f>
        <v>15</v>
      </c>
      <c r="AA344" s="3" t="n">
        <f aca="false">IF(L344&gt;='Scoring Model'!$B$14,'Scoring Model'!$B$15,IF(L344&gt;='Scoring Model'!$B$16,'Scoring Model'!$B$17,0))</f>
        <v>0</v>
      </c>
      <c r="AB344" s="3" t="n">
        <f aca="false">IF(SUMPRODUCT(--ISNUMBER(SEARCH('Scoring Model'!$D$16:$D$25,K344)))&gt;0,'Scoring Model'!$B$18,0)</f>
        <v>0</v>
      </c>
      <c r="AC344" s="3" t="n">
        <f aca="false">IF(SUMPRODUCT(--ISNUMBER(SEARCH('Scoring Model'!$G$16:$G$23,K344)))&gt;0,'Scoring Model'!$B$19,0)</f>
        <v>0</v>
      </c>
      <c r="AD344" s="3" t="str">
        <f aca="false">IF(W344="Likely Spam","",SUM(X344:AC344))</f>
        <v/>
      </c>
      <c r="AE344" s="3" t="str">
        <f aca="false">IF(W344="Likely Spam","Spam",IF(AD344&gt;='Scoring Model'!$B$21,"Hot",IF(AD344&gt;='Scoring Model'!$B$22,"Warm","Nurture")))</f>
        <v>Spam</v>
      </c>
      <c r="AF344" s="3" t="str">
        <f aca="false">IF(W344="Likely Spam","Flagged by spam rules",TRIM(IF(X344&gt;=20,"Strong source. ","")&amp;IF(Y344&gt;0,"Company email. ","")&amp;IF(Z344&gt;=15,"High-value product. ","")&amp;IF(AA344&gt;='Scoring Model'!$B$15,"High engagement. ","")&amp;IF(AB344&gt;0,"Buying intent in message. ","")&amp;IF(AC344&lt;0,"Negative intent in message. ","")))</f>
        <v>Flagged by spam rules</v>
      </c>
      <c r="AG344" s="11" t="str">
        <f aca="false">IF(W344="Likely Spam","",1/(1+EXP(-('Conversion Model'!$B$5+IFERROR(INDEX('Conversion Model'!$B$8:$B$14,MATCH(C344,'Conversion Model'!$A$8:$A$14,0)),0)+IFERROR(INDEX('Conversion Model'!$E$8:$E$9,MATCH(F344,'Conversion Model'!$D$8:$D$9,0)),0)+IFERROR(INDEX('Conversion Model'!$H$8:$H$12,MATCH(IF(LEFT(J344,8)="Payments","Payments",IF(LEFT(J344,7)="Lending","Lending",J344)),'Conversion Model'!$G$8:$G$12,0)),0)+MIN(L344,15)*'Conversion Model'!$B$17+IF(SUMPRODUCT(--ISNUMBER(SEARCH('Scoring Model'!$D$16:$D$25,K344)))&gt;0,'Conversion Model'!$B$18,0)+IF(SUMPRODUCT(--ISNUMBER(SEARCH('Scoring Model'!$G$16:$G$23,K344)))&gt;0,'Conversion Model'!$B$19,0)))))</f>
        <v/>
      </c>
      <c r="AH344" s="3" t="str">
        <f aca="false">IF(OR(O344="Qualified",O344="Won",O344="Lost"),1,IF(O344="Unqualified",0,""))</f>
        <v/>
      </c>
    </row>
    <row r="345" customFormat="false" ht="15" hidden="false" customHeight="true" outlineLevel="0" collapsed="false">
      <c r="A345" s="3" t="s">
        <v>1368</v>
      </c>
      <c r="B345" s="9" t="n">
        <v>46097.25625</v>
      </c>
      <c r="C345" s="3" t="s">
        <v>112</v>
      </c>
      <c r="D345" s="3" t="s">
        <v>476</v>
      </c>
      <c r="E345" s="3" t="s">
        <v>1369</v>
      </c>
      <c r="F345" s="3" t="s">
        <v>22</v>
      </c>
      <c r="G345" s="3" t="s">
        <v>1370</v>
      </c>
      <c r="H345" s="3" t="s">
        <v>1371</v>
      </c>
      <c r="I345" s="3" t="s">
        <v>116</v>
      </c>
      <c r="J345" s="3" t="s">
        <v>108</v>
      </c>
      <c r="K345" s="3" t="s">
        <v>1372</v>
      </c>
      <c r="L345" s="3" t="n">
        <v>2</v>
      </c>
      <c r="M345" s="3" t="n">
        <v>34.3</v>
      </c>
      <c r="N345" s="3" t="s">
        <v>96</v>
      </c>
      <c r="O345" s="3" t="s">
        <v>194</v>
      </c>
      <c r="P345" s="10"/>
      <c r="Q345" s="3" t="n">
        <f aca="false">IF(F345="Disposable",1,0)</f>
        <v>0</v>
      </c>
      <c r="R345" s="3" t="n">
        <f aca="false">IF(SUMPRODUCT(--ISNUMBER(SEARCH('Spam Rules'!$A$22:$A$35,K345)))&gt;0,1,0)</f>
        <v>0</v>
      </c>
      <c r="S345" s="3" t="n">
        <f aca="false">IF(AND(F345="Free",G345=""),1,0)</f>
        <v>0</v>
      </c>
      <c r="T345" s="3" t="n">
        <f aca="false">IF(LEN(TRIM(K345))&lt;15,1,0)</f>
        <v>0</v>
      </c>
      <c r="U345" s="3" t="n">
        <f aca="false">IF(COUNTIF($E$2:$E$801,E345)&gt;1,1,0)</f>
        <v>0</v>
      </c>
      <c r="V345" s="3" t="n">
        <f aca="false">Q345*'Spam Rules'!$H$6+R345*'Spam Rules'!$H$7+S345*'Spam Rules'!$H$8+T345*'Spam Rules'!$H$9+U345*'Spam Rules'!$H$10</f>
        <v>0</v>
      </c>
      <c r="W345" s="3" t="str">
        <f aca="false">IF(V345&gt;='Spam Rules'!$B$3,"Likely Spam","Genuine")</f>
        <v>Genuine</v>
      </c>
      <c r="X345" s="3" t="n">
        <f aca="false">IFERROR(INDEX('Scoring Model'!$B$5:$B$11,MATCH(C345,'Scoring Model'!$A$5:$A$11,0)),0)</f>
        <v>15</v>
      </c>
      <c r="Y345" s="3" t="n">
        <f aca="false">IFERROR(INDEX('Scoring Model'!$E$5:$E$7,MATCH(F345,'Scoring Model'!$D$5:$D$7,0)),0)</f>
        <v>20</v>
      </c>
      <c r="Z345" s="3" t="n">
        <f aca="false">IFERROR(INDEX('Scoring Model'!$H$5:$H$13,MATCH(J345,'Scoring Model'!$G$5:$G$13,0)),0)</f>
        <v>15</v>
      </c>
      <c r="AA345" s="3" t="n">
        <f aca="false">IF(L345&gt;='Scoring Model'!$B$14,'Scoring Model'!$B$15,IF(L345&gt;='Scoring Model'!$B$16,'Scoring Model'!$B$17,0))</f>
        <v>0</v>
      </c>
      <c r="AB345" s="3" t="n">
        <f aca="false">IF(SUMPRODUCT(--ISNUMBER(SEARCH('Scoring Model'!$D$16:$D$25,K345)))&gt;0,'Scoring Model'!$B$18,0)</f>
        <v>15</v>
      </c>
      <c r="AC345" s="3" t="n">
        <f aca="false">IF(SUMPRODUCT(--ISNUMBER(SEARCH('Scoring Model'!$G$16:$G$23,K345)))&gt;0,'Scoring Model'!$B$19,0)</f>
        <v>0</v>
      </c>
      <c r="AD345" s="3" t="n">
        <f aca="false">IF(W345="Likely Spam","",SUM(X345:AC345))</f>
        <v>65</v>
      </c>
      <c r="AE345" s="3" t="str">
        <f aca="false">IF(W345="Likely Spam","Spam",IF(AD345&gt;='Scoring Model'!$B$21,"Hot",IF(AD345&gt;='Scoring Model'!$B$22,"Warm","Nurture")))</f>
        <v>Warm</v>
      </c>
      <c r="AF345" s="3" t="str">
        <f aca="false">IF(W345="Likely Spam","Flagged by spam rules",TRIM(IF(X345&gt;=20,"Strong source. ","")&amp;IF(Y345&gt;0,"Company email. ","")&amp;IF(Z345&gt;=15,"High-value product. ","")&amp;IF(AA345&gt;='Scoring Model'!$B$15,"High engagement. ","")&amp;IF(AB345&gt;0,"Buying intent in message. ","")&amp;IF(AC345&lt;0,"Negative intent in message. ","")))</f>
        <v>Company email. High-value product. Buying intent in message.</v>
      </c>
      <c r="AG345" s="11" t="n">
        <f aca="false">IF(W345="Likely Spam","",1/(1+EXP(-('Conversion Model'!$B$5+IFERROR(INDEX('Conversion Model'!$B$8:$B$14,MATCH(C345,'Conversion Model'!$A$8:$A$14,0)),0)+IFERROR(INDEX('Conversion Model'!$E$8:$E$9,MATCH(F345,'Conversion Model'!$D$8:$D$9,0)),0)+IFERROR(INDEX('Conversion Model'!$H$8:$H$12,MATCH(IF(LEFT(J345,8)="Payments","Payments",IF(LEFT(J345,7)="Lending","Lending",J345)),'Conversion Model'!$G$8:$G$12,0)),0)+MIN(L345,15)*'Conversion Model'!$B$17+IF(SUMPRODUCT(--ISNUMBER(SEARCH('Scoring Model'!$D$16:$D$25,K345)))&gt;0,'Conversion Model'!$B$18,0)+IF(SUMPRODUCT(--ISNUMBER(SEARCH('Scoring Model'!$G$16:$G$23,K345)))&gt;0,'Conversion Model'!$B$19,0)))))</f>
        <v>0.169383896934019</v>
      </c>
      <c r="AH345" s="3" t="n">
        <f aca="false">IF(OR(O345="Qualified",O345="Won",O345="Lost"),1,IF(O345="Unqualified",0,""))</f>
        <v>0</v>
      </c>
    </row>
    <row r="346" customFormat="false" ht="15" hidden="false" customHeight="true" outlineLevel="0" collapsed="false">
      <c r="A346" s="3" t="s">
        <v>1373</v>
      </c>
      <c r="B346" s="9" t="n">
        <v>46097.9701388889</v>
      </c>
      <c r="C346" s="3" t="s">
        <v>76</v>
      </c>
      <c r="D346" s="3" t="s">
        <v>168</v>
      </c>
      <c r="E346" s="3" t="s">
        <v>1374</v>
      </c>
      <c r="F346" s="3" t="s">
        <v>63</v>
      </c>
      <c r="G346" s="3"/>
      <c r="H346" s="3"/>
      <c r="I346" s="3" t="s">
        <v>107</v>
      </c>
      <c r="J346" s="3" t="s">
        <v>81</v>
      </c>
      <c r="K346" s="3" t="s">
        <v>170</v>
      </c>
      <c r="L346" s="3" t="n">
        <v>1</v>
      </c>
      <c r="M346" s="3" t="n">
        <v>53.2</v>
      </c>
      <c r="N346" s="3" t="s">
        <v>67</v>
      </c>
      <c r="O346" s="3" t="s">
        <v>68</v>
      </c>
      <c r="P346" s="10"/>
      <c r="Q346" s="3" t="n">
        <f aca="false">IF(F346="Disposable",1,0)</f>
        <v>1</v>
      </c>
      <c r="R346" s="3" t="n">
        <f aca="false">IF(SUMPRODUCT(--ISNUMBER(SEARCH('Spam Rules'!$A$22:$A$35,K346)))&gt;0,1,0)</f>
        <v>0</v>
      </c>
      <c r="S346" s="3" t="n">
        <f aca="false">IF(AND(F346="Free",G346=""),1,0)</f>
        <v>0</v>
      </c>
      <c r="T346" s="3" t="n">
        <f aca="false">IF(LEN(TRIM(K346))&lt;15,1,0)</f>
        <v>1</v>
      </c>
      <c r="U346" s="3" t="n">
        <f aca="false">IF(COUNTIF($E$2:$E$801,E346)&gt;1,1,0)</f>
        <v>0</v>
      </c>
      <c r="V346" s="3" t="n">
        <f aca="false">Q346*'Spam Rules'!$H$6+R346*'Spam Rules'!$H$7+S346*'Spam Rules'!$H$8+T346*'Spam Rules'!$H$9+U346*'Spam Rules'!$H$10</f>
        <v>2</v>
      </c>
      <c r="W346" s="3" t="str">
        <f aca="false">IF(V346&gt;='Spam Rules'!$B$3,"Likely Spam","Genuine")</f>
        <v>Likely Spam</v>
      </c>
      <c r="X346" s="3" t="n">
        <f aca="false">IFERROR(INDEX('Scoring Model'!$B$5:$B$11,MATCH(C346,'Scoring Model'!$A$5:$A$11,0)),0)</f>
        <v>0</v>
      </c>
      <c r="Y346" s="3" t="n">
        <f aca="false">IFERROR(INDEX('Scoring Model'!$E$5:$E$7,MATCH(F346,'Scoring Model'!$D$5:$D$7,0)),0)</f>
        <v>0</v>
      </c>
      <c r="Z346" s="3" t="n">
        <f aca="false">IFERROR(INDEX('Scoring Model'!$H$5:$H$13,MATCH(J346,'Scoring Model'!$G$5:$G$13,0)),0)</f>
        <v>5</v>
      </c>
      <c r="AA346" s="3" t="n">
        <f aca="false">IF(L346&gt;='Scoring Model'!$B$14,'Scoring Model'!$B$15,IF(L346&gt;='Scoring Model'!$B$16,'Scoring Model'!$B$17,0))</f>
        <v>0</v>
      </c>
      <c r="AB346" s="3" t="n">
        <f aca="false">IF(SUMPRODUCT(--ISNUMBER(SEARCH('Scoring Model'!$D$16:$D$25,K346)))&gt;0,'Scoring Model'!$B$18,0)</f>
        <v>0</v>
      </c>
      <c r="AC346" s="3" t="n">
        <f aca="false">IF(SUMPRODUCT(--ISNUMBER(SEARCH('Scoring Model'!$G$16:$G$23,K346)))&gt;0,'Scoring Model'!$B$19,0)</f>
        <v>0</v>
      </c>
      <c r="AD346" s="3" t="str">
        <f aca="false">IF(W346="Likely Spam","",SUM(X346:AC346))</f>
        <v/>
      </c>
      <c r="AE346" s="3" t="str">
        <f aca="false">IF(W346="Likely Spam","Spam",IF(AD346&gt;='Scoring Model'!$B$21,"Hot",IF(AD346&gt;='Scoring Model'!$B$22,"Warm","Nurture")))</f>
        <v>Spam</v>
      </c>
      <c r="AF346" s="3" t="str">
        <f aca="false">IF(W346="Likely Spam","Flagged by spam rules",TRIM(IF(X346&gt;=20,"Strong source. ","")&amp;IF(Y346&gt;0,"Company email. ","")&amp;IF(Z346&gt;=15,"High-value product. ","")&amp;IF(AA346&gt;='Scoring Model'!$B$15,"High engagement. ","")&amp;IF(AB346&gt;0,"Buying intent in message. ","")&amp;IF(AC346&lt;0,"Negative intent in message. ","")))</f>
        <v>Flagged by spam rules</v>
      </c>
      <c r="AG346" s="11" t="str">
        <f aca="false">IF(W346="Likely Spam","",1/(1+EXP(-('Conversion Model'!$B$5+IFERROR(INDEX('Conversion Model'!$B$8:$B$14,MATCH(C346,'Conversion Model'!$A$8:$A$14,0)),0)+IFERROR(INDEX('Conversion Model'!$E$8:$E$9,MATCH(F346,'Conversion Model'!$D$8:$D$9,0)),0)+IFERROR(INDEX('Conversion Model'!$H$8:$H$12,MATCH(IF(LEFT(J346,8)="Payments","Payments",IF(LEFT(J346,7)="Lending","Lending",J346)),'Conversion Model'!$G$8:$G$12,0)),0)+MIN(L346,15)*'Conversion Model'!$B$17+IF(SUMPRODUCT(--ISNUMBER(SEARCH('Scoring Model'!$D$16:$D$25,K346)))&gt;0,'Conversion Model'!$B$18,0)+IF(SUMPRODUCT(--ISNUMBER(SEARCH('Scoring Model'!$G$16:$G$23,K346)))&gt;0,'Conversion Model'!$B$19,0)))))</f>
        <v/>
      </c>
      <c r="AH346" s="3" t="str">
        <f aca="false">IF(OR(O346="Qualified",O346="Won",O346="Lost"),1,IF(O346="Unqualified",0,""))</f>
        <v/>
      </c>
    </row>
    <row r="347" customFormat="false" ht="15" hidden="false" customHeight="true" outlineLevel="0" collapsed="false">
      <c r="A347" s="3" t="s">
        <v>1375</v>
      </c>
      <c r="B347" s="9" t="n">
        <v>46098.2881944445</v>
      </c>
      <c r="C347" s="3" t="s">
        <v>112</v>
      </c>
      <c r="D347" s="3" t="s">
        <v>542</v>
      </c>
      <c r="E347" s="3" t="s">
        <v>1376</v>
      </c>
      <c r="F347" s="3" t="s">
        <v>22</v>
      </c>
      <c r="G347" s="3" t="s">
        <v>243</v>
      </c>
      <c r="H347" s="3" t="s">
        <v>244</v>
      </c>
      <c r="I347" s="3" t="s">
        <v>139</v>
      </c>
      <c r="J347" s="3" t="s">
        <v>145</v>
      </c>
      <c r="K347" s="3" t="s">
        <v>58</v>
      </c>
      <c r="L347" s="3" t="n">
        <v>3</v>
      </c>
      <c r="M347" s="3" t="n">
        <v>14.1</v>
      </c>
      <c r="N347" s="3" t="s">
        <v>96</v>
      </c>
      <c r="O347" s="3" t="s">
        <v>194</v>
      </c>
      <c r="P347" s="10"/>
      <c r="Q347" s="3" t="n">
        <f aca="false">IF(F347="Disposable",1,0)</f>
        <v>0</v>
      </c>
      <c r="R347" s="3" t="n">
        <f aca="false">IF(SUMPRODUCT(--ISNUMBER(SEARCH('Spam Rules'!$A$22:$A$35,K347)))&gt;0,1,0)</f>
        <v>0</v>
      </c>
      <c r="S347" s="3" t="n">
        <f aca="false">IF(AND(F347="Free",G347=""),1,0)</f>
        <v>0</v>
      </c>
      <c r="T347" s="3" t="n">
        <f aca="false">IF(LEN(TRIM(K347))&lt;15,1,0)</f>
        <v>0</v>
      </c>
      <c r="U347" s="3" t="n">
        <f aca="false">IF(COUNTIF($E$2:$E$801,E347)&gt;1,1,0)</f>
        <v>0</v>
      </c>
      <c r="V347" s="3" t="n">
        <f aca="false">Q347*'Spam Rules'!$H$6+R347*'Spam Rules'!$H$7+S347*'Spam Rules'!$H$8+T347*'Spam Rules'!$H$9+U347*'Spam Rules'!$H$10</f>
        <v>0</v>
      </c>
      <c r="W347" s="3" t="str">
        <f aca="false">IF(V347&gt;='Spam Rules'!$B$3,"Likely Spam","Genuine")</f>
        <v>Genuine</v>
      </c>
      <c r="X347" s="3" t="n">
        <f aca="false">IFERROR(INDEX('Scoring Model'!$B$5:$B$11,MATCH(C347,'Scoring Model'!$A$5:$A$11,0)),0)</f>
        <v>15</v>
      </c>
      <c r="Y347" s="3" t="n">
        <f aca="false">IFERROR(INDEX('Scoring Model'!$E$5:$E$7,MATCH(F347,'Scoring Model'!$D$5:$D$7,0)),0)</f>
        <v>20</v>
      </c>
      <c r="Z347" s="3" t="n">
        <f aca="false">IFERROR(INDEX('Scoring Model'!$H$5:$H$13,MATCH(J347,'Scoring Model'!$G$5:$G$13,0)),0)</f>
        <v>5</v>
      </c>
      <c r="AA347" s="3" t="n">
        <f aca="false">IF(L347&gt;='Scoring Model'!$B$14,'Scoring Model'!$B$15,IF(L347&gt;='Scoring Model'!$B$16,'Scoring Model'!$B$17,0))</f>
        <v>0</v>
      </c>
      <c r="AB347" s="3" t="n">
        <f aca="false">IF(SUMPRODUCT(--ISNUMBER(SEARCH('Scoring Model'!$D$16:$D$25,K347)))&gt;0,'Scoring Model'!$B$18,0)</f>
        <v>15</v>
      </c>
      <c r="AC347" s="3" t="n">
        <f aca="false">IF(SUMPRODUCT(--ISNUMBER(SEARCH('Scoring Model'!$G$16:$G$23,K347)))&gt;0,'Scoring Model'!$B$19,0)</f>
        <v>0</v>
      </c>
      <c r="AD347" s="3" t="n">
        <f aca="false">IF(W347="Likely Spam","",SUM(X347:AC347))</f>
        <v>55</v>
      </c>
      <c r="AE347" s="3" t="str">
        <f aca="false">IF(W347="Likely Spam","Spam",IF(AD347&gt;='Scoring Model'!$B$21,"Hot",IF(AD347&gt;='Scoring Model'!$B$22,"Warm","Nurture")))</f>
        <v>Warm</v>
      </c>
      <c r="AF347" s="3" t="str">
        <f aca="false">IF(W347="Likely Spam","Flagged by spam rules",TRIM(IF(X347&gt;=20,"Strong source. ","")&amp;IF(Y347&gt;0,"Company email. ","")&amp;IF(Z347&gt;=15,"High-value product. ","")&amp;IF(AA347&gt;='Scoring Model'!$B$15,"High engagement. ","")&amp;IF(AB347&gt;0,"Buying intent in message. ","")&amp;IF(AC347&lt;0,"Negative intent in message. ","")))</f>
        <v>Company email. Buying intent in message.</v>
      </c>
      <c r="AG347" s="11" t="n">
        <f aca="false">IF(W347="Likely Spam","",1/(1+EXP(-('Conversion Model'!$B$5+IFERROR(INDEX('Conversion Model'!$B$8:$B$14,MATCH(C347,'Conversion Model'!$A$8:$A$14,0)),0)+IFERROR(INDEX('Conversion Model'!$E$8:$E$9,MATCH(F347,'Conversion Model'!$D$8:$D$9,0)),0)+IFERROR(INDEX('Conversion Model'!$H$8:$H$12,MATCH(IF(LEFT(J347,8)="Payments","Payments",IF(LEFT(J347,7)="Lending","Lending",J347)),'Conversion Model'!$G$8:$G$12,0)),0)+MIN(L347,15)*'Conversion Model'!$B$17+IF(SUMPRODUCT(--ISNUMBER(SEARCH('Scoring Model'!$D$16:$D$25,K347)))&gt;0,'Conversion Model'!$B$18,0)+IF(SUMPRODUCT(--ISNUMBER(SEARCH('Scoring Model'!$G$16:$G$23,K347)))&gt;0,'Conversion Model'!$B$19,0)))))</f>
        <v>0.348645135333946</v>
      </c>
      <c r="AH347" s="3" t="n">
        <f aca="false">IF(OR(O347="Qualified",O347="Won",O347="Lost"),1,IF(O347="Unqualified",0,""))</f>
        <v>0</v>
      </c>
    </row>
    <row r="348" customFormat="false" ht="15" hidden="false" customHeight="true" outlineLevel="0" collapsed="false">
      <c r="A348" s="3" t="s">
        <v>1377</v>
      </c>
      <c r="B348" s="9" t="n">
        <v>46098.7319444444</v>
      </c>
      <c r="C348" s="3" t="s">
        <v>76</v>
      </c>
      <c r="D348" s="3" t="s">
        <v>196</v>
      </c>
      <c r="E348" s="3" t="s">
        <v>1378</v>
      </c>
      <c r="F348" s="3" t="s">
        <v>54</v>
      </c>
      <c r="G348" s="3" t="s">
        <v>1379</v>
      </c>
      <c r="H348" s="3"/>
      <c r="I348" s="3" t="s">
        <v>227</v>
      </c>
      <c r="J348" s="3" t="s">
        <v>117</v>
      </c>
      <c r="K348" s="3" t="s">
        <v>644</v>
      </c>
      <c r="L348" s="3" t="n">
        <v>3</v>
      </c>
      <c r="M348" s="3" t="n">
        <v>72.8</v>
      </c>
      <c r="N348" s="3" t="s">
        <v>67</v>
      </c>
      <c r="O348" s="3"/>
      <c r="P348" s="10"/>
      <c r="Q348" s="3" t="n">
        <f aca="false">IF(F348="Disposable",1,0)</f>
        <v>0</v>
      </c>
      <c r="R348" s="3" t="n">
        <f aca="false">IF(SUMPRODUCT(--ISNUMBER(SEARCH('Spam Rules'!$A$22:$A$35,K348)))&gt;0,1,0)</f>
        <v>0</v>
      </c>
      <c r="S348" s="3" t="n">
        <f aca="false">IF(AND(F348="Free",G348=""),1,0)</f>
        <v>0</v>
      </c>
      <c r="T348" s="3" t="n">
        <f aca="false">IF(LEN(TRIM(K348))&lt;15,1,0)</f>
        <v>0</v>
      </c>
      <c r="U348" s="3" t="n">
        <f aca="false">IF(COUNTIF($E$2:$E$801,E348)&gt;1,1,0)</f>
        <v>0</v>
      </c>
      <c r="V348" s="3" t="n">
        <f aca="false">Q348*'Spam Rules'!$H$6+R348*'Spam Rules'!$H$7+S348*'Spam Rules'!$H$8+T348*'Spam Rules'!$H$9+U348*'Spam Rules'!$H$10</f>
        <v>0</v>
      </c>
      <c r="W348" s="3" t="str">
        <f aca="false">IF(V348&gt;='Spam Rules'!$B$3,"Likely Spam","Genuine")</f>
        <v>Genuine</v>
      </c>
      <c r="X348" s="3" t="n">
        <f aca="false">IFERROR(INDEX('Scoring Model'!$B$5:$B$11,MATCH(C348,'Scoring Model'!$A$5:$A$11,0)),0)</f>
        <v>0</v>
      </c>
      <c r="Y348" s="3" t="n">
        <f aca="false">IFERROR(INDEX('Scoring Model'!$E$5:$E$7,MATCH(F348,'Scoring Model'!$D$5:$D$7,0)),0)</f>
        <v>0</v>
      </c>
      <c r="Z348" s="3" t="n">
        <f aca="false">IFERROR(INDEX('Scoring Model'!$H$5:$H$13,MATCH(J348,'Scoring Model'!$G$5:$G$13,0)),0)</f>
        <v>15</v>
      </c>
      <c r="AA348" s="3" t="n">
        <f aca="false">IF(L348&gt;='Scoring Model'!$B$14,'Scoring Model'!$B$15,IF(L348&gt;='Scoring Model'!$B$16,'Scoring Model'!$B$17,0))</f>
        <v>0</v>
      </c>
      <c r="AB348" s="3" t="n">
        <f aca="false">IF(SUMPRODUCT(--ISNUMBER(SEARCH('Scoring Model'!$D$16:$D$25,K348)))&gt;0,'Scoring Model'!$B$18,0)</f>
        <v>15</v>
      </c>
      <c r="AC348" s="3" t="n">
        <f aca="false">IF(SUMPRODUCT(--ISNUMBER(SEARCH('Scoring Model'!$G$16:$G$23,K348)))&gt;0,'Scoring Model'!$B$19,0)</f>
        <v>0</v>
      </c>
      <c r="AD348" s="3" t="n">
        <f aca="false">IF(W348="Likely Spam","",SUM(X348:AC348))</f>
        <v>30</v>
      </c>
      <c r="AE348" s="3" t="str">
        <f aca="false">IF(W348="Likely Spam","Spam",IF(AD348&gt;='Scoring Model'!$B$21,"Hot",IF(AD348&gt;='Scoring Model'!$B$22,"Warm","Nurture")))</f>
        <v>Nurture</v>
      </c>
      <c r="AF348" s="3" t="str">
        <f aca="false">IF(W348="Likely Spam","Flagged by spam rules",TRIM(IF(X348&gt;=20,"Strong source. ","")&amp;IF(Y348&gt;0,"Company email. ","")&amp;IF(Z348&gt;=15,"High-value product. ","")&amp;IF(AA348&gt;='Scoring Model'!$B$15,"High engagement. ","")&amp;IF(AB348&gt;0,"Buying intent in message. ","")&amp;IF(AC348&lt;0,"Negative intent in message. ","")))</f>
        <v>High-value product. Buying intent in message.</v>
      </c>
      <c r="AG348" s="11" t="n">
        <f aca="false">IF(W348="Likely Spam","",1/(1+EXP(-('Conversion Model'!$B$5+IFERROR(INDEX('Conversion Model'!$B$8:$B$14,MATCH(C348,'Conversion Model'!$A$8:$A$14,0)),0)+IFERROR(INDEX('Conversion Model'!$E$8:$E$9,MATCH(F348,'Conversion Model'!$D$8:$D$9,0)),0)+IFERROR(INDEX('Conversion Model'!$H$8:$H$12,MATCH(IF(LEFT(J348,8)="Payments","Payments",IF(LEFT(J348,7)="Lending","Lending",J348)),'Conversion Model'!$G$8:$G$12,0)),0)+MIN(L348,15)*'Conversion Model'!$B$17+IF(SUMPRODUCT(--ISNUMBER(SEARCH('Scoring Model'!$D$16:$D$25,K348)))&gt;0,'Conversion Model'!$B$18,0)+IF(SUMPRODUCT(--ISNUMBER(SEARCH('Scoring Model'!$G$16:$G$23,K348)))&gt;0,'Conversion Model'!$B$19,0)))))</f>
        <v>0.254263725599549</v>
      </c>
      <c r="AH348" s="3" t="str">
        <f aca="false">IF(OR(O348="Qualified",O348="Won",O348="Lost"),1,IF(O348="Unqualified",0,""))</f>
        <v/>
      </c>
    </row>
    <row r="349" customFormat="false" ht="15" hidden="false" customHeight="true" outlineLevel="0" collapsed="false">
      <c r="A349" s="3" t="s">
        <v>1380</v>
      </c>
      <c r="B349" s="9" t="n">
        <v>46099.2680555556</v>
      </c>
      <c r="C349" s="3" t="s">
        <v>128</v>
      </c>
      <c r="D349" s="3" t="s">
        <v>141</v>
      </c>
      <c r="E349" s="3" t="s">
        <v>1381</v>
      </c>
      <c r="F349" s="3" t="s">
        <v>22</v>
      </c>
      <c r="G349" s="3" t="s">
        <v>1382</v>
      </c>
      <c r="H349" s="3" t="s">
        <v>1383</v>
      </c>
      <c r="I349" s="3" t="s">
        <v>64</v>
      </c>
      <c r="J349" s="3" t="s">
        <v>117</v>
      </c>
      <c r="K349" s="3" t="s">
        <v>189</v>
      </c>
      <c r="L349" s="3" t="n">
        <v>8</v>
      </c>
      <c r="M349" s="3" t="n">
        <v>16</v>
      </c>
      <c r="N349" s="3" t="s">
        <v>67</v>
      </c>
      <c r="O349" s="3"/>
      <c r="P349" s="10"/>
      <c r="Q349" s="3" t="n">
        <f aca="false">IF(F349="Disposable",1,0)</f>
        <v>0</v>
      </c>
      <c r="R349" s="3" t="n">
        <f aca="false">IF(SUMPRODUCT(--ISNUMBER(SEARCH('Spam Rules'!$A$22:$A$35,K349)))&gt;0,1,0)</f>
        <v>0</v>
      </c>
      <c r="S349" s="3" t="n">
        <f aca="false">IF(AND(F349="Free",G349=""),1,0)</f>
        <v>0</v>
      </c>
      <c r="T349" s="3" t="n">
        <f aca="false">IF(LEN(TRIM(K349))&lt;15,1,0)</f>
        <v>0</v>
      </c>
      <c r="U349" s="3" t="n">
        <f aca="false">IF(COUNTIF($E$2:$E$801,E349)&gt;1,1,0)</f>
        <v>0</v>
      </c>
      <c r="V349" s="3" t="n">
        <f aca="false">Q349*'Spam Rules'!$H$6+R349*'Spam Rules'!$H$7+S349*'Spam Rules'!$H$8+T349*'Spam Rules'!$H$9+U349*'Spam Rules'!$H$10</f>
        <v>0</v>
      </c>
      <c r="W349" s="3" t="str">
        <f aca="false">IF(V349&gt;='Spam Rules'!$B$3,"Likely Spam","Genuine")</f>
        <v>Genuine</v>
      </c>
      <c r="X349" s="3" t="n">
        <f aca="false">IFERROR(INDEX('Scoring Model'!$B$5:$B$11,MATCH(C349,'Scoring Model'!$A$5:$A$11,0)),0)</f>
        <v>30</v>
      </c>
      <c r="Y349" s="3" t="n">
        <f aca="false">IFERROR(INDEX('Scoring Model'!$E$5:$E$7,MATCH(F349,'Scoring Model'!$D$5:$D$7,0)),0)</f>
        <v>20</v>
      </c>
      <c r="Z349" s="3" t="n">
        <f aca="false">IFERROR(INDEX('Scoring Model'!$H$5:$H$13,MATCH(J349,'Scoring Model'!$G$5:$G$13,0)),0)</f>
        <v>15</v>
      </c>
      <c r="AA349" s="3" t="n">
        <f aca="false">IF(L349&gt;='Scoring Model'!$B$14,'Scoring Model'!$B$15,IF(L349&gt;='Scoring Model'!$B$16,'Scoring Model'!$B$17,0))</f>
        <v>15</v>
      </c>
      <c r="AB349" s="3" t="n">
        <f aca="false">IF(SUMPRODUCT(--ISNUMBER(SEARCH('Scoring Model'!$D$16:$D$25,K349)))&gt;0,'Scoring Model'!$B$18,0)</f>
        <v>15</v>
      </c>
      <c r="AC349" s="3" t="n">
        <f aca="false">IF(SUMPRODUCT(--ISNUMBER(SEARCH('Scoring Model'!$G$16:$G$23,K349)))&gt;0,'Scoring Model'!$B$19,0)</f>
        <v>0</v>
      </c>
      <c r="AD349" s="3" t="n">
        <f aca="false">IF(W349="Likely Spam","",SUM(X349:AC349))</f>
        <v>95</v>
      </c>
      <c r="AE349" s="3" t="str">
        <f aca="false">IF(W349="Likely Spam","Spam",IF(AD349&gt;='Scoring Model'!$B$21,"Hot",IF(AD349&gt;='Scoring Model'!$B$22,"Warm","Nurture")))</f>
        <v>Hot</v>
      </c>
      <c r="AF349" s="3" t="str">
        <f aca="false">IF(W349="Likely Spam","Flagged by spam rules",TRIM(IF(X349&gt;=20,"Strong source. ","")&amp;IF(Y349&gt;0,"Company email. ","")&amp;IF(Z349&gt;=15,"High-value product. ","")&amp;IF(AA349&gt;='Scoring Model'!$B$15,"High engagement. ","")&amp;IF(AB349&gt;0,"Buying intent in message. ","")&amp;IF(AC349&lt;0,"Negative intent in message. ","")))</f>
        <v>Strong source. Company email. High-value product. High engagement. Buying intent in message.</v>
      </c>
      <c r="AG349" s="11" t="n">
        <f aca="false">IF(W349="Likely Spam","",1/(1+EXP(-('Conversion Model'!$B$5+IFERROR(INDEX('Conversion Model'!$B$8:$B$14,MATCH(C349,'Conversion Model'!$A$8:$A$14,0)),0)+IFERROR(INDEX('Conversion Model'!$E$8:$E$9,MATCH(F349,'Conversion Model'!$D$8:$D$9,0)),0)+IFERROR(INDEX('Conversion Model'!$H$8:$H$12,MATCH(IF(LEFT(J349,8)="Payments","Payments",IF(LEFT(J349,7)="Lending","Lending",J349)),'Conversion Model'!$G$8:$G$12,0)),0)+MIN(L349,15)*'Conversion Model'!$B$17+IF(SUMPRODUCT(--ISNUMBER(SEARCH('Scoring Model'!$D$16:$D$25,K349)))&gt;0,'Conversion Model'!$B$18,0)+IF(SUMPRODUCT(--ISNUMBER(SEARCH('Scoring Model'!$G$16:$G$23,K349)))&gt;0,'Conversion Model'!$B$19,0)))))</f>
        <v>0.99514074961593</v>
      </c>
      <c r="AH349" s="3" t="str">
        <f aca="false">IF(OR(O349="Qualified",O349="Won",O349="Lost"),1,IF(O349="Unqualified",0,""))</f>
        <v/>
      </c>
    </row>
    <row r="350" customFormat="false" ht="15" hidden="false" customHeight="true" outlineLevel="0" collapsed="false">
      <c r="A350" s="3" t="s">
        <v>1384</v>
      </c>
      <c r="B350" s="9" t="n">
        <v>46099.7354166667</v>
      </c>
      <c r="C350" s="3" t="s">
        <v>51</v>
      </c>
      <c r="D350" s="3" t="s">
        <v>1299</v>
      </c>
      <c r="E350" s="3" t="s">
        <v>169</v>
      </c>
      <c r="F350" s="3" t="s">
        <v>54</v>
      </c>
      <c r="G350" s="3" t="s">
        <v>321</v>
      </c>
      <c r="H350" s="3"/>
      <c r="I350" s="3" t="s">
        <v>227</v>
      </c>
      <c r="J350" s="3" t="s">
        <v>81</v>
      </c>
      <c r="K350" s="3" t="s">
        <v>322</v>
      </c>
      <c r="L350" s="3" t="n">
        <v>2</v>
      </c>
      <c r="M350" s="3"/>
      <c r="N350" s="3" t="s">
        <v>96</v>
      </c>
      <c r="O350" s="3" t="s">
        <v>68</v>
      </c>
      <c r="P350" s="10"/>
      <c r="Q350" s="3" t="n">
        <f aca="false">IF(F350="Disposable",1,0)</f>
        <v>0</v>
      </c>
      <c r="R350" s="3" t="n">
        <f aca="false">IF(SUMPRODUCT(--ISNUMBER(SEARCH('Spam Rules'!$A$22:$A$35,K350)))&gt;0,1,0)</f>
        <v>0</v>
      </c>
      <c r="S350" s="3" t="n">
        <f aca="false">IF(AND(F350="Free",G350=""),1,0)</f>
        <v>0</v>
      </c>
      <c r="T350" s="3" t="n">
        <f aca="false">IF(LEN(TRIM(K350))&lt;15,1,0)</f>
        <v>1</v>
      </c>
      <c r="U350" s="3" t="n">
        <f aca="false">IF(COUNTIF($E$2:$E$801,E350)&gt;1,1,0)</f>
        <v>1</v>
      </c>
      <c r="V350" s="3" t="n">
        <f aca="false">Q350*'Spam Rules'!$H$6+R350*'Spam Rules'!$H$7+S350*'Spam Rules'!$H$8+T350*'Spam Rules'!$H$9+U350*'Spam Rules'!$H$10</f>
        <v>1</v>
      </c>
      <c r="W350" s="3" t="str">
        <f aca="false">IF(V350&gt;='Spam Rules'!$B$3,"Likely Spam","Genuine")</f>
        <v>Likely Spam</v>
      </c>
      <c r="X350" s="3" t="n">
        <f aca="false">IFERROR(INDEX('Scoring Model'!$B$5:$B$11,MATCH(C350,'Scoring Model'!$A$5:$A$11,0)),0)</f>
        <v>10</v>
      </c>
      <c r="Y350" s="3" t="n">
        <f aca="false">IFERROR(INDEX('Scoring Model'!$E$5:$E$7,MATCH(F350,'Scoring Model'!$D$5:$D$7,0)),0)</f>
        <v>0</v>
      </c>
      <c r="Z350" s="3" t="n">
        <f aca="false">IFERROR(INDEX('Scoring Model'!$H$5:$H$13,MATCH(J350,'Scoring Model'!$G$5:$G$13,0)),0)</f>
        <v>5</v>
      </c>
      <c r="AA350" s="3" t="n">
        <f aca="false">IF(L350&gt;='Scoring Model'!$B$14,'Scoring Model'!$B$15,IF(L350&gt;='Scoring Model'!$B$16,'Scoring Model'!$B$17,0))</f>
        <v>0</v>
      </c>
      <c r="AB350" s="3" t="n">
        <f aca="false">IF(SUMPRODUCT(--ISNUMBER(SEARCH('Scoring Model'!$D$16:$D$25,K350)))&gt;0,'Scoring Model'!$B$18,0)</f>
        <v>0</v>
      </c>
      <c r="AC350" s="3" t="n">
        <f aca="false">IF(SUMPRODUCT(--ISNUMBER(SEARCH('Scoring Model'!$G$16:$G$23,K350)))&gt;0,'Scoring Model'!$B$19,0)</f>
        <v>0</v>
      </c>
      <c r="AD350" s="3" t="str">
        <f aca="false">IF(W350="Likely Spam","",SUM(X350:AC350))</f>
        <v/>
      </c>
      <c r="AE350" s="3" t="str">
        <f aca="false">IF(W350="Likely Spam","Spam",IF(AD350&gt;='Scoring Model'!$B$21,"Hot",IF(AD350&gt;='Scoring Model'!$B$22,"Warm","Nurture")))</f>
        <v>Spam</v>
      </c>
      <c r="AF350" s="3" t="str">
        <f aca="false">IF(W350="Likely Spam","Flagged by spam rules",TRIM(IF(X350&gt;=20,"Strong source. ","")&amp;IF(Y350&gt;0,"Company email. ","")&amp;IF(Z350&gt;=15,"High-value product. ","")&amp;IF(AA350&gt;='Scoring Model'!$B$15,"High engagement. ","")&amp;IF(AB350&gt;0,"Buying intent in message. ","")&amp;IF(AC350&lt;0,"Negative intent in message. ","")))</f>
        <v>Flagged by spam rules</v>
      </c>
      <c r="AG350" s="11" t="str">
        <f aca="false">IF(W350="Likely Spam","",1/(1+EXP(-('Conversion Model'!$B$5+IFERROR(INDEX('Conversion Model'!$B$8:$B$14,MATCH(C350,'Conversion Model'!$A$8:$A$14,0)),0)+IFERROR(INDEX('Conversion Model'!$E$8:$E$9,MATCH(F350,'Conversion Model'!$D$8:$D$9,0)),0)+IFERROR(INDEX('Conversion Model'!$H$8:$H$12,MATCH(IF(LEFT(J350,8)="Payments","Payments",IF(LEFT(J350,7)="Lending","Lending",J350)),'Conversion Model'!$G$8:$G$12,0)),0)+MIN(L350,15)*'Conversion Model'!$B$17+IF(SUMPRODUCT(--ISNUMBER(SEARCH('Scoring Model'!$D$16:$D$25,K350)))&gt;0,'Conversion Model'!$B$18,0)+IF(SUMPRODUCT(--ISNUMBER(SEARCH('Scoring Model'!$G$16:$G$23,K350)))&gt;0,'Conversion Model'!$B$19,0)))))</f>
        <v/>
      </c>
      <c r="AH350" s="3" t="str">
        <f aca="false">IF(OR(O350="Qualified",O350="Won",O350="Lost"),1,IF(O350="Unqualified",0,""))</f>
        <v/>
      </c>
    </row>
    <row r="351" customFormat="false" ht="15" hidden="false" customHeight="true" outlineLevel="0" collapsed="false">
      <c r="A351" s="3" t="s">
        <v>1385</v>
      </c>
      <c r="B351" s="9" t="n">
        <v>46099.8298611111</v>
      </c>
      <c r="C351" s="3" t="s">
        <v>128</v>
      </c>
      <c r="D351" s="3" t="s">
        <v>1386</v>
      </c>
      <c r="E351" s="3" t="s">
        <v>1387</v>
      </c>
      <c r="F351" s="3" t="s">
        <v>22</v>
      </c>
      <c r="G351" s="3" t="s">
        <v>1388</v>
      </c>
      <c r="H351" s="3" t="s">
        <v>1389</v>
      </c>
      <c r="I351" s="3" t="s">
        <v>94</v>
      </c>
      <c r="J351" s="3" t="s">
        <v>165</v>
      </c>
      <c r="K351" s="3" t="s">
        <v>58</v>
      </c>
      <c r="L351" s="3" t="n">
        <v>12</v>
      </c>
      <c r="M351" s="3" t="n">
        <v>13.6</v>
      </c>
      <c r="N351" s="3" t="s">
        <v>67</v>
      </c>
      <c r="O351" s="3" t="s">
        <v>331</v>
      </c>
      <c r="P351" s="10"/>
      <c r="Q351" s="3" t="n">
        <f aca="false">IF(F351="Disposable",1,0)</f>
        <v>0</v>
      </c>
      <c r="R351" s="3" t="n">
        <f aca="false">IF(SUMPRODUCT(--ISNUMBER(SEARCH('Spam Rules'!$A$22:$A$35,K351)))&gt;0,1,0)</f>
        <v>0</v>
      </c>
      <c r="S351" s="3" t="n">
        <f aca="false">IF(AND(F351="Free",G351=""),1,0)</f>
        <v>0</v>
      </c>
      <c r="T351" s="3" t="n">
        <f aca="false">IF(LEN(TRIM(K351))&lt;15,1,0)</f>
        <v>0</v>
      </c>
      <c r="U351" s="3" t="n">
        <f aca="false">IF(COUNTIF($E$2:$E$801,E351)&gt;1,1,0)</f>
        <v>0</v>
      </c>
      <c r="V351" s="3" t="n">
        <f aca="false">Q351*'Spam Rules'!$H$6+R351*'Spam Rules'!$H$7+S351*'Spam Rules'!$H$8+T351*'Spam Rules'!$H$9+U351*'Spam Rules'!$H$10</f>
        <v>0</v>
      </c>
      <c r="W351" s="3" t="str">
        <f aca="false">IF(V351&gt;='Spam Rules'!$B$3,"Likely Spam","Genuine")</f>
        <v>Genuine</v>
      </c>
      <c r="X351" s="3" t="n">
        <f aca="false">IFERROR(INDEX('Scoring Model'!$B$5:$B$11,MATCH(C351,'Scoring Model'!$A$5:$A$11,0)),0)</f>
        <v>30</v>
      </c>
      <c r="Y351" s="3" t="n">
        <f aca="false">IFERROR(INDEX('Scoring Model'!$E$5:$E$7,MATCH(F351,'Scoring Model'!$D$5:$D$7,0)),0)</f>
        <v>20</v>
      </c>
      <c r="Z351" s="3" t="n">
        <f aca="false">IFERROR(INDEX('Scoring Model'!$H$5:$H$13,MATCH(J351,'Scoring Model'!$G$5:$G$13,0)),0)</f>
        <v>15</v>
      </c>
      <c r="AA351" s="3" t="n">
        <f aca="false">IF(L351&gt;='Scoring Model'!$B$14,'Scoring Model'!$B$15,IF(L351&gt;='Scoring Model'!$B$16,'Scoring Model'!$B$17,0))</f>
        <v>15</v>
      </c>
      <c r="AB351" s="3" t="n">
        <f aca="false">IF(SUMPRODUCT(--ISNUMBER(SEARCH('Scoring Model'!$D$16:$D$25,K351)))&gt;0,'Scoring Model'!$B$18,0)</f>
        <v>15</v>
      </c>
      <c r="AC351" s="3" t="n">
        <f aca="false">IF(SUMPRODUCT(--ISNUMBER(SEARCH('Scoring Model'!$G$16:$G$23,K351)))&gt;0,'Scoring Model'!$B$19,0)</f>
        <v>0</v>
      </c>
      <c r="AD351" s="3" t="n">
        <f aca="false">IF(W351="Likely Spam","",SUM(X351:AC351))</f>
        <v>95</v>
      </c>
      <c r="AE351" s="3" t="str">
        <f aca="false">IF(W351="Likely Spam","Spam",IF(AD351&gt;='Scoring Model'!$B$21,"Hot",IF(AD351&gt;='Scoring Model'!$B$22,"Warm","Nurture")))</f>
        <v>Hot</v>
      </c>
      <c r="AF351" s="3" t="str">
        <f aca="false">IF(W351="Likely Spam","Flagged by spam rules",TRIM(IF(X351&gt;=20,"Strong source. ","")&amp;IF(Y351&gt;0,"Company email. ","")&amp;IF(Z351&gt;=15,"High-value product. ","")&amp;IF(AA351&gt;='Scoring Model'!$B$15,"High engagement. ","")&amp;IF(AB351&gt;0,"Buying intent in message. ","")&amp;IF(AC351&lt;0,"Negative intent in message. ","")))</f>
        <v>Strong source. Company email. High-value product. High engagement. Buying intent in message.</v>
      </c>
      <c r="AG351" s="11" t="n">
        <f aca="false">IF(W351="Likely Spam","",1/(1+EXP(-('Conversion Model'!$B$5+IFERROR(INDEX('Conversion Model'!$B$8:$B$14,MATCH(C351,'Conversion Model'!$A$8:$A$14,0)),0)+IFERROR(INDEX('Conversion Model'!$E$8:$E$9,MATCH(F351,'Conversion Model'!$D$8:$D$9,0)),0)+IFERROR(INDEX('Conversion Model'!$H$8:$H$12,MATCH(IF(LEFT(J351,8)="Payments","Payments",IF(LEFT(J351,7)="Lending","Lending",J351)),'Conversion Model'!$G$8:$G$12,0)),0)+MIN(L351,15)*'Conversion Model'!$B$17+IF(SUMPRODUCT(--ISNUMBER(SEARCH('Scoring Model'!$D$16:$D$25,K351)))&gt;0,'Conversion Model'!$B$18,0)+IF(SUMPRODUCT(--ISNUMBER(SEARCH('Scoring Model'!$G$16:$G$23,K351)))&gt;0,'Conversion Model'!$B$19,0)))))</f>
        <v>0.999497292884859</v>
      </c>
      <c r="AH351" s="3" t="n">
        <f aca="false">IF(OR(O351="Qualified",O351="Won",O351="Lost"),1,IF(O351="Unqualified",0,""))</f>
        <v>1</v>
      </c>
    </row>
    <row r="352" customFormat="false" ht="15" hidden="false" customHeight="true" outlineLevel="0" collapsed="false">
      <c r="A352" s="3" t="s">
        <v>1390</v>
      </c>
      <c r="B352" s="9" t="n">
        <v>46100.0534722222</v>
      </c>
      <c r="C352" s="3" t="s">
        <v>51</v>
      </c>
      <c r="D352" s="3" t="s">
        <v>1391</v>
      </c>
      <c r="E352" s="3" t="s">
        <v>1392</v>
      </c>
      <c r="F352" s="3" t="s">
        <v>54</v>
      </c>
      <c r="G352" s="3" t="s">
        <v>237</v>
      </c>
      <c r="H352" s="3"/>
      <c r="I352" s="3" t="s">
        <v>227</v>
      </c>
      <c r="J352" s="3" t="s">
        <v>65</v>
      </c>
      <c r="K352" s="3" t="s">
        <v>89</v>
      </c>
      <c r="L352" s="3" t="n">
        <v>1</v>
      </c>
      <c r="M352" s="3" t="n">
        <v>67.8</v>
      </c>
      <c r="N352" s="3" t="s">
        <v>67</v>
      </c>
      <c r="O352" s="3" t="s">
        <v>68</v>
      </c>
      <c r="P352" s="10"/>
      <c r="Q352" s="3" t="n">
        <f aca="false">IF(F352="Disposable",1,0)</f>
        <v>0</v>
      </c>
      <c r="R352" s="3" t="n">
        <f aca="false">IF(SUMPRODUCT(--ISNUMBER(SEARCH('Spam Rules'!$A$22:$A$35,K352)))&gt;0,1,0)</f>
        <v>1</v>
      </c>
      <c r="S352" s="3" t="n">
        <f aca="false">IF(AND(F352="Free",G352=""),1,0)</f>
        <v>0</v>
      </c>
      <c r="T352" s="3" t="n">
        <f aca="false">IF(LEN(TRIM(K352))&lt;15,1,0)</f>
        <v>0</v>
      </c>
      <c r="U352" s="3" t="n">
        <f aca="false">IF(COUNTIF($E$2:$E$801,E352)&gt;1,1,0)</f>
        <v>0</v>
      </c>
      <c r="V352" s="3" t="n">
        <f aca="false">Q352*'Spam Rules'!$H$6+R352*'Spam Rules'!$H$7+S352*'Spam Rules'!$H$8+T352*'Spam Rules'!$H$9+U352*'Spam Rules'!$H$10</f>
        <v>1</v>
      </c>
      <c r="W352" s="3" t="str">
        <f aca="false">IF(V352&gt;='Spam Rules'!$B$3,"Likely Spam","Genuine")</f>
        <v>Likely Spam</v>
      </c>
      <c r="X352" s="3" t="n">
        <f aca="false">IFERROR(INDEX('Scoring Model'!$B$5:$B$11,MATCH(C352,'Scoring Model'!$A$5:$A$11,0)),0)</f>
        <v>10</v>
      </c>
      <c r="Y352" s="3" t="n">
        <f aca="false">IFERROR(INDEX('Scoring Model'!$E$5:$E$7,MATCH(F352,'Scoring Model'!$D$5:$D$7,0)),0)</f>
        <v>0</v>
      </c>
      <c r="Z352" s="3" t="n">
        <f aca="false">IFERROR(INDEX('Scoring Model'!$H$5:$H$13,MATCH(J352,'Scoring Model'!$G$5:$G$13,0)),0)</f>
        <v>0</v>
      </c>
      <c r="AA352" s="3" t="n">
        <f aca="false">IF(L352&gt;='Scoring Model'!$B$14,'Scoring Model'!$B$15,IF(L352&gt;='Scoring Model'!$B$16,'Scoring Model'!$B$17,0))</f>
        <v>0</v>
      </c>
      <c r="AB352" s="3" t="n">
        <f aca="false">IF(SUMPRODUCT(--ISNUMBER(SEARCH('Scoring Model'!$D$16:$D$25,K352)))&gt;0,'Scoring Model'!$B$18,0)</f>
        <v>0</v>
      </c>
      <c r="AC352" s="3" t="n">
        <f aca="false">IF(SUMPRODUCT(--ISNUMBER(SEARCH('Scoring Model'!$G$16:$G$23,K352)))&gt;0,'Scoring Model'!$B$19,0)</f>
        <v>0</v>
      </c>
      <c r="AD352" s="3" t="str">
        <f aca="false">IF(W352="Likely Spam","",SUM(X352:AC352))</f>
        <v/>
      </c>
      <c r="AE352" s="3" t="str">
        <f aca="false">IF(W352="Likely Spam","Spam",IF(AD352&gt;='Scoring Model'!$B$21,"Hot",IF(AD352&gt;='Scoring Model'!$B$22,"Warm","Nurture")))</f>
        <v>Spam</v>
      </c>
      <c r="AF352" s="3" t="str">
        <f aca="false">IF(W352="Likely Spam","Flagged by spam rules",TRIM(IF(X352&gt;=20,"Strong source. ","")&amp;IF(Y352&gt;0,"Company email. ","")&amp;IF(Z352&gt;=15,"High-value product. ","")&amp;IF(AA352&gt;='Scoring Model'!$B$15,"High engagement. ","")&amp;IF(AB352&gt;0,"Buying intent in message. ","")&amp;IF(AC352&lt;0,"Negative intent in message. ","")))</f>
        <v>Flagged by spam rules</v>
      </c>
      <c r="AG352" s="11" t="str">
        <f aca="false">IF(W352="Likely Spam","",1/(1+EXP(-('Conversion Model'!$B$5+IFERROR(INDEX('Conversion Model'!$B$8:$B$14,MATCH(C352,'Conversion Model'!$A$8:$A$14,0)),0)+IFERROR(INDEX('Conversion Model'!$E$8:$E$9,MATCH(F352,'Conversion Model'!$D$8:$D$9,0)),0)+IFERROR(INDEX('Conversion Model'!$H$8:$H$12,MATCH(IF(LEFT(J352,8)="Payments","Payments",IF(LEFT(J352,7)="Lending","Lending",J352)),'Conversion Model'!$G$8:$G$12,0)),0)+MIN(L352,15)*'Conversion Model'!$B$17+IF(SUMPRODUCT(--ISNUMBER(SEARCH('Scoring Model'!$D$16:$D$25,K352)))&gt;0,'Conversion Model'!$B$18,0)+IF(SUMPRODUCT(--ISNUMBER(SEARCH('Scoring Model'!$G$16:$G$23,K352)))&gt;0,'Conversion Model'!$B$19,0)))))</f>
        <v/>
      </c>
      <c r="AH352" s="3" t="str">
        <f aca="false">IF(OR(O352="Qualified",O352="Won",O352="Lost"),1,IF(O352="Unqualified",0,""))</f>
        <v/>
      </c>
    </row>
    <row r="353" customFormat="false" ht="15" hidden="false" customHeight="true" outlineLevel="0" collapsed="false">
      <c r="A353" s="3" t="s">
        <v>1393</v>
      </c>
      <c r="B353" s="9" t="n">
        <v>46100.3097222222</v>
      </c>
      <c r="C353" s="3" t="s">
        <v>51</v>
      </c>
      <c r="D353" s="3" t="s">
        <v>1394</v>
      </c>
      <c r="E353" s="3" t="s">
        <v>1395</v>
      </c>
      <c r="F353" s="3" t="s">
        <v>54</v>
      </c>
      <c r="G353" s="3" t="s">
        <v>79</v>
      </c>
      <c r="H353" s="3"/>
      <c r="I353" s="3" t="s">
        <v>334</v>
      </c>
      <c r="J353" s="3" t="s">
        <v>65</v>
      </c>
      <c r="K353" s="3" t="s">
        <v>363</v>
      </c>
      <c r="L353" s="3" t="n">
        <v>1</v>
      </c>
      <c r="M353" s="3" t="n">
        <v>16.9</v>
      </c>
      <c r="N353" s="3" t="s">
        <v>67</v>
      </c>
      <c r="O353" s="3"/>
      <c r="P353" s="10"/>
      <c r="Q353" s="3" t="n">
        <f aca="false">IF(F353="Disposable",1,0)</f>
        <v>0</v>
      </c>
      <c r="R353" s="3" t="n">
        <f aca="false">IF(SUMPRODUCT(--ISNUMBER(SEARCH('Spam Rules'!$A$22:$A$35,K353)))&gt;0,1,0)</f>
        <v>1</v>
      </c>
      <c r="S353" s="3" t="n">
        <f aca="false">IF(AND(F353="Free",G353=""),1,0)</f>
        <v>0</v>
      </c>
      <c r="T353" s="3" t="n">
        <f aca="false">IF(LEN(TRIM(K353))&lt;15,1,0)</f>
        <v>0</v>
      </c>
      <c r="U353" s="3" t="n">
        <f aca="false">IF(COUNTIF($E$2:$E$801,E353)&gt;1,1,0)</f>
        <v>0</v>
      </c>
      <c r="V353" s="3" t="n">
        <f aca="false">Q353*'Spam Rules'!$H$6+R353*'Spam Rules'!$H$7+S353*'Spam Rules'!$H$8+T353*'Spam Rules'!$H$9+U353*'Spam Rules'!$H$10</f>
        <v>1</v>
      </c>
      <c r="W353" s="3" t="str">
        <f aca="false">IF(V353&gt;='Spam Rules'!$B$3,"Likely Spam","Genuine")</f>
        <v>Likely Spam</v>
      </c>
      <c r="X353" s="3" t="n">
        <f aca="false">IFERROR(INDEX('Scoring Model'!$B$5:$B$11,MATCH(C353,'Scoring Model'!$A$5:$A$11,0)),0)</f>
        <v>10</v>
      </c>
      <c r="Y353" s="3" t="n">
        <f aca="false">IFERROR(INDEX('Scoring Model'!$E$5:$E$7,MATCH(F353,'Scoring Model'!$D$5:$D$7,0)),0)</f>
        <v>0</v>
      </c>
      <c r="Z353" s="3" t="n">
        <f aca="false">IFERROR(INDEX('Scoring Model'!$H$5:$H$13,MATCH(J353,'Scoring Model'!$G$5:$G$13,0)),0)</f>
        <v>0</v>
      </c>
      <c r="AA353" s="3" t="n">
        <f aca="false">IF(L353&gt;='Scoring Model'!$B$14,'Scoring Model'!$B$15,IF(L353&gt;='Scoring Model'!$B$16,'Scoring Model'!$B$17,0))</f>
        <v>0</v>
      </c>
      <c r="AB353" s="3" t="n">
        <f aca="false">IF(SUMPRODUCT(--ISNUMBER(SEARCH('Scoring Model'!$D$16:$D$25,K353)))&gt;0,'Scoring Model'!$B$18,0)</f>
        <v>0</v>
      </c>
      <c r="AC353" s="3" t="n">
        <f aca="false">IF(SUMPRODUCT(--ISNUMBER(SEARCH('Scoring Model'!$G$16:$G$23,K353)))&gt;0,'Scoring Model'!$B$19,0)</f>
        <v>0</v>
      </c>
      <c r="AD353" s="3" t="str">
        <f aca="false">IF(W353="Likely Spam","",SUM(X353:AC353))</f>
        <v/>
      </c>
      <c r="AE353" s="3" t="str">
        <f aca="false">IF(W353="Likely Spam","Spam",IF(AD353&gt;='Scoring Model'!$B$21,"Hot",IF(AD353&gt;='Scoring Model'!$B$22,"Warm","Nurture")))</f>
        <v>Spam</v>
      </c>
      <c r="AF353" s="3" t="str">
        <f aca="false">IF(W353="Likely Spam","Flagged by spam rules",TRIM(IF(X353&gt;=20,"Strong source. ","")&amp;IF(Y353&gt;0,"Company email. ","")&amp;IF(Z353&gt;=15,"High-value product. ","")&amp;IF(AA353&gt;='Scoring Model'!$B$15,"High engagement. ","")&amp;IF(AB353&gt;0,"Buying intent in message. ","")&amp;IF(AC353&lt;0,"Negative intent in message. ","")))</f>
        <v>Flagged by spam rules</v>
      </c>
      <c r="AG353" s="11" t="str">
        <f aca="false">IF(W353="Likely Spam","",1/(1+EXP(-('Conversion Model'!$B$5+IFERROR(INDEX('Conversion Model'!$B$8:$B$14,MATCH(C353,'Conversion Model'!$A$8:$A$14,0)),0)+IFERROR(INDEX('Conversion Model'!$E$8:$E$9,MATCH(F353,'Conversion Model'!$D$8:$D$9,0)),0)+IFERROR(INDEX('Conversion Model'!$H$8:$H$12,MATCH(IF(LEFT(J353,8)="Payments","Payments",IF(LEFT(J353,7)="Lending","Lending",J353)),'Conversion Model'!$G$8:$G$12,0)),0)+MIN(L353,15)*'Conversion Model'!$B$17+IF(SUMPRODUCT(--ISNUMBER(SEARCH('Scoring Model'!$D$16:$D$25,K353)))&gt;0,'Conversion Model'!$B$18,0)+IF(SUMPRODUCT(--ISNUMBER(SEARCH('Scoring Model'!$G$16:$G$23,K353)))&gt;0,'Conversion Model'!$B$19,0)))))</f>
        <v/>
      </c>
      <c r="AH353" s="3" t="str">
        <f aca="false">IF(OR(O353="Qualified",O353="Won",O353="Lost"),1,IF(O353="Unqualified",0,""))</f>
        <v/>
      </c>
    </row>
    <row r="354" customFormat="false" ht="15" hidden="false" customHeight="true" outlineLevel="0" collapsed="false">
      <c r="A354" s="3" t="s">
        <v>1396</v>
      </c>
      <c r="B354" s="9" t="n">
        <v>46100.5319444445</v>
      </c>
      <c r="C354" s="3" t="s">
        <v>91</v>
      </c>
      <c r="D354" s="3" t="s">
        <v>1397</v>
      </c>
      <c r="E354" s="3" t="s">
        <v>1398</v>
      </c>
      <c r="F354" s="3" t="s">
        <v>54</v>
      </c>
      <c r="G354" s="3" t="s">
        <v>1399</v>
      </c>
      <c r="H354" s="3"/>
      <c r="I354" s="3" t="s">
        <v>116</v>
      </c>
      <c r="J354" s="3" t="s">
        <v>81</v>
      </c>
      <c r="K354" s="3" t="s">
        <v>101</v>
      </c>
      <c r="L354" s="3" t="n">
        <v>1</v>
      </c>
      <c r="M354" s="3" t="n">
        <v>72</v>
      </c>
      <c r="N354" s="3" t="s">
        <v>96</v>
      </c>
      <c r="O354" s="3" t="s">
        <v>194</v>
      </c>
      <c r="P354" s="10"/>
      <c r="Q354" s="3" t="n">
        <f aca="false">IF(F354="Disposable",1,0)</f>
        <v>0</v>
      </c>
      <c r="R354" s="3" t="n">
        <f aca="false">IF(SUMPRODUCT(--ISNUMBER(SEARCH('Spam Rules'!$A$22:$A$35,K354)))&gt;0,1,0)</f>
        <v>0</v>
      </c>
      <c r="S354" s="3" t="n">
        <f aca="false">IF(AND(F354="Free",G354=""),1,0)</f>
        <v>0</v>
      </c>
      <c r="T354" s="3" t="n">
        <f aca="false">IF(LEN(TRIM(K354))&lt;15,1,0)</f>
        <v>0</v>
      </c>
      <c r="U354" s="3" t="n">
        <f aca="false">IF(COUNTIF($E$2:$E$801,E354)&gt;1,1,0)</f>
        <v>0</v>
      </c>
      <c r="V354" s="3" t="n">
        <f aca="false">Q354*'Spam Rules'!$H$6+R354*'Spam Rules'!$H$7+S354*'Spam Rules'!$H$8+T354*'Spam Rules'!$H$9+U354*'Spam Rules'!$H$10</f>
        <v>0</v>
      </c>
      <c r="W354" s="3" t="str">
        <f aca="false">IF(V354&gt;='Spam Rules'!$B$3,"Likely Spam","Genuine")</f>
        <v>Genuine</v>
      </c>
      <c r="X354" s="3" t="n">
        <f aca="false">IFERROR(INDEX('Scoring Model'!$B$5:$B$11,MATCH(C354,'Scoring Model'!$A$5:$A$11,0)),0)</f>
        <v>5</v>
      </c>
      <c r="Y354" s="3" t="n">
        <f aca="false">IFERROR(INDEX('Scoring Model'!$E$5:$E$7,MATCH(F354,'Scoring Model'!$D$5:$D$7,0)),0)</f>
        <v>0</v>
      </c>
      <c r="Z354" s="3" t="n">
        <f aca="false">IFERROR(INDEX('Scoring Model'!$H$5:$H$13,MATCH(J354,'Scoring Model'!$G$5:$G$13,0)),0)</f>
        <v>5</v>
      </c>
      <c r="AA354" s="3" t="n">
        <f aca="false">IF(L354&gt;='Scoring Model'!$B$14,'Scoring Model'!$B$15,IF(L354&gt;='Scoring Model'!$B$16,'Scoring Model'!$B$17,0))</f>
        <v>0</v>
      </c>
      <c r="AB354" s="3" t="n">
        <f aca="false">IF(SUMPRODUCT(--ISNUMBER(SEARCH('Scoring Model'!$D$16:$D$25,K354)))&gt;0,'Scoring Model'!$B$18,0)</f>
        <v>0</v>
      </c>
      <c r="AC354" s="3" t="n">
        <f aca="false">IF(SUMPRODUCT(--ISNUMBER(SEARCH('Scoring Model'!$G$16:$G$23,K354)))&gt;0,'Scoring Model'!$B$19,0)</f>
        <v>-30</v>
      </c>
      <c r="AD354" s="3" t="n">
        <f aca="false">IF(W354="Likely Spam","",SUM(X354:AC354))</f>
        <v>-20</v>
      </c>
      <c r="AE354" s="3" t="str">
        <f aca="false">IF(W354="Likely Spam","Spam",IF(AD354&gt;='Scoring Model'!$B$21,"Hot",IF(AD354&gt;='Scoring Model'!$B$22,"Warm","Nurture")))</f>
        <v>Nurture</v>
      </c>
      <c r="AF354" s="3" t="str">
        <f aca="false">IF(W354="Likely Spam","Flagged by spam rules",TRIM(IF(X354&gt;=20,"Strong source. ","")&amp;IF(Y354&gt;0,"Company email. ","")&amp;IF(Z354&gt;=15,"High-value product. ","")&amp;IF(AA354&gt;='Scoring Model'!$B$15,"High engagement. ","")&amp;IF(AB354&gt;0,"Buying intent in message. ","")&amp;IF(AC354&lt;0,"Negative intent in message. ","")))</f>
        <v>Negative intent in message.</v>
      </c>
      <c r="AG354" s="11" t="n">
        <f aca="false">IF(W354="Likely Spam","",1/(1+EXP(-('Conversion Model'!$B$5+IFERROR(INDEX('Conversion Model'!$B$8:$B$14,MATCH(C354,'Conversion Model'!$A$8:$A$14,0)),0)+IFERROR(INDEX('Conversion Model'!$E$8:$E$9,MATCH(F354,'Conversion Model'!$D$8:$D$9,0)),0)+IFERROR(INDEX('Conversion Model'!$H$8:$H$12,MATCH(IF(LEFT(J354,8)="Payments","Payments",IF(LEFT(J354,7)="Lending","Lending",J354)),'Conversion Model'!$G$8:$G$12,0)),0)+MIN(L354,15)*'Conversion Model'!$B$17+IF(SUMPRODUCT(--ISNUMBER(SEARCH('Scoring Model'!$D$16:$D$25,K354)))&gt;0,'Conversion Model'!$B$18,0)+IF(SUMPRODUCT(--ISNUMBER(SEARCH('Scoring Model'!$G$16:$G$23,K354)))&gt;0,'Conversion Model'!$B$19,0)))))</f>
        <v>0.000546734698974953</v>
      </c>
      <c r="AH354" s="3" t="n">
        <f aca="false">IF(OR(O354="Qualified",O354="Won",O354="Lost"),1,IF(O354="Unqualified",0,""))</f>
        <v>0</v>
      </c>
    </row>
    <row r="355" customFormat="false" ht="15" hidden="false" customHeight="true" outlineLevel="0" collapsed="false">
      <c r="A355" s="3" t="s">
        <v>1400</v>
      </c>
      <c r="B355" s="9" t="n">
        <v>46100.5541666667</v>
      </c>
      <c r="C355" s="3" t="s">
        <v>135</v>
      </c>
      <c r="D355" s="3" t="s">
        <v>215</v>
      </c>
      <c r="E355" s="3" t="s">
        <v>216</v>
      </c>
      <c r="F355" s="3" t="s">
        <v>54</v>
      </c>
      <c r="G355" s="3"/>
      <c r="H355" s="3"/>
      <c r="I355" s="3" t="s">
        <v>334</v>
      </c>
      <c r="J355" s="3" t="s">
        <v>122</v>
      </c>
      <c r="K355" s="3" t="s">
        <v>213</v>
      </c>
      <c r="L355" s="3" t="n">
        <v>2</v>
      </c>
      <c r="M355" s="3" t="n">
        <v>116</v>
      </c>
      <c r="N355" s="3" t="s">
        <v>67</v>
      </c>
      <c r="O355" s="3" t="s">
        <v>194</v>
      </c>
      <c r="P355" s="10"/>
      <c r="Q355" s="3" t="n">
        <f aca="false">IF(F355="Disposable",1,0)</f>
        <v>0</v>
      </c>
      <c r="R355" s="3" t="n">
        <f aca="false">IF(SUMPRODUCT(--ISNUMBER(SEARCH('Spam Rules'!$A$22:$A$35,K355)))&gt;0,1,0)</f>
        <v>0</v>
      </c>
      <c r="S355" s="3" t="n">
        <f aca="false">IF(AND(F355="Free",G355=""),1,0)</f>
        <v>1</v>
      </c>
      <c r="T355" s="3" t="n">
        <f aca="false">IF(LEN(TRIM(K355))&lt;15,1,0)</f>
        <v>0</v>
      </c>
      <c r="U355" s="3" t="n">
        <f aca="false">IF(COUNTIF($E$2:$E$801,E355)&gt;1,1,0)</f>
        <v>1</v>
      </c>
      <c r="V355" s="3" t="n">
        <f aca="false">Q355*'Spam Rules'!$H$6+R355*'Spam Rules'!$H$7+S355*'Spam Rules'!$H$8+T355*'Spam Rules'!$H$9+U355*'Spam Rules'!$H$10</f>
        <v>0</v>
      </c>
      <c r="W355" s="3" t="str">
        <f aca="false">IF(V355&gt;='Spam Rules'!$B$3,"Likely Spam","Genuine")</f>
        <v>Genuine</v>
      </c>
      <c r="X355" s="3" t="n">
        <f aca="false">IFERROR(INDEX('Scoring Model'!$B$5:$B$11,MATCH(C355,'Scoring Model'!$A$5:$A$11,0)),0)</f>
        <v>20</v>
      </c>
      <c r="Y355" s="3" t="n">
        <f aca="false">IFERROR(INDEX('Scoring Model'!$E$5:$E$7,MATCH(F355,'Scoring Model'!$D$5:$D$7,0)),0)</f>
        <v>0</v>
      </c>
      <c r="Z355" s="3" t="n">
        <f aca="false">IFERROR(INDEX('Scoring Model'!$H$5:$H$13,MATCH(J355,'Scoring Model'!$G$5:$G$13,0)),0)</f>
        <v>15</v>
      </c>
      <c r="AA355" s="3" t="n">
        <f aca="false">IF(L355&gt;='Scoring Model'!$B$14,'Scoring Model'!$B$15,IF(L355&gt;='Scoring Model'!$B$16,'Scoring Model'!$B$17,0))</f>
        <v>0</v>
      </c>
      <c r="AB355" s="3" t="n">
        <f aca="false">IF(SUMPRODUCT(--ISNUMBER(SEARCH('Scoring Model'!$D$16:$D$25,K355)))&gt;0,'Scoring Model'!$B$18,0)</f>
        <v>0</v>
      </c>
      <c r="AC355" s="3" t="n">
        <f aca="false">IF(SUMPRODUCT(--ISNUMBER(SEARCH('Scoring Model'!$G$16:$G$23,K355)))&gt;0,'Scoring Model'!$B$19,0)</f>
        <v>-30</v>
      </c>
      <c r="AD355" s="3" t="n">
        <f aca="false">IF(W355="Likely Spam","",SUM(X355:AC355))</f>
        <v>5</v>
      </c>
      <c r="AE355" s="3" t="str">
        <f aca="false">IF(W355="Likely Spam","Spam",IF(AD355&gt;='Scoring Model'!$B$21,"Hot",IF(AD355&gt;='Scoring Model'!$B$22,"Warm","Nurture")))</f>
        <v>Nurture</v>
      </c>
      <c r="AF355" s="3" t="str">
        <f aca="false">IF(W355="Likely Spam","Flagged by spam rules",TRIM(IF(X355&gt;=20,"Strong source. ","")&amp;IF(Y355&gt;0,"Company email. ","")&amp;IF(Z355&gt;=15,"High-value product. ","")&amp;IF(AA355&gt;='Scoring Model'!$B$15,"High engagement. ","")&amp;IF(AB355&gt;0,"Buying intent in message. ","")&amp;IF(AC355&lt;0,"Negative intent in message. ","")))</f>
        <v>Strong source. High-value product. Negative intent in message.</v>
      </c>
      <c r="AG355" s="11" t="n">
        <f aca="false">IF(W355="Likely Spam","",1/(1+EXP(-('Conversion Model'!$B$5+IFERROR(INDEX('Conversion Model'!$B$8:$B$14,MATCH(C355,'Conversion Model'!$A$8:$A$14,0)),0)+IFERROR(INDEX('Conversion Model'!$E$8:$E$9,MATCH(F355,'Conversion Model'!$D$8:$D$9,0)),0)+IFERROR(INDEX('Conversion Model'!$H$8:$H$12,MATCH(IF(LEFT(J355,8)="Payments","Payments",IF(LEFT(J355,7)="Lending","Lending",J355)),'Conversion Model'!$G$8:$G$12,0)),0)+MIN(L355,15)*'Conversion Model'!$B$17+IF(SUMPRODUCT(--ISNUMBER(SEARCH('Scoring Model'!$D$16:$D$25,K355)))&gt;0,'Conversion Model'!$B$18,0)+IF(SUMPRODUCT(--ISNUMBER(SEARCH('Scoring Model'!$G$16:$G$23,K355)))&gt;0,'Conversion Model'!$B$19,0)))))</f>
        <v>0.00585259696543684</v>
      </c>
      <c r="AH355" s="3" t="n">
        <f aca="false">IF(OR(O355="Qualified",O355="Won",O355="Lost"),1,IF(O355="Unqualified",0,""))</f>
        <v>0</v>
      </c>
    </row>
    <row r="356" customFormat="false" ht="15" hidden="false" customHeight="true" outlineLevel="0" collapsed="false">
      <c r="A356" s="3" t="s">
        <v>1401</v>
      </c>
      <c r="B356" s="9" t="n">
        <v>46101.1493055556</v>
      </c>
      <c r="C356" s="3" t="s">
        <v>51</v>
      </c>
      <c r="D356" s="3" t="s">
        <v>1402</v>
      </c>
      <c r="E356" s="3" t="s">
        <v>1403</v>
      </c>
      <c r="F356" s="3" t="s">
        <v>54</v>
      </c>
      <c r="G356" s="3" t="s">
        <v>237</v>
      </c>
      <c r="H356" s="3"/>
      <c r="I356" s="3" t="s">
        <v>73</v>
      </c>
      <c r="J356" s="3" t="s">
        <v>122</v>
      </c>
      <c r="K356" s="3" t="s">
        <v>657</v>
      </c>
      <c r="L356" s="3" t="n">
        <v>2</v>
      </c>
      <c r="M356" s="3" t="n">
        <v>37.9</v>
      </c>
      <c r="N356" s="3" t="s">
        <v>67</v>
      </c>
      <c r="O356" s="3" t="s">
        <v>68</v>
      </c>
      <c r="P356" s="10"/>
      <c r="Q356" s="3" t="n">
        <f aca="false">IF(F356="Disposable",1,0)</f>
        <v>0</v>
      </c>
      <c r="R356" s="3" t="n">
        <f aca="false">IF(SUMPRODUCT(--ISNUMBER(SEARCH('Spam Rules'!$A$22:$A$35,K356)))&gt;0,1,0)</f>
        <v>1</v>
      </c>
      <c r="S356" s="3" t="n">
        <f aca="false">IF(AND(F356="Free",G356=""),1,0)</f>
        <v>0</v>
      </c>
      <c r="T356" s="3" t="n">
        <f aca="false">IF(LEN(TRIM(K356))&lt;15,1,0)</f>
        <v>0</v>
      </c>
      <c r="U356" s="3" t="n">
        <f aca="false">IF(COUNTIF($E$2:$E$801,E356)&gt;1,1,0)</f>
        <v>0</v>
      </c>
      <c r="V356" s="3" t="n">
        <f aca="false">Q356*'Spam Rules'!$H$6+R356*'Spam Rules'!$H$7+S356*'Spam Rules'!$H$8+T356*'Spam Rules'!$H$9+U356*'Spam Rules'!$H$10</f>
        <v>1</v>
      </c>
      <c r="W356" s="3" t="str">
        <f aca="false">IF(V356&gt;='Spam Rules'!$B$3,"Likely Spam","Genuine")</f>
        <v>Likely Spam</v>
      </c>
      <c r="X356" s="3" t="n">
        <f aca="false">IFERROR(INDEX('Scoring Model'!$B$5:$B$11,MATCH(C356,'Scoring Model'!$A$5:$A$11,0)),0)</f>
        <v>10</v>
      </c>
      <c r="Y356" s="3" t="n">
        <f aca="false">IFERROR(INDEX('Scoring Model'!$E$5:$E$7,MATCH(F356,'Scoring Model'!$D$5:$D$7,0)),0)</f>
        <v>0</v>
      </c>
      <c r="Z356" s="3" t="n">
        <f aca="false">IFERROR(INDEX('Scoring Model'!$H$5:$H$13,MATCH(J356,'Scoring Model'!$G$5:$G$13,0)),0)</f>
        <v>15</v>
      </c>
      <c r="AA356" s="3" t="n">
        <f aca="false">IF(L356&gt;='Scoring Model'!$B$14,'Scoring Model'!$B$15,IF(L356&gt;='Scoring Model'!$B$16,'Scoring Model'!$B$17,0))</f>
        <v>0</v>
      </c>
      <c r="AB356" s="3" t="n">
        <f aca="false">IF(SUMPRODUCT(--ISNUMBER(SEARCH('Scoring Model'!$D$16:$D$25,K356)))&gt;0,'Scoring Model'!$B$18,0)</f>
        <v>0</v>
      </c>
      <c r="AC356" s="3" t="n">
        <f aca="false">IF(SUMPRODUCT(--ISNUMBER(SEARCH('Scoring Model'!$G$16:$G$23,K356)))&gt;0,'Scoring Model'!$B$19,0)</f>
        <v>0</v>
      </c>
      <c r="AD356" s="3" t="str">
        <f aca="false">IF(W356="Likely Spam","",SUM(X356:AC356))</f>
        <v/>
      </c>
      <c r="AE356" s="3" t="str">
        <f aca="false">IF(W356="Likely Spam","Spam",IF(AD356&gt;='Scoring Model'!$B$21,"Hot",IF(AD356&gt;='Scoring Model'!$B$22,"Warm","Nurture")))</f>
        <v>Spam</v>
      </c>
      <c r="AF356" s="3" t="str">
        <f aca="false">IF(W356="Likely Spam","Flagged by spam rules",TRIM(IF(X356&gt;=20,"Strong source. ","")&amp;IF(Y356&gt;0,"Company email. ","")&amp;IF(Z356&gt;=15,"High-value product. ","")&amp;IF(AA356&gt;='Scoring Model'!$B$15,"High engagement. ","")&amp;IF(AB356&gt;0,"Buying intent in message. ","")&amp;IF(AC356&lt;0,"Negative intent in message. ","")))</f>
        <v>Flagged by spam rules</v>
      </c>
      <c r="AG356" s="11" t="str">
        <f aca="false">IF(W356="Likely Spam","",1/(1+EXP(-('Conversion Model'!$B$5+IFERROR(INDEX('Conversion Model'!$B$8:$B$14,MATCH(C356,'Conversion Model'!$A$8:$A$14,0)),0)+IFERROR(INDEX('Conversion Model'!$E$8:$E$9,MATCH(F356,'Conversion Model'!$D$8:$D$9,0)),0)+IFERROR(INDEX('Conversion Model'!$H$8:$H$12,MATCH(IF(LEFT(J356,8)="Payments","Payments",IF(LEFT(J356,7)="Lending","Lending",J356)),'Conversion Model'!$G$8:$G$12,0)),0)+MIN(L356,15)*'Conversion Model'!$B$17+IF(SUMPRODUCT(--ISNUMBER(SEARCH('Scoring Model'!$D$16:$D$25,K356)))&gt;0,'Conversion Model'!$B$18,0)+IF(SUMPRODUCT(--ISNUMBER(SEARCH('Scoring Model'!$G$16:$G$23,K356)))&gt;0,'Conversion Model'!$B$19,0)))))</f>
        <v/>
      </c>
      <c r="AH356" s="3" t="str">
        <f aca="false">IF(OR(O356="Qualified",O356="Won",O356="Lost"),1,IF(O356="Unqualified",0,""))</f>
        <v/>
      </c>
    </row>
    <row r="357" customFormat="false" ht="15" hidden="false" customHeight="true" outlineLevel="0" collapsed="false">
      <c r="A357" s="3" t="s">
        <v>1404</v>
      </c>
      <c r="B357" s="9" t="n">
        <v>46101.7069444444</v>
      </c>
      <c r="C357" s="3" t="s">
        <v>51</v>
      </c>
      <c r="D357" s="3" t="s">
        <v>1405</v>
      </c>
      <c r="E357" s="3" t="s">
        <v>1406</v>
      </c>
      <c r="F357" s="3" t="s">
        <v>22</v>
      </c>
      <c r="G357" s="3" t="s">
        <v>1407</v>
      </c>
      <c r="H357" s="3" t="s">
        <v>1408</v>
      </c>
      <c r="I357" s="3" t="s">
        <v>204</v>
      </c>
      <c r="J357" s="3" t="s">
        <v>57</v>
      </c>
      <c r="K357" s="3" t="s">
        <v>1409</v>
      </c>
      <c r="L357" s="3" t="n">
        <v>12</v>
      </c>
      <c r="M357" s="3" t="n">
        <v>17.1</v>
      </c>
      <c r="N357" s="3" t="s">
        <v>59</v>
      </c>
      <c r="O357" s="3" t="s">
        <v>147</v>
      </c>
      <c r="P357" s="10" t="n">
        <v>60000</v>
      </c>
      <c r="Q357" s="3" t="n">
        <f aca="false">IF(F357="Disposable",1,0)</f>
        <v>0</v>
      </c>
      <c r="R357" s="3" t="n">
        <f aca="false">IF(SUMPRODUCT(--ISNUMBER(SEARCH('Spam Rules'!$A$22:$A$35,K357)))&gt;0,1,0)</f>
        <v>0</v>
      </c>
      <c r="S357" s="3" t="n">
        <f aca="false">IF(AND(F357="Free",G357=""),1,0)</f>
        <v>0</v>
      </c>
      <c r="T357" s="3" t="n">
        <f aca="false">IF(LEN(TRIM(K357))&lt;15,1,0)</f>
        <v>0</v>
      </c>
      <c r="U357" s="3" t="n">
        <f aca="false">IF(COUNTIF($E$2:$E$801,E357)&gt;1,1,0)</f>
        <v>0</v>
      </c>
      <c r="V357" s="3" t="n">
        <f aca="false">Q357*'Spam Rules'!$H$6+R357*'Spam Rules'!$H$7+S357*'Spam Rules'!$H$8+T357*'Spam Rules'!$H$9+U357*'Spam Rules'!$H$10</f>
        <v>0</v>
      </c>
      <c r="W357" s="3" t="str">
        <f aca="false">IF(V357&gt;='Spam Rules'!$B$3,"Likely Spam","Genuine")</f>
        <v>Genuine</v>
      </c>
      <c r="X357" s="3" t="n">
        <f aca="false">IFERROR(INDEX('Scoring Model'!$B$5:$B$11,MATCH(C357,'Scoring Model'!$A$5:$A$11,0)),0)</f>
        <v>10</v>
      </c>
      <c r="Y357" s="3" t="n">
        <f aca="false">IFERROR(INDEX('Scoring Model'!$E$5:$E$7,MATCH(F357,'Scoring Model'!$D$5:$D$7,0)),0)</f>
        <v>20</v>
      </c>
      <c r="Z357" s="3" t="n">
        <f aca="false">IFERROR(INDEX('Scoring Model'!$H$5:$H$13,MATCH(J357,'Scoring Model'!$G$5:$G$13,0)),0)</f>
        <v>15</v>
      </c>
      <c r="AA357" s="3" t="n">
        <f aca="false">IF(L357&gt;='Scoring Model'!$B$14,'Scoring Model'!$B$15,IF(L357&gt;='Scoring Model'!$B$16,'Scoring Model'!$B$17,0))</f>
        <v>15</v>
      </c>
      <c r="AB357" s="3" t="n">
        <f aca="false">IF(SUMPRODUCT(--ISNUMBER(SEARCH('Scoring Model'!$D$16:$D$25,K357)))&gt;0,'Scoring Model'!$B$18,0)</f>
        <v>15</v>
      </c>
      <c r="AC357" s="3" t="n">
        <f aca="false">IF(SUMPRODUCT(--ISNUMBER(SEARCH('Scoring Model'!$G$16:$G$23,K357)))&gt;0,'Scoring Model'!$B$19,0)</f>
        <v>0</v>
      </c>
      <c r="AD357" s="3" t="n">
        <f aca="false">IF(W357="Likely Spam","",SUM(X357:AC357))</f>
        <v>75</v>
      </c>
      <c r="AE357" s="3" t="str">
        <f aca="false">IF(W357="Likely Spam","Spam",IF(AD357&gt;='Scoring Model'!$B$21,"Hot",IF(AD357&gt;='Scoring Model'!$B$22,"Warm","Nurture")))</f>
        <v>Hot</v>
      </c>
      <c r="AF357" s="3" t="str">
        <f aca="false">IF(W357="Likely Spam","Flagged by spam rules",TRIM(IF(X357&gt;=20,"Strong source. ","")&amp;IF(Y357&gt;0,"Company email. ","")&amp;IF(Z357&gt;=15,"High-value product. ","")&amp;IF(AA357&gt;='Scoring Model'!$B$15,"High engagement. ","")&amp;IF(AB357&gt;0,"Buying intent in message. ","")&amp;IF(AC357&lt;0,"Negative intent in message. ","")))</f>
        <v>Company email. High-value product. High engagement. Buying intent in message.</v>
      </c>
      <c r="AG357" s="11" t="n">
        <f aca="false">IF(W357="Likely Spam","",1/(1+EXP(-('Conversion Model'!$B$5+IFERROR(INDEX('Conversion Model'!$B$8:$B$14,MATCH(C357,'Conversion Model'!$A$8:$A$14,0)),0)+IFERROR(INDEX('Conversion Model'!$E$8:$E$9,MATCH(F357,'Conversion Model'!$D$8:$D$9,0)),0)+IFERROR(INDEX('Conversion Model'!$H$8:$H$12,MATCH(IF(LEFT(J357,8)="Payments","Payments",IF(LEFT(J357,7)="Lending","Lending",J357)),'Conversion Model'!$G$8:$G$12,0)),0)+MIN(L357,15)*'Conversion Model'!$B$17+IF(SUMPRODUCT(--ISNUMBER(SEARCH('Scoring Model'!$D$16:$D$25,K357)))&gt;0,'Conversion Model'!$B$18,0)+IF(SUMPRODUCT(--ISNUMBER(SEARCH('Scoring Model'!$G$16:$G$23,K357)))&gt;0,'Conversion Model'!$B$19,0)))))</f>
        <v>0.998339542044816</v>
      </c>
      <c r="AH357" s="3" t="n">
        <f aca="false">IF(OR(O357="Qualified",O357="Won",O357="Lost"),1,IF(O357="Unqualified",0,""))</f>
        <v>1</v>
      </c>
    </row>
    <row r="358" customFormat="false" ht="15" hidden="false" customHeight="true" outlineLevel="0" collapsed="false">
      <c r="A358" s="3" t="s">
        <v>1410</v>
      </c>
      <c r="B358" s="9" t="n">
        <v>46103.175</v>
      </c>
      <c r="C358" s="3" t="s">
        <v>135</v>
      </c>
      <c r="D358" s="3" t="s">
        <v>1411</v>
      </c>
      <c r="E358" s="3" t="s">
        <v>1412</v>
      </c>
      <c r="F358" s="3" t="s">
        <v>22</v>
      </c>
      <c r="G358" s="3" t="s">
        <v>307</v>
      </c>
      <c r="H358" s="3" t="s">
        <v>308</v>
      </c>
      <c r="I358" s="3" t="s">
        <v>73</v>
      </c>
      <c r="J358" s="3" t="s">
        <v>165</v>
      </c>
      <c r="K358" s="3" t="s">
        <v>228</v>
      </c>
      <c r="L358" s="3" t="n">
        <v>1</v>
      </c>
      <c r="M358" s="3" t="n">
        <v>33.7</v>
      </c>
      <c r="N358" s="3" t="s">
        <v>59</v>
      </c>
      <c r="O358" s="3" t="s">
        <v>133</v>
      </c>
      <c r="P358" s="10"/>
      <c r="Q358" s="3" t="n">
        <f aca="false">IF(F358="Disposable",1,0)</f>
        <v>0</v>
      </c>
      <c r="R358" s="3" t="n">
        <f aca="false">IF(SUMPRODUCT(--ISNUMBER(SEARCH('Spam Rules'!$A$22:$A$35,K358)))&gt;0,1,0)</f>
        <v>0</v>
      </c>
      <c r="S358" s="3" t="n">
        <f aca="false">IF(AND(F358="Free",G358=""),1,0)</f>
        <v>0</v>
      </c>
      <c r="T358" s="3" t="n">
        <f aca="false">IF(LEN(TRIM(K358))&lt;15,1,0)</f>
        <v>0</v>
      </c>
      <c r="U358" s="3" t="n">
        <f aca="false">IF(COUNTIF($E$2:$E$801,E358)&gt;1,1,0)</f>
        <v>0</v>
      </c>
      <c r="V358" s="3" t="n">
        <f aca="false">Q358*'Spam Rules'!$H$6+R358*'Spam Rules'!$H$7+S358*'Spam Rules'!$H$8+T358*'Spam Rules'!$H$9+U358*'Spam Rules'!$H$10</f>
        <v>0</v>
      </c>
      <c r="W358" s="3" t="str">
        <f aca="false">IF(V358&gt;='Spam Rules'!$B$3,"Likely Spam","Genuine")</f>
        <v>Genuine</v>
      </c>
      <c r="X358" s="3" t="n">
        <f aca="false">IFERROR(INDEX('Scoring Model'!$B$5:$B$11,MATCH(C358,'Scoring Model'!$A$5:$A$11,0)),0)</f>
        <v>20</v>
      </c>
      <c r="Y358" s="3" t="n">
        <f aca="false">IFERROR(INDEX('Scoring Model'!$E$5:$E$7,MATCH(F358,'Scoring Model'!$D$5:$D$7,0)),0)</f>
        <v>20</v>
      </c>
      <c r="Z358" s="3" t="n">
        <f aca="false">IFERROR(INDEX('Scoring Model'!$H$5:$H$13,MATCH(J358,'Scoring Model'!$G$5:$G$13,0)),0)</f>
        <v>15</v>
      </c>
      <c r="AA358" s="3" t="n">
        <f aca="false">IF(L358&gt;='Scoring Model'!$B$14,'Scoring Model'!$B$15,IF(L358&gt;='Scoring Model'!$B$16,'Scoring Model'!$B$17,0))</f>
        <v>0</v>
      </c>
      <c r="AB358" s="3" t="n">
        <f aca="false">IF(SUMPRODUCT(--ISNUMBER(SEARCH('Scoring Model'!$D$16:$D$25,K358)))&gt;0,'Scoring Model'!$B$18,0)</f>
        <v>15</v>
      </c>
      <c r="AC358" s="3" t="n">
        <f aca="false">IF(SUMPRODUCT(--ISNUMBER(SEARCH('Scoring Model'!$G$16:$G$23,K358)))&gt;0,'Scoring Model'!$B$19,0)</f>
        <v>0</v>
      </c>
      <c r="AD358" s="3" t="n">
        <f aca="false">IF(W358="Likely Spam","",SUM(X358:AC358))</f>
        <v>70</v>
      </c>
      <c r="AE358" s="3" t="str">
        <f aca="false">IF(W358="Likely Spam","Spam",IF(AD358&gt;='Scoring Model'!$B$21,"Hot",IF(AD358&gt;='Scoring Model'!$B$22,"Warm","Nurture")))</f>
        <v>Hot</v>
      </c>
      <c r="AF358" s="3" t="str">
        <f aca="false">IF(W358="Likely Spam","Flagged by spam rules",TRIM(IF(X358&gt;=20,"Strong source. ","")&amp;IF(Y358&gt;0,"Company email. ","")&amp;IF(Z358&gt;=15,"High-value product. ","")&amp;IF(AA358&gt;='Scoring Model'!$B$15,"High engagement. ","")&amp;IF(AB358&gt;0,"Buying intent in message. ","")&amp;IF(AC358&lt;0,"Negative intent in message. ","")))</f>
        <v>Strong source. Company email. High-value product. Buying intent in message.</v>
      </c>
      <c r="AG358" s="11" t="n">
        <f aca="false">IF(W358="Likely Spam","",1/(1+EXP(-('Conversion Model'!$B$5+IFERROR(INDEX('Conversion Model'!$B$8:$B$14,MATCH(C358,'Conversion Model'!$A$8:$A$14,0)),0)+IFERROR(INDEX('Conversion Model'!$E$8:$E$9,MATCH(F358,'Conversion Model'!$D$8:$D$9,0)),0)+IFERROR(INDEX('Conversion Model'!$H$8:$H$12,MATCH(IF(LEFT(J358,8)="Payments","Payments",IF(LEFT(J358,7)="Lending","Lending",J358)),'Conversion Model'!$G$8:$G$12,0)),0)+MIN(L358,15)*'Conversion Model'!$B$17+IF(SUMPRODUCT(--ISNUMBER(SEARCH('Scoring Model'!$D$16:$D$25,K358)))&gt;0,'Conversion Model'!$B$18,0)+IF(SUMPRODUCT(--ISNUMBER(SEARCH('Scoring Model'!$G$16:$G$23,K358)))&gt;0,'Conversion Model'!$B$19,0)))))</f>
        <v>0.175519983799844</v>
      </c>
      <c r="AH358" s="3" t="str">
        <f aca="false">IF(OR(O358="Qualified",O358="Won",O358="Lost"),1,IF(O358="Unqualified",0,""))</f>
        <v/>
      </c>
    </row>
    <row r="359" customFormat="false" ht="15" hidden="false" customHeight="true" outlineLevel="0" collapsed="false">
      <c r="A359" s="3" t="s">
        <v>1413</v>
      </c>
      <c r="B359" s="9" t="n">
        <v>46104.3361111111</v>
      </c>
      <c r="C359" s="3" t="s">
        <v>76</v>
      </c>
      <c r="D359" s="3" t="s">
        <v>327</v>
      </c>
      <c r="E359" s="3" t="s">
        <v>1414</v>
      </c>
      <c r="F359" s="3" t="s">
        <v>54</v>
      </c>
      <c r="G359" s="3" t="s">
        <v>79</v>
      </c>
      <c r="H359" s="3"/>
      <c r="I359" s="3" t="s">
        <v>88</v>
      </c>
      <c r="J359" s="3" t="s">
        <v>65</v>
      </c>
      <c r="K359" s="3" t="s">
        <v>82</v>
      </c>
      <c r="L359" s="3" t="n">
        <v>2</v>
      </c>
      <c r="M359" s="3"/>
      <c r="N359" s="3" t="s">
        <v>96</v>
      </c>
      <c r="O359" s="3" t="s">
        <v>68</v>
      </c>
      <c r="P359" s="10"/>
      <c r="Q359" s="3" t="n">
        <f aca="false">IF(F359="Disposable",1,0)</f>
        <v>0</v>
      </c>
      <c r="R359" s="3" t="n">
        <f aca="false">IF(SUMPRODUCT(--ISNUMBER(SEARCH('Spam Rules'!$A$22:$A$35,K359)))&gt;0,1,0)</f>
        <v>1</v>
      </c>
      <c r="S359" s="3" t="n">
        <f aca="false">IF(AND(F359="Free",G359=""),1,0)</f>
        <v>0</v>
      </c>
      <c r="T359" s="3" t="n">
        <f aca="false">IF(LEN(TRIM(K359))&lt;15,1,0)</f>
        <v>0</v>
      </c>
      <c r="U359" s="3" t="n">
        <f aca="false">IF(COUNTIF($E$2:$E$801,E359)&gt;1,1,0)</f>
        <v>0</v>
      </c>
      <c r="V359" s="3" t="n">
        <f aca="false">Q359*'Spam Rules'!$H$6+R359*'Spam Rules'!$H$7+S359*'Spam Rules'!$H$8+T359*'Spam Rules'!$H$9+U359*'Spam Rules'!$H$10</f>
        <v>1</v>
      </c>
      <c r="W359" s="3" t="str">
        <f aca="false">IF(V359&gt;='Spam Rules'!$B$3,"Likely Spam","Genuine")</f>
        <v>Likely Spam</v>
      </c>
      <c r="X359" s="3" t="n">
        <f aca="false">IFERROR(INDEX('Scoring Model'!$B$5:$B$11,MATCH(C359,'Scoring Model'!$A$5:$A$11,0)),0)</f>
        <v>0</v>
      </c>
      <c r="Y359" s="3" t="n">
        <f aca="false">IFERROR(INDEX('Scoring Model'!$E$5:$E$7,MATCH(F359,'Scoring Model'!$D$5:$D$7,0)),0)</f>
        <v>0</v>
      </c>
      <c r="Z359" s="3" t="n">
        <f aca="false">IFERROR(INDEX('Scoring Model'!$H$5:$H$13,MATCH(J359,'Scoring Model'!$G$5:$G$13,0)),0)</f>
        <v>0</v>
      </c>
      <c r="AA359" s="3" t="n">
        <f aca="false">IF(L359&gt;='Scoring Model'!$B$14,'Scoring Model'!$B$15,IF(L359&gt;='Scoring Model'!$B$16,'Scoring Model'!$B$17,0))</f>
        <v>0</v>
      </c>
      <c r="AB359" s="3" t="n">
        <f aca="false">IF(SUMPRODUCT(--ISNUMBER(SEARCH('Scoring Model'!$D$16:$D$25,K359)))&gt;0,'Scoring Model'!$B$18,0)</f>
        <v>0</v>
      </c>
      <c r="AC359" s="3" t="n">
        <f aca="false">IF(SUMPRODUCT(--ISNUMBER(SEARCH('Scoring Model'!$G$16:$G$23,K359)))&gt;0,'Scoring Model'!$B$19,0)</f>
        <v>0</v>
      </c>
      <c r="AD359" s="3" t="str">
        <f aca="false">IF(W359="Likely Spam","",SUM(X359:AC359))</f>
        <v/>
      </c>
      <c r="AE359" s="3" t="str">
        <f aca="false">IF(W359="Likely Spam","Spam",IF(AD359&gt;='Scoring Model'!$B$21,"Hot",IF(AD359&gt;='Scoring Model'!$B$22,"Warm","Nurture")))</f>
        <v>Spam</v>
      </c>
      <c r="AF359" s="3" t="str">
        <f aca="false">IF(W359="Likely Spam","Flagged by spam rules",TRIM(IF(X359&gt;=20,"Strong source. ","")&amp;IF(Y359&gt;0,"Company email. ","")&amp;IF(Z359&gt;=15,"High-value product. ","")&amp;IF(AA359&gt;='Scoring Model'!$B$15,"High engagement. ","")&amp;IF(AB359&gt;0,"Buying intent in message. ","")&amp;IF(AC359&lt;0,"Negative intent in message. ","")))</f>
        <v>Flagged by spam rules</v>
      </c>
      <c r="AG359" s="11" t="str">
        <f aca="false">IF(W359="Likely Spam","",1/(1+EXP(-('Conversion Model'!$B$5+IFERROR(INDEX('Conversion Model'!$B$8:$B$14,MATCH(C359,'Conversion Model'!$A$8:$A$14,0)),0)+IFERROR(INDEX('Conversion Model'!$E$8:$E$9,MATCH(F359,'Conversion Model'!$D$8:$D$9,0)),0)+IFERROR(INDEX('Conversion Model'!$H$8:$H$12,MATCH(IF(LEFT(J359,8)="Payments","Payments",IF(LEFT(J359,7)="Lending","Lending",J359)),'Conversion Model'!$G$8:$G$12,0)),0)+MIN(L359,15)*'Conversion Model'!$B$17+IF(SUMPRODUCT(--ISNUMBER(SEARCH('Scoring Model'!$D$16:$D$25,K359)))&gt;0,'Conversion Model'!$B$18,0)+IF(SUMPRODUCT(--ISNUMBER(SEARCH('Scoring Model'!$G$16:$G$23,K359)))&gt;0,'Conversion Model'!$B$19,0)))))</f>
        <v/>
      </c>
      <c r="AH359" s="3" t="str">
        <f aca="false">IF(OR(O359="Qualified",O359="Won",O359="Lost"),1,IF(O359="Unqualified",0,""))</f>
        <v/>
      </c>
    </row>
    <row r="360" customFormat="false" ht="15" hidden="false" customHeight="true" outlineLevel="0" collapsed="false">
      <c r="A360" s="3" t="s">
        <v>1415</v>
      </c>
      <c r="B360" s="9" t="n">
        <v>46105.2319444444</v>
      </c>
      <c r="C360" s="3" t="s">
        <v>76</v>
      </c>
      <c r="D360" s="3" t="s">
        <v>500</v>
      </c>
      <c r="E360" s="3" t="s">
        <v>1416</v>
      </c>
      <c r="F360" s="3" t="s">
        <v>54</v>
      </c>
      <c r="G360" s="3" t="s">
        <v>1417</v>
      </c>
      <c r="H360" s="3"/>
      <c r="I360" s="3" t="s">
        <v>227</v>
      </c>
      <c r="J360" s="3" t="s">
        <v>122</v>
      </c>
      <c r="K360" s="3" t="s">
        <v>193</v>
      </c>
      <c r="L360" s="3" t="n">
        <v>1</v>
      </c>
      <c r="M360" s="3" t="n">
        <v>21.6</v>
      </c>
      <c r="N360" s="3" t="s">
        <v>67</v>
      </c>
      <c r="O360" s="3"/>
      <c r="P360" s="10"/>
      <c r="Q360" s="3" t="n">
        <f aca="false">IF(F360="Disposable",1,0)</f>
        <v>0</v>
      </c>
      <c r="R360" s="3" t="n">
        <f aca="false">IF(SUMPRODUCT(--ISNUMBER(SEARCH('Spam Rules'!$A$22:$A$35,K360)))&gt;0,1,0)</f>
        <v>0</v>
      </c>
      <c r="S360" s="3" t="n">
        <f aca="false">IF(AND(F360="Free",G360=""),1,0)</f>
        <v>0</v>
      </c>
      <c r="T360" s="3" t="n">
        <f aca="false">IF(LEN(TRIM(K360))&lt;15,1,0)</f>
        <v>0</v>
      </c>
      <c r="U360" s="3" t="n">
        <f aca="false">IF(COUNTIF($E$2:$E$801,E360)&gt;1,1,0)</f>
        <v>0</v>
      </c>
      <c r="V360" s="3" t="n">
        <f aca="false">Q360*'Spam Rules'!$H$6+R360*'Spam Rules'!$H$7+S360*'Spam Rules'!$H$8+T360*'Spam Rules'!$H$9+U360*'Spam Rules'!$H$10</f>
        <v>0</v>
      </c>
      <c r="W360" s="3" t="str">
        <f aca="false">IF(V360&gt;='Spam Rules'!$B$3,"Likely Spam","Genuine")</f>
        <v>Genuine</v>
      </c>
      <c r="X360" s="3" t="n">
        <f aca="false">IFERROR(INDEX('Scoring Model'!$B$5:$B$11,MATCH(C360,'Scoring Model'!$A$5:$A$11,0)),0)</f>
        <v>0</v>
      </c>
      <c r="Y360" s="3" t="n">
        <f aca="false">IFERROR(INDEX('Scoring Model'!$E$5:$E$7,MATCH(F360,'Scoring Model'!$D$5:$D$7,0)),0)</f>
        <v>0</v>
      </c>
      <c r="Z360" s="3" t="n">
        <f aca="false">IFERROR(INDEX('Scoring Model'!$H$5:$H$13,MATCH(J360,'Scoring Model'!$G$5:$G$13,0)),0)</f>
        <v>15</v>
      </c>
      <c r="AA360" s="3" t="n">
        <f aca="false">IF(L360&gt;='Scoring Model'!$B$14,'Scoring Model'!$B$15,IF(L360&gt;='Scoring Model'!$B$16,'Scoring Model'!$B$17,0))</f>
        <v>0</v>
      </c>
      <c r="AB360" s="3" t="n">
        <f aca="false">IF(SUMPRODUCT(--ISNUMBER(SEARCH('Scoring Model'!$D$16:$D$25,K360)))&gt;0,'Scoring Model'!$B$18,0)</f>
        <v>0</v>
      </c>
      <c r="AC360" s="3" t="n">
        <f aca="false">IF(SUMPRODUCT(--ISNUMBER(SEARCH('Scoring Model'!$G$16:$G$23,K360)))&gt;0,'Scoring Model'!$B$19,0)</f>
        <v>-30</v>
      </c>
      <c r="AD360" s="3" t="n">
        <f aca="false">IF(W360="Likely Spam","",SUM(X360:AC360))</f>
        <v>-15</v>
      </c>
      <c r="AE360" s="3" t="str">
        <f aca="false">IF(W360="Likely Spam","Spam",IF(AD360&gt;='Scoring Model'!$B$21,"Hot",IF(AD360&gt;='Scoring Model'!$B$22,"Warm","Nurture")))</f>
        <v>Nurture</v>
      </c>
      <c r="AF360" s="3" t="str">
        <f aca="false">IF(W360="Likely Spam","Flagged by spam rules",TRIM(IF(X360&gt;=20,"Strong source. ","")&amp;IF(Y360&gt;0,"Company email. ","")&amp;IF(Z360&gt;=15,"High-value product. ","")&amp;IF(AA360&gt;='Scoring Model'!$B$15,"High engagement. ","")&amp;IF(AB360&gt;0,"Buying intent in message. ","")&amp;IF(AC360&lt;0,"Negative intent in message. ","")))</f>
        <v>High-value product. Negative intent in message.</v>
      </c>
      <c r="AG360" s="11" t="n">
        <f aca="false">IF(W360="Likely Spam","",1/(1+EXP(-('Conversion Model'!$B$5+IFERROR(INDEX('Conversion Model'!$B$8:$B$14,MATCH(C360,'Conversion Model'!$A$8:$A$14,0)),0)+IFERROR(INDEX('Conversion Model'!$E$8:$E$9,MATCH(F360,'Conversion Model'!$D$8:$D$9,0)),0)+IFERROR(INDEX('Conversion Model'!$H$8:$H$12,MATCH(IF(LEFT(J360,8)="Payments","Payments",IF(LEFT(J360,7)="Lending","Lending",J360)),'Conversion Model'!$G$8:$G$12,0)),0)+MIN(L360,15)*'Conversion Model'!$B$17+IF(SUMPRODUCT(--ISNUMBER(SEARCH('Scoring Model'!$D$16:$D$25,K360)))&gt;0,'Conversion Model'!$B$18,0)+IF(SUMPRODUCT(--ISNUMBER(SEARCH('Scoring Model'!$G$16:$G$23,K360)))&gt;0,'Conversion Model'!$B$19,0)))))</f>
        <v>0.000804889776217623</v>
      </c>
      <c r="AH360" s="3" t="str">
        <f aca="false">IF(OR(O360="Qualified",O360="Won",O360="Lost"),1,IF(O360="Unqualified",0,""))</f>
        <v/>
      </c>
    </row>
    <row r="361" customFormat="false" ht="15" hidden="false" customHeight="true" outlineLevel="0" collapsed="false">
      <c r="A361" s="3" t="s">
        <v>1418</v>
      </c>
      <c r="B361" s="9" t="n">
        <v>46106.2659722222</v>
      </c>
      <c r="C361" s="3" t="s">
        <v>51</v>
      </c>
      <c r="D361" s="3" t="s">
        <v>670</v>
      </c>
      <c r="E361" s="3" t="s">
        <v>1419</v>
      </c>
      <c r="F361" s="3" t="s">
        <v>63</v>
      </c>
      <c r="G361" s="3"/>
      <c r="H361" s="3"/>
      <c r="I361" s="3" t="s">
        <v>80</v>
      </c>
      <c r="J361" s="3" t="s">
        <v>65</v>
      </c>
      <c r="K361" s="3" t="s">
        <v>89</v>
      </c>
      <c r="L361" s="3" t="n">
        <v>2</v>
      </c>
      <c r="M361" s="3"/>
      <c r="N361" s="3" t="s">
        <v>96</v>
      </c>
      <c r="O361" s="3"/>
      <c r="P361" s="10"/>
      <c r="Q361" s="3" t="n">
        <f aca="false">IF(F361="Disposable",1,0)</f>
        <v>1</v>
      </c>
      <c r="R361" s="3" t="n">
        <f aca="false">IF(SUMPRODUCT(--ISNUMBER(SEARCH('Spam Rules'!$A$22:$A$35,K361)))&gt;0,1,0)</f>
        <v>1</v>
      </c>
      <c r="S361" s="3" t="n">
        <f aca="false">IF(AND(F361="Free",G361=""),1,0)</f>
        <v>0</v>
      </c>
      <c r="T361" s="3" t="n">
        <f aca="false">IF(LEN(TRIM(K361))&lt;15,1,0)</f>
        <v>0</v>
      </c>
      <c r="U361" s="3" t="n">
        <f aca="false">IF(COUNTIF($E$2:$E$801,E361)&gt;1,1,0)</f>
        <v>0</v>
      </c>
      <c r="V361" s="3" t="n">
        <f aca="false">Q361*'Spam Rules'!$H$6+R361*'Spam Rules'!$H$7+S361*'Spam Rules'!$H$8+T361*'Spam Rules'!$H$9+U361*'Spam Rules'!$H$10</f>
        <v>2</v>
      </c>
      <c r="W361" s="3" t="str">
        <f aca="false">IF(V361&gt;='Spam Rules'!$B$3,"Likely Spam","Genuine")</f>
        <v>Likely Spam</v>
      </c>
      <c r="X361" s="3" t="n">
        <f aca="false">IFERROR(INDEX('Scoring Model'!$B$5:$B$11,MATCH(C361,'Scoring Model'!$A$5:$A$11,0)),0)</f>
        <v>10</v>
      </c>
      <c r="Y361" s="3" t="n">
        <f aca="false">IFERROR(INDEX('Scoring Model'!$E$5:$E$7,MATCH(F361,'Scoring Model'!$D$5:$D$7,0)),0)</f>
        <v>0</v>
      </c>
      <c r="Z361" s="3" t="n">
        <f aca="false">IFERROR(INDEX('Scoring Model'!$H$5:$H$13,MATCH(J361,'Scoring Model'!$G$5:$G$13,0)),0)</f>
        <v>0</v>
      </c>
      <c r="AA361" s="3" t="n">
        <f aca="false">IF(L361&gt;='Scoring Model'!$B$14,'Scoring Model'!$B$15,IF(L361&gt;='Scoring Model'!$B$16,'Scoring Model'!$B$17,0))</f>
        <v>0</v>
      </c>
      <c r="AB361" s="3" t="n">
        <f aca="false">IF(SUMPRODUCT(--ISNUMBER(SEARCH('Scoring Model'!$D$16:$D$25,K361)))&gt;0,'Scoring Model'!$B$18,0)</f>
        <v>0</v>
      </c>
      <c r="AC361" s="3" t="n">
        <f aca="false">IF(SUMPRODUCT(--ISNUMBER(SEARCH('Scoring Model'!$G$16:$G$23,K361)))&gt;0,'Scoring Model'!$B$19,0)</f>
        <v>0</v>
      </c>
      <c r="AD361" s="3" t="str">
        <f aca="false">IF(W361="Likely Spam","",SUM(X361:AC361))</f>
        <v/>
      </c>
      <c r="AE361" s="3" t="str">
        <f aca="false">IF(W361="Likely Spam","Spam",IF(AD361&gt;='Scoring Model'!$B$21,"Hot",IF(AD361&gt;='Scoring Model'!$B$22,"Warm","Nurture")))</f>
        <v>Spam</v>
      </c>
      <c r="AF361" s="3" t="str">
        <f aca="false">IF(W361="Likely Spam","Flagged by spam rules",TRIM(IF(X361&gt;=20,"Strong source. ","")&amp;IF(Y361&gt;0,"Company email. ","")&amp;IF(Z361&gt;=15,"High-value product. ","")&amp;IF(AA361&gt;='Scoring Model'!$B$15,"High engagement. ","")&amp;IF(AB361&gt;0,"Buying intent in message. ","")&amp;IF(AC361&lt;0,"Negative intent in message. ","")))</f>
        <v>Flagged by spam rules</v>
      </c>
      <c r="AG361" s="11" t="str">
        <f aca="false">IF(W361="Likely Spam","",1/(1+EXP(-('Conversion Model'!$B$5+IFERROR(INDEX('Conversion Model'!$B$8:$B$14,MATCH(C361,'Conversion Model'!$A$8:$A$14,0)),0)+IFERROR(INDEX('Conversion Model'!$E$8:$E$9,MATCH(F361,'Conversion Model'!$D$8:$D$9,0)),0)+IFERROR(INDEX('Conversion Model'!$H$8:$H$12,MATCH(IF(LEFT(J361,8)="Payments","Payments",IF(LEFT(J361,7)="Lending","Lending",J361)),'Conversion Model'!$G$8:$G$12,0)),0)+MIN(L361,15)*'Conversion Model'!$B$17+IF(SUMPRODUCT(--ISNUMBER(SEARCH('Scoring Model'!$D$16:$D$25,K361)))&gt;0,'Conversion Model'!$B$18,0)+IF(SUMPRODUCT(--ISNUMBER(SEARCH('Scoring Model'!$G$16:$G$23,K361)))&gt;0,'Conversion Model'!$B$19,0)))))</f>
        <v/>
      </c>
      <c r="AH361" s="3" t="str">
        <f aca="false">IF(OR(O361="Qualified",O361="Won",O361="Lost"),1,IF(O361="Unqualified",0,""))</f>
        <v/>
      </c>
    </row>
    <row r="362" customFormat="false" ht="15" hidden="false" customHeight="true" outlineLevel="0" collapsed="false">
      <c r="A362" s="3" t="s">
        <v>1420</v>
      </c>
      <c r="B362" s="9" t="n">
        <v>46106.4006944444</v>
      </c>
      <c r="C362" s="3" t="s">
        <v>51</v>
      </c>
      <c r="D362" s="3" t="s">
        <v>1421</v>
      </c>
      <c r="E362" s="3" t="s">
        <v>1422</v>
      </c>
      <c r="F362" s="3" t="s">
        <v>54</v>
      </c>
      <c r="G362" s="3"/>
      <c r="H362" s="3"/>
      <c r="I362" s="3" t="s">
        <v>188</v>
      </c>
      <c r="J362" s="3" t="s">
        <v>81</v>
      </c>
      <c r="K362" s="3" t="s">
        <v>170</v>
      </c>
      <c r="L362" s="3" t="n">
        <v>1</v>
      </c>
      <c r="M362" s="3"/>
      <c r="N362" s="3" t="s">
        <v>96</v>
      </c>
      <c r="O362" s="3" t="s">
        <v>68</v>
      </c>
      <c r="P362" s="10"/>
      <c r="Q362" s="3" t="n">
        <f aca="false">IF(F362="Disposable",1,0)</f>
        <v>0</v>
      </c>
      <c r="R362" s="3" t="n">
        <f aca="false">IF(SUMPRODUCT(--ISNUMBER(SEARCH('Spam Rules'!$A$22:$A$35,K362)))&gt;0,1,0)</f>
        <v>0</v>
      </c>
      <c r="S362" s="3" t="n">
        <f aca="false">IF(AND(F362="Free",G362=""),1,0)</f>
        <v>1</v>
      </c>
      <c r="T362" s="3" t="n">
        <f aca="false">IF(LEN(TRIM(K362))&lt;15,1,0)</f>
        <v>1</v>
      </c>
      <c r="U362" s="3" t="n">
        <f aca="false">IF(COUNTIF($E$2:$E$801,E362)&gt;1,1,0)</f>
        <v>0</v>
      </c>
      <c r="V362" s="3" t="n">
        <f aca="false">Q362*'Spam Rules'!$H$6+R362*'Spam Rules'!$H$7+S362*'Spam Rules'!$H$8+T362*'Spam Rules'!$H$9+U362*'Spam Rules'!$H$10</f>
        <v>1</v>
      </c>
      <c r="W362" s="3" t="str">
        <f aca="false">IF(V362&gt;='Spam Rules'!$B$3,"Likely Spam","Genuine")</f>
        <v>Likely Spam</v>
      </c>
      <c r="X362" s="3" t="n">
        <f aca="false">IFERROR(INDEX('Scoring Model'!$B$5:$B$11,MATCH(C362,'Scoring Model'!$A$5:$A$11,0)),0)</f>
        <v>10</v>
      </c>
      <c r="Y362" s="3" t="n">
        <f aca="false">IFERROR(INDEX('Scoring Model'!$E$5:$E$7,MATCH(F362,'Scoring Model'!$D$5:$D$7,0)),0)</f>
        <v>0</v>
      </c>
      <c r="Z362" s="3" t="n">
        <f aca="false">IFERROR(INDEX('Scoring Model'!$H$5:$H$13,MATCH(J362,'Scoring Model'!$G$5:$G$13,0)),0)</f>
        <v>5</v>
      </c>
      <c r="AA362" s="3" t="n">
        <f aca="false">IF(L362&gt;='Scoring Model'!$B$14,'Scoring Model'!$B$15,IF(L362&gt;='Scoring Model'!$B$16,'Scoring Model'!$B$17,0))</f>
        <v>0</v>
      </c>
      <c r="AB362" s="3" t="n">
        <f aca="false">IF(SUMPRODUCT(--ISNUMBER(SEARCH('Scoring Model'!$D$16:$D$25,K362)))&gt;0,'Scoring Model'!$B$18,0)</f>
        <v>0</v>
      </c>
      <c r="AC362" s="3" t="n">
        <f aca="false">IF(SUMPRODUCT(--ISNUMBER(SEARCH('Scoring Model'!$G$16:$G$23,K362)))&gt;0,'Scoring Model'!$B$19,0)</f>
        <v>0</v>
      </c>
      <c r="AD362" s="3" t="str">
        <f aca="false">IF(W362="Likely Spam","",SUM(X362:AC362))</f>
        <v/>
      </c>
      <c r="AE362" s="3" t="str">
        <f aca="false">IF(W362="Likely Spam","Spam",IF(AD362&gt;='Scoring Model'!$B$21,"Hot",IF(AD362&gt;='Scoring Model'!$B$22,"Warm","Nurture")))</f>
        <v>Spam</v>
      </c>
      <c r="AF362" s="3" t="str">
        <f aca="false">IF(W362="Likely Spam","Flagged by spam rules",TRIM(IF(X362&gt;=20,"Strong source. ","")&amp;IF(Y362&gt;0,"Company email. ","")&amp;IF(Z362&gt;=15,"High-value product. ","")&amp;IF(AA362&gt;='Scoring Model'!$B$15,"High engagement. ","")&amp;IF(AB362&gt;0,"Buying intent in message. ","")&amp;IF(AC362&lt;0,"Negative intent in message. ","")))</f>
        <v>Flagged by spam rules</v>
      </c>
      <c r="AG362" s="11" t="str">
        <f aca="false">IF(W362="Likely Spam","",1/(1+EXP(-('Conversion Model'!$B$5+IFERROR(INDEX('Conversion Model'!$B$8:$B$14,MATCH(C362,'Conversion Model'!$A$8:$A$14,0)),0)+IFERROR(INDEX('Conversion Model'!$E$8:$E$9,MATCH(F362,'Conversion Model'!$D$8:$D$9,0)),0)+IFERROR(INDEX('Conversion Model'!$H$8:$H$12,MATCH(IF(LEFT(J362,8)="Payments","Payments",IF(LEFT(J362,7)="Lending","Lending",J362)),'Conversion Model'!$G$8:$G$12,0)),0)+MIN(L362,15)*'Conversion Model'!$B$17+IF(SUMPRODUCT(--ISNUMBER(SEARCH('Scoring Model'!$D$16:$D$25,K362)))&gt;0,'Conversion Model'!$B$18,0)+IF(SUMPRODUCT(--ISNUMBER(SEARCH('Scoring Model'!$G$16:$G$23,K362)))&gt;0,'Conversion Model'!$B$19,0)))))</f>
        <v/>
      </c>
      <c r="AH362" s="3" t="str">
        <f aca="false">IF(OR(O362="Qualified",O362="Won",O362="Lost"),1,IF(O362="Unqualified",0,""))</f>
        <v/>
      </c>
    </row>
    <row r="363" customFormat="false" ht="15" hidden="false" customHeight="true" outlineLevel="0" collapsed="false">
      <c r="A363" s="3" t="s">
        <v>1423</v>
      </c>
      <c r="B363" s="9" t="n">
        <v>46106.4416666667</v>
      </c>
      <c r="C363" s="3" t="s">
        <v>160</v>
      </c>
      <c r="D363" s="3" t="s">
        <v>814</v>
      </c>
      <c r="E363" s="3" t="s">
        <v>1424</v>
      </c>
      <c r="F363" s="3" t="s">
        <v>22</v>
      </c>
      <c r="G363" s="3" t="s">
        <v>1118</v>
      </c>
      <c r="H363" s="3" t="s">
        <v>1425</v>
      </c>
      <c r="I363" s="3" t="s">
        <v>188</v>
      </c>
      <c r="J363" s="3" t="s">
        <v>81</v>
      </c>
      <c r="K363" s="3" t="s">
        <v>378</v>
      </c>
      <c r="L363" s="3" t="n">
        <v>1</v>
      </c>
      <c r="M363" s="3" t="n">
        <v>6.1</v>
      </c>
      <c r="N363" s="3" t="s">
        <v>59</v>
      </c>
      <c r="O363" s="3"/>
      <c r="P363" s="10"/>
      <c r="Q363" s="3" t="n">
        <f aca="false">IF(F363="Disposable",1,0)</f>
        <v>0</v>
      </c>
      <c r="R363" s="3" t="n">
        <f aca="false">IF(SUMPRODUCT(--ISNUMBER(SEARCH('Spam Rules'!$A$22:$A$35,K363)))&gt;0,1,0)</f>
        <v>0</v>
      </c>
      <c r="S363" s="3" t="n">
        <f aca="false">IF(AND(F363="Free",G363=""),1,0)</f>
        <v>0</v>
      </c>
      <c r="T363" s="3" t="n">
        <f aca="false">IF(LEN(TRIM(K363))&lt;15,1,0)</f>
        <v>0</v>
      </c>
      <c r="U363" s="3" t="n">
        <f aca="false">IF(COUNTIF($E$2:$E$801,E363)&gt;1,1,0)</f>
        <v>0</v>
      </c>
      <c r="V363" s="3" t="n">
        <f aca="false">Q363*'Spam Rules'!$H$6+R363*'Spam Rules'!$H$7+S363*'Spam Rules'!$H$8+T363*'Spam Rules'!$H$9+U363*'Spam Rules'!$H$10</f>
        <v>0</v>
      </c>
      <c r="W363" s="3" t="str">
        <f aca="false">IF(V363&gt;='Spam Rules'!$B$3,"Likely Spam","Genuine")</f>
        <v>Genuine</v>
      </c>
      <c r="X363" s="3" t="n">
        <f aca="false">IFERROR(INDEX('Scoring Model'!$B$5:$B$11,MATCH(C363,'Scoring Model'!$A$5:$A$11,0)),0)</f>
        <v>25</v>
      </c>
      <c r="Y363" s="3" t="n">
        <f aca="false">IFERROR(INDEX('Scoring Model'!$E$5:$E$7,MATCH(F363,'Scoring Model'!$D$5:$D$7,0)),0)</f>
        <v>20</v>
      </c>
      <c r="Z363" s="3" t="n">
        <f aca="false">IFERROR(INDEX('Scoring Model'!$H$5:$H$13,MATCH(J363,'Scoring Model'!$G$5:$G$13,0)),0)</f>
        <v>5</v>
      </c>
      <c r="AA363" s="3" t="n">
        <f aca="false">IF(L363&gt;='Scoring Model'!$B$14,'Scoring Model'!$B$15,IF(L363&gt;='Scoring Model'!$B$16,'Scoring Model'!$B$17,0))</f>
        <v>0</v>
      </c>
      <c r="AB363" s="3" t="n">
        <f aca="false">IF(SUMPRODUCT(--ISNUMBER(SEARCH('Scoring Model'!$D$16:$D$25,K363)))&gt;0,'Scoring Model'!$B$18,0)</f>
        <v>0</v>
      </c>
      <c r="AC363" s="3" t="n">
        <f aca="false">IF(SUMPRODUCT(--ISNUMBER(SEARCH('Scoring Model'!$G$16:$G$23,K363)))&gt;0,'Scoring Model'!$B$19,0)</f>
        <v>-30</v>
      </c>
      <c r="AD363" s="3" t="n">
        <f aca="false">IF(W363="Likely Spam","",SUM(X363:AC363))</f>
        <v>20</v>
      </c>
      <c r="AE363" s="3" t="str">
        <f aca="false">IF(W363="Likely Spam","Spam",IF(AD363&gt;='Scoring Model'!$B$21,"Hot",IF(AD363&gt;='Scoring Model'!$B$22,"Warm","Nurture")))</f>
        <v>Nurture</v>
      </c>
      <c r="AF363" s="3" t="str">
        <f aca="false">IF(W363="Likely Spam","Flagged by spam rules",TRIM(IF(X363&gt;=20,"Strong source. ","")&amp;IF(Y363&gt;0,"Company email. ","")&amp;IF(Z363&gt;=15,"High-value product. ","")&amp;IF(AA363&gt;='Scoring Model'!$B$15,"High engagement. ","")&amp;IF(AB363&gt;0,"Buying intent in message. ","")&amp;IF(AC363&lt;0,"Negative intent in message. ","")))</f>
        <v>Strong source. Company email. Negative intent in message.</v>
      </c>
      <c r="AG363" s="11" t="n">
        <f aca="false">IF(W363="Likely Spam","",1/(1+EXP(-('Conversion Model'!$B$5+IFERROR(INDEX('Conversion Model'!$B$8:$B$14,MATCH(C363,'Conversion Model'!$A$8:$A$14,0)),0)+IFERROR(INDEX('Conversion Model'!$E$8:$E$9,MATCH(F363,'Conversion Model'!$D$8:$D$9,0)),0)+IFERROR(INDEX('Conversion Model'!$H$8:$H$12,MATCH(IF(LEFT(J363,8)="Payments","Payments",IF(LEFT(J363,7)="Lending","Lending",J363)),'Conversion Model'!$G$8:$G$12,0)),0)+MIN(L363,15)*'Conversion Model'!$B$17+IF(SUMPRODUCT(--ISNUMBER(SEARCH('Scoring Model'!$D$16:$D$25,K363)))&gt;0,'Conversion Model'!$B$18,0)+IF(SUMPRODUCT(--ISNUMBER(SEARCH('Scoring Model'!$G$16:$G$23,K363)))&gt;0,'Conversion Model'!$B$19,0)))))</f>
        <v>0.00301540851429786</v>
      </c>
      <c r="AH363" s="3" t="str">
        <f aca="false">IF(OR(O363="Qualified",O363="Won",O363="Lost"),1,IF(O363="Unqualified",0,""))</f>
        <v/>
      </c>
    </row>
    <row r="364" customFormat="false" ht="15" hidden="false" customHeight="true" outlineLevel="0" collapsed="false">
      <c r="A364" s="3" t="s">
        <v>1426</v>
      </c>
      <c r="B364" s="9" t="n">
        <v>46106.7506944445</v>
      </c>
      <c r="C364" s="3" t="s">
        <v>76</v>
      </c>
      <c r="D364" s="3" t="s">
        <v>901</v>
      </c>
      <c r="E364" s="3" t="s">
        <v>1427</v>
      </c>
      <c r="F364" s="3" t="s">
        <v>63</v>
      </c>
      <c r="G364" s="3"/>
      <c r="H364" s="3"/>
      <c r="I364" s="3" t="s">
        <v>260</v>
      </c>
      <c r="J364" s="3" t="s">
        <v>122</v>
      </c>
      <c r="K364" s="3" t="s">
        <v>126</v>
      </c>
      <c r="L364" s="3" t="n">
        <v>2</v>
      </c>
      <c r="M364" s="3" t="n">
        <v>113</v>
      </c>
      <c r="N364" s="3" t="s">
        <v>96</v>
      </c>
      <c r="O364" s="3"/>
      <c r="P364" s="10"/>
      <c r="Q364" s="3" t="n">
        <f aca="false">IF(F364="Disposable",1,0)</f>
        <v>1</v>
      </c>
      <c r="R364" s="3" t="n">
        <f aca="false">IF(SUMPRODUCT(--ISNUMBER(SEARCH('Spam Rules'!$A$22:$A$35,K364)))&gt;0,1,0)</f>
        <v>0</v>
      </c>
      <c r="S364" s="3" t="n">
        <f aca="false">IF(AND(F364="Free",G364=""),1,0)</f>
        <v>0</v>
      </c>
      <c r="T364" s="3" t="n">
        <f aca="false">IF(LEN(TRIM(K364))&lt;15,1,0)</f>
        <v>1</v>
      </c>
      <c r="U364" s="3" t="n">
        <f aca="false">IF(COUNTIF($E$2:$E$801,E364)&gt;1,1,0)</f>
        <v>1</v>
      </c>
      <c r="V364" s="3" t="n">
        <f aca="false">Q364*'Spam Rules'!$H$6+R364*'Spam Rules'!$H$7+S364*'Spam Rules'!$H$8+T364*'Spam Rules'!$H$9+U364*'Spam Rules'!$H$10</f>
        <v>2</v>
      </c>
      <c r="W364" s="3" t="str">
        <f aca="false">IF(V364&gt;='Spam Rules'!$B$3,"Likely Spam","Genuine")</f>
        <v>Likely Spam</v>
      </c>
      <c r="X364" s="3" t="n">
        <f aca="false">IFERROR(INDEX('Scoring Model'!$B$5:$B$11,MATCH(C364,'Scoring Model'!$A$5:$A$11,0)),0)</f>
        <v>0</v>
      </c>
      <c r="Y364" s="3" t="n">
        <f aca="false">IFERROR(INDEX('Scoring Model'!$E$5:$E$7,MATCH(F364,'Scoring Model'!$D$5:$D$7,0)),0)</f>
        <v>0</v>
      </c>
      <c r="Z364" s="3" t="n">
        <f aca="false">IFERROR(INDEX('Scoring Model'!$H$5:$H$13,MATCH(J364,'Scoring Model'!$G$5:$G$13,0)),0)</f>
        <v>15</v>
      </c>
      <c r="AA364" s="3" t="n">
        <f aca="false">IF(L364&gt;='Scoring Model'!$B$14,'Scoring Model'!$B$15,IF(L364&gt;='Scoring Model'!$B$16,'Scoring Model'!$B$17,0))</f>
        <v>0</v>
      </c>
      <c r="AB364" s="3" t="n">
        <f aca="false">IF(SUMPRODUCT(--ISNUMBER(SEARCH('Scoring Model'!$D$16:$D$25,K364)))&gt;0,'Scoring Model'!$B$18,0)</f>
        <v>0</v>
      </c>
      <c r="AC364" s="3" t="n">
        <f aca="false">IF(SUMPRODUCT(--ISNUMBER(SEARCH('Scoring Model'!$G$16:$G$23,K364)))&gt;0,'Scoring Model'!$B$19,0)</f>
        <v>0</v>
      </c>
      <c r="AD364" s="3" t="str">
        <f aca="false">IF(W364="Likely Spam","",SUM(X364:AC364))</f>
        <v/>
      </c>
      <c r="AE364" s="3" t="str">
        <f aca="false">IF(W364="Likely Spam","Spam",IF(AD364&gt;='Scoring Model'!$B$21,"Hot",IF(AD364&gt;='Scoring Model'!$B$22,"Warm","Nurture")))</f>
        <v>Spam</v>
      </c>
      <c r="AF364" s="3" t="str">
        <f aca="false">IF(W364="Likely Spam","Flagged by spam rules",TRIM(IF(X364&gt;=20,"Strong source. ","")&amp;IF(Y364&gt;0,"Company email. ","")&amp;IF(Z364&gt;=15,"High-value product. ","")&amp;IF(AA364&gt;='Scoring Model'!$B$15,"High engagement. ","")&amp;IF(AB364&gt;0,"Buying intent in message. ","")&amp;IF(AC364&lt;0,"Negative intent in message. ","")))</f>
        <v>Flagged by spam rules</v>
      </c>
      <c r="AG364" s="11" t="str">
        <f aca="false">IF(W364="Likely Spam","",1/(1+EXP(-('Conversion Model'!$B$5+IFERROR(INDEX('Conversion Model'!$B$8:$B$14,MATCH(C364,'Conversion Model'!$A$8:$A$14,0)),0)+IFERROR(INDEX('Conversion Model'!$E$8:$E$9,MATCH(F364,'Conversion Model'!$D$8:$D$9,0)),0)+IFERROR(INDEX('Conversion Model'!$H$8:$H$12,MATCH(IF(LEFT(J364,8)="Payments","Payments",IF(LEFT(J364,7)="Lending","Lending",J364)),'Conversion Model'!$G$8:$G$12,0)),0)+MIN(L364,15)*'Conversion Model'!$B$17+IF(SUMPRODUCT(--ISNUMBER(SEARCH('Scoring Model'!$D$16:$D$25,K364)))&gt;0,'Conversion Model'!$B$18,0)+IF(SUMPRODUCT(--ISNUMBER(SEARCH('Scoring Model'!$G$16:$G$23,K364)))&gt;0,'Conversion Model'!$B$19,0)))))</f>
        <v/>
      </c>
      <c r="AH364" s="3" t="str">
        <f aca="false">IF(OR(O364="Qualified",O364="Won",O364="Lost"),1,IF(O364="Unqualified",0,""))</f>
        <v/>
      </c>
    </row>
    <row r="365" customFormat="false" ht="15" hidden="false" customHeight="true" outlineLevel="0" collapsed="false">
      <c r="A365" s="3" t="s">
        <v>1428</v>
      </c>
      <c r="B365" s="9" t="n">
        <v>46106.8215277778</v>
      </c>
      <c r="C365" s="3" t="s">
        <v>51</v>
      </c>
      <c r="D365" s="3" t="s">
        <v>1429</v>
      </c>
      <c r="E365" s="3" t="s">
        <v>1430</v>
      </c>
      <c r="F365" s="3" t="s">
        <v>54</v>
      </c>
      <c r="G365" s="3"/>
      <c r="H365" s="3"/>
      <c r="I365" s="3" t="s">
        <v>56</v>
      </c>
      <c r="J365" s="3" t="s">
        <v>65</v>
      </c>
      <c r="K365" s="3" t="s">
        <v>82</v>
      </c>
      <c r="L365" s="3" t="n">
        <v>1</v>
      </c>
      <c r="M365" s="3" t="n">
        <v>9.3</v>
      </c>
      <c r="N365" s="3" t="s">
        <v>67</v>
      </c>
      <c r="O365" s="3" t="s">
        <v>68</v>
      </c>
      <c r="P365" s="10"/>
      <c r="Q365" s="3" t="n">
        <f aca="false">IF(F365="Disposable",1,0)</f>
        <v>0</v>
      </c>
      <c r="R365" s="3" t="n">
        <f aca="false">IF(SUMPRODUCT(--ISNUMBER(SEARCH('Spam Rules'!$A$22:$A$35,K365)))&gt;0,1,0)</f>
        <v>1</v>
      </c>
      <c r="S365" s="3" t="n">
        <f aca="false">IF(AND(F365="Free",G365=""),1,0)</f>
        <v>1</v>
      </c>
      <c r="T365" s="3" t="n">
        <f aca="false">IF(LEN(TRIM(K365))&lt;15,1,0)</f>
        <v>0</v>
      </c>
      <c r="U365" s="3" t="n">
        <f aca="false">IF(COUNTIF($E$2:$E$801,E365)&gt;1,1,0)</f>
        <v>1</v>
      </c>
      <c r="V365" s="3" t="n">
        <f aca="false">Q365*'Spam Rules'!$H$6+R365*'Spam Rules'!$H$7+S365*'Spam Rules'!$H$8+T365*'Spam Rules'!$H$9+U365*'Spam Rules'!$H$10</f>
        <v>1</v>
      </c>
      <c r="W365" s="3" t="str">
        <f aca="false">IF(V365&gt;='Spam Rules'!$B$3,"Likely Spam","Genuine")</f>
        <v>Likely Spam</v>
      </c>
      <c r="X365" s="3" t="n">
        <f aca="false">IFERROR(INDEX('Scoring Model'!$B$5:$B$11,MATCH(C365,'Scoring Model'!$A$5:$A$11,0)),0)</f>
        <v>10</v>
      </c>
      <c r="Y365" s="3" t="n">
        <f aca="false">IFERROR(INDEX('Scoring Model'!$E$5:$E$7,MATCH(F365,'Scoring Model'!$D$5:$D$7,0)),0)</f>
        <v>0</v>
      </c>
      <c r="Z365" s="3" t="n">
        <f aca="false">IFERROR(INDEX('Scoring Model'!$H$5:$H$13,MATCH(J365,'Scoring Model'!$G$5:$G$13,0)),0)</f>
        <v>0</v>
      </c>
      <c r="AA365" s="3" t="n">
        <f aca="false">IF(L365&gt;='Scoring Model'!$B$14,'Scoring Model'!$B$15,IF(L365&gt;='Scoring Model'!$B$16,'Scoring Model'!$B$17,0))</f>
        <v>0</v>
      </c>
      <c r="AB365" s="3" t="n">
        <f aca="false">IF(SUMPRODUCT(--ISNUMBER(SEARCH('Scoring Model'!$D$16:$D$25,K365)))&gt;0,'Scoring Model'!$B$18,0)</f>
        <v>0</v>
      </c>
      <c r="AC365" s="3" t="n">
        <f aca="false">IF(SUMPRODUCT(--ISNUMBER(SEARCH('Scoring Model'!$G$16:$G$23,K365)))&gt;0,'Scoring Model'!$B$19,0)</f>
        <v>0</v>
      </c>
      <c r="AD365" s="3" t="str">
        <f aca="false">IF(W365="Likely Spam","",SUM(X365:AC365))</f>
        <v/>
      </c>
      <c r="AE365" s="3" t="str">
        <f aca="false">IF(W365="Likely Spam","Spam",IF(AD365&gt;='Scoring Model'!$B$21,"Hot",IF(AD365&gt;='Scoring Model'!$B$22,"Warm","Nurture")))</f>
        <v>Spam</v>
      </c>
      <c r="AF365" s="3" t="str">
        <f aca="false">IF(W365="Likely Spam","Flagged by spam rules",TRIM(IF(X365&gt;=20,"Strong source. ","")&amp;IF(Y365&gt;0,"Company email. ","")&amp;IF(Z365&gt;=15,"High-value product. ","")&amp;IF(AA365&gt;='Scoring Model'!$B$15,"High engagement. ","")&amp;IF(AB365&gt;0,"Buying intent in message. ","")&amp;IF(AC365&lt;0,"Negative intent in message. ","")))</f>
        <v>Flagged by spam rules</v>
      </c>
      <c r="AG365" s="11" t="str">
        <f aca="false">IF(W365="Likely Spam","",1/(1+EXP(-('Conversion Model'!$B$5+IFERROR(INDEX('Conversion Model'!$B$8:$B$14,MATCH(C365,'Conversion Model'!$A$8:$A$14,0)),0)+IFERROR(INDEX('Conversion Model'!$E$8:$E$9,MATCH(F365,'Conversion Model'!$D$8:$D$9,0)),0)+IFERROR(INDEX('Conversion Model'!$H$8:$H$12,MATCH(IF(LEFT(J365,8)="Payments","Payments",IF(LEFT(J365,7)="Lending","Lending",J365)),'Conversion Model'!$G$8:$G$12,0)),0)+MIN(L365,15)*'Conversion Model'!$B$17+IF(SUMPRODUCT(--ISNUMBER(SEARCH('Scoring Model'!$D$16:$D$25,K365)))&gt;0,'Conversion Model'!$B$18,0)+IF(SUMPRODUCT(--ISNUMBER(SEARCH('Scoring Model'!$G$16:$G$23,K365)))&gt;0,'Conversion Model'!$B$19,0)))))</f>
        <v/>
      </c>
      <c r="AH365" s="3" t="str">
        <f aca="false">IF(OR(O365="Qualified",O365="Won",O365="Lost"),1,IF(O365="Unqualified",0,""))</f>
        <v/>
      </c>
    </row>
    <row r="366" customFormat="false" ht="15" hidden="false" customHeight="true" outlineLevel="0" collapsed="false">
      <c r="A366" s="3" t="s">
        <v>1431</v>
      </c>
      <c r="B366" s="9" t="n">
        <v>46107.1138888889</v>
      </c>
      <c r="C366" s="3" t="s">
        <v>76</v>
      </c>
      <c r="D366" s="3" t="s">
        <v>1432</v>
      </c>
      <c r="E366" s="3" t="s">
        <v>1433</v>
      </c>
      <c r="F366" s="3" t="s">
        <v>54</v>
      </c>
      <c r="G366" s="3" t="s">
        <v>1434</v>
      </c>
      <c r="H366" s="3"/>
      <c r="I366" s="3" t="s">
        <v>73</v>
      </c>
      <c r="J366" s="3" t="s">
        <v>145</v>
      </c>
      <c r="K366" s="3" t="s">
        <v>74</v>
      </c>
      <c r="L366" s="3" t="n">
        <v>4</v>
      </c>
      <c r="M366" s="3" t="n">
        <v>109.1</v>
      </c>
      <c r="N366" s="3" t="s">
        <v>96</v>
      </c>
      <c r="O366" s="3" t="s">
        <v>194</v>
      </c>
      <c r="P366" s="10"/>
      <c r="Q366" s="3" t="n">
        <f aca="false">IF(F366="Disposable",1,0)</f>
        <v>0</v>
      </c>
      <c r="R366" s="3" t="n">
        <f aca="false">IF(SUMPRODUCT(--ISNUMBER(SEARCH('Spam Rules'!$A$22:$A$35,K366)))&gt;0,1,0)</f>
        <v>0</v>
      </c>
      <c r="S366" s="3" t="n">
        <f aca="false">IF(AND(F366="Free",G366=""),1,0)</f>
        <v>0</v>
      </c>
      <c r="T366" s="3" t="n">
        <f aca="false">IF(LEN(TRIM(K366))&lt;15,1,0)</f>
        <v>0</v>
      </c>
      <c r="U366" s="3" t="n">
        <f aca="false">IF(COUNTIF($E$2:$E$801,E366)&gt;1,1,0)</f>
        <v>0</v>
      </c>
      <c r="V366" s="3" t="n">
        <f aca="false">Q366*'Spam Rules'!$H$6+R366*'Spam Rules'!$H$7+S366*'Spam Rules'!$H$8+T366*'Spam Rules'!$H$9+U366*'Spam Rules'!$H$10</f>
        <v>0</v>
      </c>
      <c r="W366" s="3" t="str">
        <f aca="false">IF(V366&gt;='Spam Rules'!$B$3,"Likely Spam","Genuine")</f>
        <v>Genuine</v>
      </c>
      <c r="X366" s="3" t="n">
        <f aca="false">IFERROR(INDEX('Scoring Model'!$B$5:$B$11,MATCH(C366,'Scoring Model'!$A$5:$A$11,0)),0)</f>
        <v>0</v>
      </c>
      <c r="Y366" s="3" t="n">
        <f aca="false">IFERROR(INDEX('Scoring Model'!$E$5:$E$7,MATCH(F366,'Scoring Model'!$D$5:$D$7,0)),0)</f>
        <v>0</v>
      </c>
      <c r="Z366" s="3" t="n">
        <f aca="false">IFERROR(INDEX('Scoring Model'!$H$5:$H$13,MATCH(J366,'Scoring Model'!$G$5:$G$13,0)),0)</f>
        <v>5</v>
      </c>
      <c r="AA366" s="3" t="n">
        <f aca="false">IF(L366&gt;='Scoring Model'!$B$14,'Scoring Model'!$B$15,IF(L366&gt;='Scoring Model'!$B$16,'Scoring Model'!$B$17,0))</f>
        <v>8</v>
      </c>
      <c r="AB366" s="3" t="n">
        <f aca="false">IF(SUMPRODUCT(--ISNUMBER(SEARCH('Scoring Model'!$D$16:$D$25,K366)))&gt;0,'Scoring Model'!$B$18,0)</f>
        <v>0</v>
      </c>
      <c r="AC366" s="3" t="n">
        <f aca="false">IF(SUMPRODUCT(--ISNUMBER(SEARCH('Scoring Model'!$G$16:$G$23,K366)))&gt;0,'Scoring Model'!$B$19,0)</f>
        <v>-30</v>
      </c>
      <c r="AD366" s="3" t="n">
        <f aca="false">IF(W366="Likely Spam","",SUM(X366:AC366))</f>
        <v>-17</v>
      </c>
      <c r="AE366" s="3" t="str">
        <f aca="false">IF(W366="Likely Spam","Spam",IF(AD366&gt;='Scoring Model'!$B$21,"Hot",IF(AD366&gt;='Scoring Model'!$B$22,"Warm","Nurture")))</f>
        <v>Nurture</v>
      </c>
      <c r="AF366" s="3" t="str">
        <f aca="false">IF(W366="Likely Spam","Flagged by spam rules",TRIM(IF(X366&gt;=20,"Strong source. ","")&amp;IF(Y366&gt;0,"Company email. ","")&amp;IF(Z366&gt;=15,"High-value product. ","")&amp;IF(AA366&gt;='Scoring Model'!$B$15,"High engagement. ","")&amp;IF(AB366&gt;0,"Buying intent in message. ","")&amp;IF(AC366&lt;0,"Negative intent in message. ","")))</f>
        <v>Negative intent in message.</v>
      </c>
      <c r="AG366" s="11" t="n">
        <f aca="false">IF(W366="Likely Spam","",1/(1+EXP(-('Conversion Model'!$B$5+IFERROR(INDEX('Conversion Model'!$B$8:$B$14,MATCH(C366,'Conversion Model'!$A$8:$A$14,0)),0)+IFERROR(INDEX('Conversion Model'!$E$8:$E$9,MATCH(F366,'Conversion Model'!$D$8:$D$9,0)),0)+IFERROR(INDEX('Conversion Model'!$H$8:$H$12,MATCH(IF(LEFT(J366,8)="Payments","Payments",IF(LEFT(J366,7)="Lending","Lending",J366)),'Conversion Model'!$G$8:$G$12,0)),0)+MIN(L366,15)*'Conversion Model'!$B$17+IF(SUMPRODUCT(--ISNUMBER(SEARCH('Scoring Model'!$D$16:$D$25,K366)))&gt;0,'Conversion Model'!$B$18,0)+IF(SUMPRODUCT(--ISNUMBER(SEARCH('Scoring Model'!$G$16:$G$23,K366)))&gt;0,'Conversion Model'!$B$19,0)))))</f>
        <v>0.0104050958493894</v>
      </c>
      <c r="AH366" s="3" t="n">
        <f aca="false">IF(OR(O366="Qualified",O366="Won",O366="Lost"),1,IF(O366="Unqualified",0,""))</f>
        <v>0</v>
      </c>
    </row>
    <row r="367" customFormat="false" ht="15" hidden="false" customHeight="true" outlineLevel="0" collapsed="false">
      <c r="A367" s="3" t="s">
        <v>1435</v>
      </c>
      <c r="B367" s="9" t="n">
        <v>46107.4548611111</v>
      </c>
      <c r="C367" s="3" t="s">
        <v>160</v>
      </c>
      <c r="D367" s="3" t="s">
        <v>1436</v>
      </c>
      <c r="E367" s="3" t="s">
        <v>550</v>
      </c>
      <c r="F367" s="3" t="s">
        <v>22</v>
      </c>
      <c r="G367" s="3" t="s">
        <v>79</v>
      </c>
      <c r="H367" s="3" t="s">
        <v>886</v>
      </c>
      <c r="I367" s="3" t="s">
        <v>334</v>
      </c>
      <c r="J367" s="3" t="s">
        <v>81</v>
      </c>
      <c r="K367" s="3" t="s">
        <v>66</v>
      </c>
      <c r="L367" s="3" t="n">
        <v>1</v>
      </c>
      <c r="M367" s="3"/>
      <c r="N367" s="3" t="s">
        <v>96</v>
      </c>
      <c r="O367" s="3" t="s">
        <v>68</v>
      </c>
      <c r="P367" s="10"/>
      <c r="Q367" s="3" t="n">
        <f aca="false">IF(F367="Disposable",1,0)</f>
        <v>0</v>
      </c>
      <c r="R367" s="3" t="n">
        <f aca="false">IF(SUMPRODUCT(--ISNUMBER(SEARCH('Spam Rules'!$A$22:$A$35,K367)))&gt;0,1,0)</f>
        <v>1</v>
      </c>
      <c r="S367" s="3" t="n">
        <f aca="false">IF(AND(F367="Free",G367=""),1,0)</f>
        <v>0</v>
      </c>
      <c r="T367" s="3" t="n">
        <f aca="false">IF(LEN(TRIM(K367))&lt;15,1,0)</f>
        <v>0</v>
      </c>
      <c r="U367" s="3" t="n">
        <f aca="false">IF(COUNTIF($E$2:$E$801,E367)&gt;1,1,0)</f>
        <v>1</v>
      </c>
      <c r="V367" s="3" t="n">
        <f aca="false">Q367*'Spam Rules'!$H$6+R367*'Spam Rules'!$H$7+S367*'Spam Rules'!$H$8+T367*'Spam Rules'!$H$9+U367*'Spam Rules'!$H$10</f>
        <v>1</v>
      </c>
      <c r="W367" s="3" t="str">
        <f aca="false">IF(V367&gt;='Spam Rules'!$B$3,"Likely Spam","Genuine")</f>
        <v>Likely Spam</v>
      </c>
      <c r="X367" s="3" t="n">
        <f aca="false">IFERROR(INDEX('Scoring Model'!$B$5:$B$11,MATCH(C367,'Scoring Model'!$A$5:$A$11,0)),0)</f>
        <v>25</v>
      </c>
      <c r="Y367" s="3" t="n">
        <f aca="false">IFERROR(INDEX('Scoring Model'!$E$5:$E$7,MATCH(F367,'Scoring Model'!$D$5:$D$7,0)),0)</f>
        <v>20</v>
      </c>
      <c r="Z367" s="3" t="n">
        <f aca="false">IFERROR(INDEX('Scoring Model'!$H$5:$H$13,MATCH(J367,'Scoring Model'!$G$5:$G$13,0)),0)</f>
        <v>5</v>
      </c>
      <c r="AA367" s="3" t="n">
        <f aca="false">IF(L367&gt;='Scoring Model'!$B$14,'Scoring Model'!$B$15,IF(L367&gt;='Scoring Model'!$B$16,'Scoring Model'!$B$17,0))</f>
        <v>0</v>
      </c>
      <c r="AB367" s="3" t="n">
        <f aca="false">IF(SUMPRODUCT(--ISNUMBER(SEARCH('Scoring Model'!$D$16:$D$25,K367)))&gt;0,'Scoring Model'!$B$18,0)</f>
        <v>0</v>
      </c>
      <c r="AC367" s="3" t="n">
        <f aca="false">IF(SUMPRODUCT(--ISNUMBER(SEARCH('Scoring Model'!$G$16:$G$23,K367)))&gt;0,'Scoring Model'!$B$19,0)</f>
        <v>0</v>
      </c>
      <c r="AD367" s="3" t="str">
        <f aca="false">IF(W367="Likely Spam","",SUM(X367:AC367))</f>
        <v/>
      </c>
      <c r="AE367" s="3" t="str">
        <f aca="false">IF(W367="Likely Spam","Spam",IF(AD367&gt;='Scoring Model'!$B$21,"Hot",IF(AD367&gt;='Scoring Model'!$B$22,"Warm","Nurture")))</f>
        <v>Spam</v>
      </c>
      <c r="AF367" s="3" t="str">
        <f aca="false">IF(W367="Likely Spam","Flagged by spam rules",TRIM(IF(X367&gt;=20,"Strong source. ","")&amp;IF(Y367&gt;0,"Company email. ","")&amp;IF(Z367&gt;=15,"High-value product. ","")&amp;IF(AA367&gt;='Scoring Model'!$B$15,"High engagement. ","")&amp;IF(AB367&gt;0,"Buying intent in message. ","")&amp;IF(AC367&lt;0,"Negative intent in message. ","")))</f>
        <v>Flagged by spam rules</v>
      </c>
      <c r="AG367" s="11" t="str">
        <f aca="false">IF(W367="Likely Spam","",1/(1+EXP(-('Conversion Model'!$B$5+IFERROR(INDEX('Conversion Model'!$B$8:$B$14,MATCH(C367,'Conversion Model'!$A$8:$A$14,0)),0)+IFERROR(INDEX('Conversion Model'!$E$8:$E$9,MATCH(F367,'Conversion Model'!$D$8:$D$9,0)),0)+IFERROR(INDEX('Conversion Model'!$H$8:$H$12,MATCH(IF(LEFT(J367,8)="Payments","Payments",IF(LEFT(J367,7)="Lending","Lending",J367)),'Conversion Model'!$G$8:$G$12,0)),0)+MIN(L367,15)*'Conversion Model'!$B$17+IF(SUMPRODUCT(--ISNUMBER(SEARCH('Scoring Model'!$D$16:$D$25,K367)))&gt;0,'Conversion Model'!$B$18,0)+IF(SUMPRODUCT(--ISNUMBER(SEARCH('Scoring Model'!$G$16:$G$23,K367)))&gt;0,'Conversion Model'!$B$19,0)))))</f>
        <v/>
      </c>
      <c r="AH367" s="3" t="str">
        <f aca="false">IF(OR(O367="Qualified",O367="Won",O367="Lost"),1,IF(O367="Unqualified",0,""))</f>
        <v/>
      </c>
    </row>
    <row r="368" customFormat="false" ht="15" hidden="false" customHeight="true" outlineLevel="0" collapsed="false">
      <c r="A368" s="3" t="s">
        <v>1437</v>
      </c>
      <c r="B368" s="9" t="n">
        <v>46107.6340277778</v>
      </c>
      <c r="C368" s="3" t="s">
        <v>91</v>
      </c>
      <c r="D368" s="3" t="s">
        <v>1438</v>
      </c>
      <c r="E368" s="3" t="s">
        <v>1439</v>
      </c>
      <c r="F368" s="3" t="s">
        <v>54</v>
      </c>
      <c r="G368" s="3"/>
      <c r="H368" s="3"/>
      <c r="I368" s="3" t="s">
        <v>80</v>
      </c>
      <c r="J368" s="3" t="s">
        <v>145</v>
      </c>
      <c r="K368" s="3" t="s">
        <v>378</v>
      </c>
      <c r="L368" s="3" t="n">
        <v>2</v>
      </c>
      <c r="M368" s="3" t="n">
        <v>68.9</v>
      </c>
      <c r="N368" s="3" t="s">
        <v>59</v>
      </c>
      <c r="O368" s="3"/>
      <c r="P368" s="10"/>
      <c r="Q368" s="3" t="n">
        <f aca="false">IF(F368="Disposable",1,0)</f>
        <v>0</v>
      </c>
      <c r="R368" s="3" t="n">
        <f aca="false">IF(SUMPRODUCT(--ISNUMBER(SEARCH('Spam Rules'!$A$22:$A$35,K368)))&gt;0,1,0)</f>
        <v>0</v>
      </c>
      <c r="S368" s="3" t="n">
        <f aca="false">IF(AND(F368="Free",G368=""),1,0)</f>
        <v>1</v>
      </c>
      <c r="T368" s="3" t="n">
        <f aca="false">IF(LEN(TRIM(K368))&lt;15,1,0)</f>
        <v>0</v>
      </c>
      <c r="U368" s="3" t="n">
        <f aca="false">IF(COUNTIF($E$2:$E$801,E368)&gt;1,1,0)</f>
        <v>0</v>
      </c>
      <c r="V368" s="3" t="n">
        <f aca="false">Q368*'Spam Rules'!$H$6+R368*'Spam Rules'!$H$7+S368*'Spam Rules'!$H$8+T368*'Spam Rules'!$H$9+U368*'Spam Rules'!$H$10</f>
        <v>0</v>
      </c>
      <c r="W368" s="3" t="str">
        <f aca="false">IF(V368&gt;='Spam Rules'!$B$3,"Likely Spam","Genuine")</f>
        <v>Genuine</v>
      </c>
      <c r="X368" s="3" t="n">
        <f aca="false">IFERROR(INDEX('Scoring Model'!$B$5:$B$11,MATCH(C368,'Scoring Model'!$A$5:$A$11,0)),0)</f>
        <v>5</v>
      </c>
      <c r="Y368" s="3" t="n">
        <f aca="false">IFERROR(INDEX('Scoring Model'!$E$5:$E$7,MATCH(F368,'Scoring Model'!$D$5:$D$7,0)),0)</f>
        <v>0</v>
      </c>
      <c r="Z368" s="3" t="n">
        <f aca="false">IFERROR(INDEX('Scoring Model'!$H$5:$H$13,MATCH(J368,'Scoring Model'!$G$5:$G$13,0)),0)</f>
        <v>5</v>
      </c>
      <c r="AA368" s="3" t="n">
        <f aca="false">IF(L368&gt;='Scoring Model'!$B$14,'Scoring Model'!$B$15,IF(L368&gt;='Scoring Model'!$B$16,'Scoring Model'!$B$17,0))</f>
        <v>0</v>
      </c>
      <c r="AB368" s="3" t="n">
        <f aca="false">IF(SUMPRODUCT(--ISNUMBER(SEARCH('Scoring Model'!$D$16:$D$25,K368)))&gt;0,'Scoring Model'!$B$18,0)</f>
        <v>0</v>
      </c>
      <c r="AC368" s="3" t="n">
        <f aca="false">IF(SUMPRODUCT(--ISNUMBER(SEARCH('Scoring Model'!$G$16:$G$23,K368)))&gt;0,'Scoring Model'!$B$19,0)</f>
        <v>-30</v>
      </c>
      <c r="AD368" s="3" t="n">
        <f aca="false">IF(W368="Likely Spam","",SUM(X368:AC368))</f>
        <v>-20</v>
      </c>
      <c r="AE368" s="3" t="str">
        <f aca="false">IF(W368="Likely Spam","Spam",IF(AD368&gt;='Scoring Model'!$B$21,"Hot",IF(AD368&gt;='Scoring Model'!$B$22,"Warm","Nurture")))</f>
        <v>Nurture</v>
      </c>
      <c r="AF368" s="3" t="str">
        <f aca="false">IF(W368="Likely Spam","Flagged by spam rules",TRIM(IF(X368&gt;=20,"Strong source. ","")&amp;IF(Y368&gt;0,"Company email. ","")&amp;IF(Z368&gt;=15,"High-value product. ","")&amp;IF(AA368&gt;='Scoring Model'!$B$15,"High engagement. ","")&amp;IF(AB368&gt;0,"Buying intent in message. ","")&amp;IF(AC368&lt;0,"Negative intent in message. ","")))</f>
        <v>Negative intent in message.</v>
      </c>
      <c r="AG368" s="11" t="n">
        <f aca="false">IF(W368="Likely Spam","",1/(1+EXP(-('Conversion Model'!$B$5+IFERROR(INDEX('Conversion Model'!$B$8:$B$14,MATCH(C368,'Conversion Model'!$A$8:$A$14,0)),0)+IFERROR(INDEX('Conversion Model'!$E$8:$E$9,MATCH(F368,'Conversion Model'!$D$8:$D$9,0)),0)+IFERROR(INDEX('Conversion Model'!$H$8:$H$12,MATCH(IF(LEFT(J368,8)="Payments","Payments",IF(LEFT(J368,7)="Lending","Lending",J368)),'Conversion Model'!$G$8:$G$12,0)),0)+MIN(L368,15)*'Conversion Model'!$B$17+IF(SUMPRODUCT(--ISNUMBER(SEARCH('Scoring Model'!$D$16:$D$25,K368)))&gt;0,'Conversion Model'!$B$18,0)+IF(SUMPRODUCT(--ISNUMBER(SEARCH('Scoring Model'!$G$16:$G$23,K368)))&gt;0,'Conversion Model'!$B$19,0)))))</f>
        <v>0.00210780106204325</v>
      </c>
      <c r="AH368" s="3" t="str">
        <f aca="false">IF(OR(O368="Qualified",O368="Won",O368="Lost"),1,IF(O368="Unqualified",0,""))</f>
        <v/>
      </c>
    </row>
    <row r="369" customFormat="false" ht="15" hidden="false" customHeight="true" outlineLevel="0" collapsed="false">
      <c r="A369" s="3" t="s">
        <v>1440</v>
      </c>
      <c r="B369" s="9" t="n">
        <v>46107.7270833333</v>
      </c>
      <c r="C369" s="3" t="s">
        <v>160</v>
      </c>
      <c r="D369" s="3" t="s">
        <v>1441</v>
      </c>
      <c r="E369" s="3" t="s">
        <v>1442</v>
      </c>
      <c r="F369" s="3" t="s">
        <v>22</v>
      </c>
      <c r="G369" s="3" t="s">
        <v>79</v>
      </c>
      <c r="H369" s="3" t="s">
        <v>886</v>
      </c>
      <c r="I369" s="3" t="s">
        <v>116</v>
      </c>
      <c r="J369" s="3" t="s">
        <v>65</v>
      </c>
      <c r="K369" s="3" t="s">
        <v>82</v>
      </c>
      <c r="L369" s="3" t="n">
        <v>1</v>
      </c>
      <c r="M369" s="3"/>
      <c r="N369" s="3" t="s">
        <v>67</v>
      </c>
      <c r="O369" s="3"/>
      <c r="P369" s="10"/>
      <c r="Q369" s="3" t="n">
        <f aca="false">IF(F369="Disposable",1,0)</f>
        <v>0</v>
      </c>
      <c r="R369" s="3" t="n">
        <f aca="false">IF(SUMPRODUCT(--ISNUMBER(SEARCH('Spam Rules'!$A$22:$A$35,K369)))&gt;0,1,0)</f>
        <v>1</v>
      </c>
      <c r="S369" s="3" t="n">
        <f aca="false">IF(AND(F369="Free",G369=""),1,0)</f>
        <v>0</v>
      </c>
      <c r="T369" s="3" t="n">
        <f aca="false">IF(LEN(TRIM(K369))&lt;15,1,0)</f>
        <v>0</v>
      </c>
      <c r="U369" s="3" t="n">
        <f aca="false">IF(COUNTIF($E$2:$E$801,E369)&gt;1,1,0)</f>
        <v>0</v>
      </c>
      <c r="V369" s="3" t="n">
        <f aca="false">Q369*'Spam Rules'!$H$6+R369*'Spam Rules'!$H$7+S369*'Spam Rules'!$H$8+T369*'Spam Rules'!$H$9+U369*'Spam Rules'!$H$10</f>
        <v>1</v>
      </c>
      <c r="W369" s="3" t="str">
        <f aca="false">IF(V369&gt;='Spam Rules'!$B$3,"Likely Spam","Genuine")</f>
        <v>Likely Spam</v>
      </c>
      <c r="X369" s="3" t="n">
        <f aca="false">IFERROR(INDEX('Scoring Model'!$B$5:$B$11,MATCH(C369,'Scoring Model'!$A$5:$A$11,0)),0)</f>
        <v>25</v>
      </c>
      <c r="Y369" s="3" t="n">
        <f aca="false">IFERROR(INDEX('Scoring Model'!$E$5:$E$7,MATCH(F369,'Scoring Model'!$D$5:$D$7,0)),0)</f>
        <v>20</v>
      </c>
      <c r="Z369" s="3" t="n">
        <f aca="false">IFERROR(INDEX('Scoring Model'!$H$5:$H$13,MATCH(J369,'Scoring Model'!$G$5:$G$13,0)),0)</f>
        <v>0</v>
      </c>
      <c r="AA369" s="3" t="n">
        <f aca="false">IF(L369&gt;='Scoring Model'!$B$14,'Scoring Model'!$B$15,IF(L369&gt;='Scoring Model'!$B$16,'Scoring Model'!$B$17,0))</f>
        <v>0</v>
      </c>
      <c r="AB369" s="3" t="n">
        <f aca="false">IF(SUMPRODUCT(--ISNUMBER(SEARCH('Scoring Model'!$D$16:$D$25,K369)))&gt;0,'Scoring Model'!$B$18,0)</f>
        <v>0</v>
      </c>
      <c r="AC369" s="3" t="n">
        <f aca="false">IF(SUMPRODUCT(--ISNUMBER(SEARCH('Scoring Model'!$G$16:$G$23,K369)))&gt;0,'Scoring Model'!$B$19,0)</f>
        <v>0</v>
      </c>
      <c r="AD369" s="3" t="str">
        <f aca="false">IF(W369="Likely Spam","",SUM(X369:AC369))</f>
        <v/>
      </c>
      <c r="AE369" s="3" t="str">
        <f aca="false">IF(W369="Likely Spam","Spam",IF(AD369&gt;='Scoring Model'!$B$21,"Hot",IF(AD369&gt;='Scoring Model'!$B$22,"Warm","Nurture")))</f>
        <v>Spam</v>
      </c>
      <c r="AF369" s="3" t="str">
        <f aca="false">IF(W369="Likely Spam","Flagged by spam rules",TRIM(IF(X369&gt;=20,"Strong source. ","")&amp;IF(Y369&gt;0,"Company email. ","")&amp;IF(Z369&gt;=15,"High-value product. ","")&amp;IF(AA369&gt;='Scoring Model'!$B$15,"High engagement. ","")&amp;IF(AB369&gt;0,"Buying intent in message. ","")&amp;IF(AC369&lt;0,"Negative intent in message. ","")))</f>
        <v>Flagged by spam rules</v>
      </c>
      <c r="AG369" s="11" t="str">
        <f aca="false">IF(W369="Likely Spam","",1/(1+EXP(-('Conversion Model'!$B$5+IFERROR(INDEX('Conversion Model'!$B$8:$B$14,MATCH(C369,'Conversion Model'!$A$8:$A$14,0)),0)+IFERROR(INDEX('Conversion Model'!$E$8:$E$9,MATCH(F369,'Conversion Model'!$D$8:$D$9,0)),0)+IFERROR(INDEX('Conversion Model'!$H$8:$H$12,MATCH(IF(LEFT(J369,8)="Payments","Payments",IF(LEFT(J369,7)="Lending","Lending",J369)),'Conversion Model'!$G$8:$G$12,0)),0)+MIN(L369,15)*'Conversion Model'!$B$17+IF(SUMPRODUCT(--ISNUMBER(SEARCH('Scoring Model'!$D$16:$D$25,K369)))&gt;0,'Conversion Model'!$B$18,0)+IF(SUMPRODUCT(--ISNUMBER(SEARCH('Scoring Model'!$G$16:$G$23,K369)))&gt;0,'Conversion Model'!$B$19,0)))))</f>
        <v/>
      </c>
      <c r="AH369" s="3" t="str">
        <f aca="false">IF(OR(O369="Qualified",O369="Won",O369="Lost"),1,IF(O369="Unqualified",0,""))</f>
        <v/>
      </c>
    </row>
    <row r="370" customFormat="false" ht="15" hidden="false" customHeight="true" outlineLevel="0" collapsed="false">
      <c r="A370" s="3" t="s">
        <v>1443</v>
      </c>
      <c r="B370" s="9" t="n">
        <v>46107.83125</v>
      </c>
      <c r="C370" s="3" t="s">
        <v>51</v>
      </c>
      <c r="D370" s="3" t="s">
        <v>1101</v>
      </c>
      <c r="E370" s="3" t="s">
        <v>1444</v>
      </c>
      <c r="F370" s="3" t="s">
        <v>54</v>
      </c>
      <c r="G370" s="3"/>
      <c r="H370" s="3"/>
      <c r="I370" s="3" t="s">
        <v>64</v>
      </c>
      <c r="J370" s="3" t="s">
        <v>145</v>
      </c>
      <c r="K370" s="3" t="s">
        <v>213</v>
      </c>
      <c r="L370" s="3" t="n">
        <v>3</v>
      </c>
      <c r="M370" s="3" t="n">
        <v>4.4</v>
      </c>
      <c r="N370" s="3" t="s">
        <v>59</v>
      </c>
      <c r="O370" s="3" t="s">
        <v>194</v>
      </c>
      <c r="P370" s="10"/>
      <c r="Q370" s="3" t="n">
        <f aca="false">IF(F370="Disposable",1,0)</f>
        <v>0</v>
      </c>
      <c r="R370" s="3" t="n">
        <f aca="false">IF(SUMPRODUCT(--ISNUMBER(SEARCH('Spam Rules'!$A$22:$A$35,K370)))&gt;0,1,0)</f>
        <v>0</v>
      </c>
      <c r="S370" s="3" t="n">
        <f aca="false">IF(AND(F370="Free",G370=""),1,0)</f>
        <v>1</v>
      </c>
      <c r="T370" s="3" t="n">
        <f aca="false">IF(LEN(TRIM(K370))&lt;15,1,0)</f>
        <v>0</v>
      </c>
      <c r="U370" s="3" t="n">
        <f aca="false">IF(COUNTIF($E$2:$E$801,E370)&gt;1,1,0)</f>
        <v>0</v>
      </c>
      <c r="V370" s="3" t="n">
        <f aca="false">Q370*'Spam Rules'!$H$6+R370*'Spam Rules'!$H$7+S370*'Spam Rules'!$H$8+T370*'Spam Rules'!$H$9+U370*'Spam Rules'!$H$10</f>
        <v>0</v>
      </c>
      <c r="W370" s="3" t="str">
        <f aca="false">IF(V370&gt;='Spam Rules'!$B$3,"Likely Spam","Genuine")</f>
        <v>Genuine</v>
      </c>
      <c r="X370" s="3" t="n">
        <f aca="false">IFERROR(INDEX('Scoring Model'!$B$5:$B$11,MATCH(C370,'Scoring Model'!$A$5:$A$11,0)),0)</f>
        <v>10</v>
      </c>
      <c r="Y370" s="3" t="n">
        <f aca="false">IFERROR(INDEX('Scoring Model'!$E$5:$E$7,MATCH(F370,'Scoring Model'!$D$5:$D$7,0)),0)</f>
        <v>0</v>
      </c>
      <c r="Z370" s="3" t="n">
        <f aca="false">IFERROR(INDEX('Scoring Model'!$H$5:$H$13,MATCH(J370,'Scoring Model'!$G$5:$G$13,0)),0)</f>
        <v>5</v>
      </c>
      <c r="AA370" s="3" t="n">
        <f aca="false">IF(L370&gt;='Scoring Model'!$B$14,'Scoring Model'!$B$15,IF(L370&gt;='Scoring Model'!$B$16,'Scoring Model'!$B$17,0))</f>
        <v>0</v>
      </c>
      <c r="AB370" s="3" t="n">
        <f aca="false">IF(SUMPRODUCT(--ISNUMBER(SEARCH('Scoring Model'!$D$16:$D$25,K370)))&gt;0,'Scoring Model'!$B$18,0)</f>
        <v>0</v>
      </c>
      <c r="AC370" s="3" t="n">
        <f aca="false">IF(SUMPRODUCT(--ISNUMBER(SEARCH('Scoring Model'!$G$16:$G$23,K370)))&gt;0,'Scoring Model'!$B$19,0)</f>
        <v>-30</v>
      </c>
      <c r="AD370" s="3" t="n">
        <f aca="false">IF(W370="Likely Spam","",SUM(X370:AC370))</f>
        <v>-15</v>
      </c>
      <c r="AE370" s="3" t="str">
        <f aca="false">IF(W370="Likely Spam","Spam",IF(AD370&gt;='Scoring Model'!$B$21,"Hot",IF(AD370&gt;='Scoring Model'!$B$22,"Warm","Nurture")))</f>
        <v>Nurture</v>
      </c>
      <c r="AF370" s="3" t="str">
        <f aca="false">IF(W370="Likely Spam","Flagged by spam rules",TRIM(IF(X370&gt;=20,"Strong source. ","")&amp;IF(Y370&gt;0,"Company email. ","")&amp;IF(Z370&gt;=15,"High-value product. ","")&amp;IF(AA370&gt;='Scoring Model'!$B$15,"High engagement. ","")&amp;IF(AB370&gt;0,"Buying intent in message. ","")&amp;IF(AC370&lt;0,"Negative intent in message. ","")))</f>
        <v>Negative intent in message.</v>
      </c>
      <c r="AG370" s="11" t="n">
        <f aca="false">IF(W370="Likely Spam","",1/(1+EXP(-('Conversion Model'!$B$5+IFERROR(INDEX('Conversion Model'!$B$8:$B$14,MATCH(C370,'Conversion Model'!$A$8:$A$14,0)),0)+IFERROR(INDEX('Conversion Model'!$E$8:$E$9,MATCH(F370,'Conversion Model'!$D$8:$D$9,0)),0)+IFERROR(INDEX('Conversion Model'!$H$8:$H$12,MATCH(IF(LEFT(J370,8)="Payments","Payments",IF(LEFT(J370,7)="Lending","Lending",J370)),'Conversion Model'!$G$8:$G$12,0)),0)+MIN(L370,15)*'Conversion Model'!$B$17+IF(SUMPRODUCT(--ISNUMBER(SEARCH('Scoring Model'!$D$16:$D$25,K370)))&gt;0,'Conversion Model'!$B$18,0)+IF(SUMPRODUCT(--ISNUMBER(SEARCH('Scoring Model'!$G$16:$G$23,K370)))&gt;0,'Conversion Model'!$B$19,0)))))</f>
        <v>0.00639387738074586</v>
      </c>
      <c r="AH370" s="3" t="n">
        <f aca="false">IF(OR(O370="Qualified",O370="Won",O370="Lost"),1,IF(O370="Unqualified",0,""))</f>
        <v>0</v>
      </c>
    </row>
    <row r="371" customFormat="false" ht="15" hidden="false" customHeight="true" outlineLevel="0" collapsed="false">
      <c r="A371" s="3" t="s">
        <v>1445</v>
      </c>
      <c r="B371" s="9" t="n">
        <v>46107.8576388889</v>
      </c>
      <c r="C371" s="3" t="s">
        <v>160</v>
      </c>
      <c r="D371" s="3" t="s">
        <v>681</v>
      </c>
      <c r="E371" s="3" t="s">
        <v>1446</v>
      </c>
      <c r="F371" s="3" t="s">
        <v>22</v>
      </c>
      <c r="G371" s="3" t="s">
        <v>1447</v>
      </c>
      <c r="H371" s="3" t="s">
        <v>1448</v>
      </c>
      <c r="I371" s="3" t="s">
        <v>107</v>
      </c>
      <c r="J371" s="3" t="s">
        <v>165</v>
      </c>
      <c r="K371" s="3" t="s">
        <v>266</v>
      </c>
      <c r="L371" s="3" t="n">
        <v>6</v>
      </c>
      <c r="M371" s="3" t="n">
        <v>3.6</v>
      </c>
      <c r="N371" s="3" t="s">
        <v>59</v>
      </c>
      <c r="O371" s="3" t="s">
        <v>110</v>
      </c>
      <c r="P371" s="10"/>
      <c r="Q371" s="3" t="n">
        <f aca="false">IF(F371="Disposable",1,0)</f>
        <v>0</v>
      </c>
      <c r="R371" s="3" t="n">
        <f aca="false">IF(SUMPRODUCT(--ISNUMBER(SEARCH('Spam Rules'!$A$22:$A$35,K371)))&gt;0,1,0)</f>
        <v>0</v>
      </c>
      <c r="S371" s="3" t="n">
        <f aca="false">IF(AND(F371="Free",G371=""),1,0)</f>
        <v>0</v>
      </c>
      <c r="T371" s="3" t="n">
        <f aca="false">IF(LEN(TRIM(K371))&lt;15,1,0)</f>
        <v>0</v>
      </c>
      <c r="U371" s="3" t="n">
        <f aca="false">IF(COUNTIF($E$2:$E$801,E371)&gt;1,1,0)</f>
        <v>0</v>
      </c>
      <c r="V371" s="3" t="n">
        <f aca="false">Q371*'Spam Rules'!$H$6+R371*'Spam Rules'!$H$7+S371*'Spam Rules'!$H$8+T371*'Spam Rules'!$H$9+U371*'Spam Rules'!$H$10</f>
        <v>0</v>
      </c>
      <c r="W371" s="3" t="str">
        <f aca="false">IF(V371&gt;='Spam Rules'!$B$3,"Likely Spam","Genuine")</f>
        <v>Genuine</v>
      </c>
      <c r="X371" s="3" t="n">
        <f aca="false">IFERROR(INDEX('Scoring Model'!$B$5:$B$11,MATCH(C371,'Scoring Model'!$A$5:$A$11,0)),0)</f>
        <v>25</v>
      </c>
      <c r="Y371" s="3" t="n">
        <f aca="false">IFERROR(INDEX('Scoring Model'!$E$5:$E$7,MATCH(F371,'Scoring Model'!$D$5:$D$7,0)),0)</f>
        <v>20</v>
      </c>
      <c r="Z371" s="3" t="n">
        <f aca="false">IFERROR(INDEX('Scoring Model'!$H$5:$H$13,MATCH(J371,'Scoring Model'!$G$5:$G$13,0)),0)</f>
        <v>15</v>
      </c>
      <c r="AA371" s="3" t="n">
        <f aca="false">IF(L371&gt;='Scoring Model'!$B$14,'Scoring Model'!$B$15,IF(L371&gt;='Scoring Model'!$B$16,'Scoring Model'!$B$17,0))</f>
        <v>8</v>
      </c>
      <c r="AB371" s="3" t="n">
        <f aca="false">IF(SUMPRODUCT(--ISNUMBER(SEARCH('Scoring Model'!$D$16:$D$25,K371)))&gt;0,'Scoring Model'!$B$18,0)</f>
        <v>15</v>
      </c>
      <c r="AC371" s="3" t="n">
        <f aca="false">IF(SUMPRODUCT(--ISNUMBER(SEARCH('Scoring Model'!$G$16:$G$23,K371)))&gt;0,'Scoring Model'!$B$19,0)</f>
        <v>0</v>
      </c>
      <c r="AD371" s="3" t="n">
        <f aca="false">IF(W371="Likely Spam","",SUM(X371:AC371))</f>
        <v>83</v>
      </c>
      <c r="AE371" s="3" t="str">
        <f aca="false">IF(W371="Likely Spam","Spam",IF(AD371&gt;='Scoring Model'!$B$21,"Hot",IF(AD371&gt;='Scoring Model'!$B$22,"Warm","Nurture")))</f>
        <v>Hot</v>
      </c>
      <c r="AF371" s="3" t="str">
        <f aca="false">IF(W371="Likely Spam","Flagged by spam rules",TRIM(IF(X371&gt;=20,"Strong source. ","")&amp;IF(Y371&gt;0,"Company email. ","")&amp;IF(Z371&gt;=15,"High-value product. ","")&amp;IF(AA371&gt;='Scoring Model'!$B$15,"High engagement. ","")&amp;IF(AB371&gt;0,"Buying intent in message. ","")&amp;IF(AC371&lt;0,"Negative intent in message. ","")))</f>
        <v>Strong source. Company email. High-value product. Buying intent in message.</v>
      </c>
      <c r="AG371" s="11" t="n">
        <f aca="false">IF(W371="Likely Spam","",1/(1+EXP(-('Conversion Model'!$B$5+IFERROR(INDEX('Conversion Model'!$B$8:$B$14,MATCH(C371,'Conversion Model'!$A$8:$A$14,0)),0)+IFERROR(INDEX('Conversion Model'!$E$8:$E$9,MATCH(F371,'Conversion Model'!$D$8:$D$9,0)),0)+IFERROR(INDEX('Conversion Model'!$H$8:$H$12,MATCH(IF(LEFT(J371,8)="Payments","Payments",IF(LEFT(J371,7)="Lending","Lending",J371)),'Conversion Model'!$G$8:$G$12,0)),0)+MIN(L371,15)*'Conversion Model'!$B$17+IF(SUMPRODUCT(--ISNUMBER(SEARCH('Scoring Model'!$D$16:$D$25,K371)))&gt;0,'Conversion Model'!$B$18,0)+IF(SUMPRODUCT(--ISNUMBER(SEARCH('Scoring Model'!$G$16:$G$23,K371)))&gt;0,'Conversion Model'!$B$19,0)))))</f>
        <v>0.891291350156366</v>
      </c>
      <c r="AH371" s="3" t="n">
        <f aca="false">IF(OR(O371="Qualified",O371="Won",O371="Lost"),1,IF(O371="Unqualified",0,""))</f>
        <v>1</v>
      </c>
    </row>
    <row r="372" customFormat="false" ht="15" hidden="false" customHeight="true" outlineLevel="0" collapsed="false">
      <c r="A372" s="3" t="s">
        <v>1449</v>
      </c>
      <c r="B372" s="9" t="n">
        <v>46108.9270833333</v>
      </c>
      <c r="C372" s="3" t="s">
        <v>76</v>
      </c>
      <c r="D372" s="3" t="s">
        <v>450</v>
      </c>
      <c r="E372" s="3" t="s">
        <v>62</v>
      </c>
      <c r="F372" s="3" t="s">
        <v>63</v>
      </c>
      <c r="G372" s="3"/>
      <c r="H372" s="3"/>
      <c r="I372" s="3" t="s">
        <v>260</v>
      </c>
      <c r="J372" s="3" t="s">
        <v>65</v>
      </c>
      <c r="K372" s="3" t="s">
        <v>239</v>
      </c>
      <c r="L372" s="3" t="n">
        <v>2</v>
      </c>
      <c r="M372" s="3" t="n">
        <v>11.2</v>
      </c>
      <c r="N372" s="3" t="s">
        <v>96</v>
      </c>
      <c r="O372" s="3" t="s">
        <v>68</v>
      </c>
      <c r="P372" s="10"/>
      <c r="Q372" s="3" t="n">
        <f aca="false">IF(F372="Disposable",1,0)</f>
        <v>1</v>
      </c>
      <c r="R372" s="3" t="n">
        <f aca="false">IF(SUMPRODUCT(--ISNUMBER(SEARCH('Spam Rules'!$A$22:$A$35,K372)))&gt;0,1,0)</f>
        <v>1</v>
      </c>
      <c r="S372" s="3" t="n">
        <f aca="false">IF(AND(F372="Free",G372=""),1,0)</f>
        <v>0</v>
      </c>
      <c r="T372" s="3" t="n">
        <f aca="false">IF(LEN(TRIM(K372))&lt;15,1,0)</f>
        <v>0</v>
      </c>
      <c r="U372" s="3" t="n">
        <f aca="false">IF(COUNTIF($E$2:$E$801,E372)&gt;1,1,0)</f>
        <v>1</v>
      </c>
      <c r="V372" s="3" t="n">
        <f aca="false">Q372*'Spam Rules'!$H$6+R372*'Spam Rules'!$H$7+S372*'Spam Rules'!$H$8+T372*'Spam Rules'!$H$9+U372*'Spam Rules'!$H$10</f>
        <v>2</v>
      </c>
      <c r="W372" s="3" t="str">
        <f aca="false">IF(V372&gt;='Spam Rules'!$B$3,"Likely Spam","Genuine")</f>
        <v>Likely Spam</v>
      </c>
      <c r="X372" s="3" t="n">
        <f aca="false">IFERROR(INDEX('Scoring Model'!$B$5:$B$11,MATCH(C372,'Scoring Model'!$A$5:$A$11,0)),0)</f>
        <v>0</v>
      </c>
      <c r="Y372" s="3" t="n">
        <f aca="false">IFERROR(INDEX('Scoring Model'!$E$5:$E$7,MATCH(F372,'Scoring Model'!$D$5:$D$7,0)),0)</f>
        <v>0</v>
      </c>
      <c r="Z372" s="3" t="n">
        <f aca="false">IFERROR(INDEX('Scoring Model'!$H$5:$H$13,MATCH(J372,'Scoring Model'!$G$5:$G$13,0)),0)</f>
        <v>0</v>
      </c>
      <c r="AA372" s="3" t="n">
        <f aca="false">IF(L372&gt;='Scoring Model'!$B$14,'Scoring Model'!$B$15,IF(L372&gt;='Scoring Model'!$B$16,'Scoring Model'!$B$17,0))</f>
        <v>0</v>
      </c>
      <c r="AB372" s="3" t="n">
        <f aca="false">IF(SUMPRODUCT(--ISNUMBER(SEARCH('Scoring Model'!$D$16:$D$25,K372)))&gt;0,'Scoring Model'!$B$18,0)</f>
        <v>0</v>
      </c>
      <c r="AC372" s="3" t="n">
        <f aca="false">IF(SUMPRODUCT(--ISNUMBER(SEARCH('Scoring Model'!$G$16:$G$23,K372)))&gt;0,'Scoring Model'!$B$19,0)</f>
        <v>0</v>
      </c>
      <c r="AD372" s="3" t="str">
        <f aca="false">IF(W372="Likely Spam","",SUM(X372:AC372))</f>
        <v/>
      </c>
      <c r="AE372" s="3" t="str">
        <f aca="false">IF(W372="Likely Spam","Spam",IF(AD372&gt;='Scoring Model'!$B$21,"Hot",IF(AD372&gt;='Scoring Model'!$B$22,"Warm","Nurture")))</f>
        <v>Spam</v>
      </c>
      <c r="AF372" s="3" t="str">
        <f aca="false">IF(W372="Likely Spam","Flagged by spam rules",TRIM(IF(X372&gt;=20,"Strong source. ","")&amp;IF(Y372&gt;0,"Company email. ","")&amp;IF(Z372&gt;=15,"High-value product. ","")&amp;IF(AA372&gt;='Scoring Model'!$B$15,"High engagement. ","")&amp;IF(AB372&gt;0,"Buying intent in message. ","")&amp;IF(AC372&lt;0,"Negative intent in message. ","")))</f>
        <v>Flagged by spam rules</v>
      </c>
      <c r="AG372" s="11" t="str">
        <f aca="false">IF(W372="Likely Spam","",1/(1+EXP(-('Conversion Model'!$B$5+IFERROR(INDEX('Conversion Model'!$B$8:$B$14,MATCH(C372,'Conversion Model'!$A$8:$A$14,0)),0)+IFERROR(INDEX('Conversion Model'!$E$8:$E$9,MATCH(F372,'Conversion Model'!$D$8:$D$9,0)),0)+IFERROR(INDEX('Conversion Model'!$H$8:$H$12,MATCH(IF(LEFT(J372,8)="Payments","Payments",IF(LEFT(J372,7)="Lending","Lending",J372)),'Conversion Model'!$G$8:$G$12,0)),0)+MIN(L372,15)*'Conversion Model'!$B$17+IF(SUMPRODUCT(--ISNUMBER(SEARCH('Scoring Model'!$D$16:$D$25,K372)))&gt;0,'Conversion Model'!$B$18,0)+IF(SUMPRODUCT(--ISNUMBER(SEARCH('Scoring Model'!$G$16:$G$23,K372)))&gt;0,'Conversion Model'!$B$19,0)))))</f>
        <v/>
      </c>
      <c r="AH372" s="3" t="str">
        <f aca="false">IF(OR(O372="Qualified",O372="Won",O372="Lost"),1,IF(O372="Unqualified",0,""))</f>
        <v/>
      </c>
    </row>
    <row r="373" customFormat="false" ht="15" hidden="false" customHeight="true" outlineLevel="0" collapsed="false">
      <c r="A373" s="3" t="s">
        <v>1450</v>
      </c>
      <c r="B373" s="9" t="n">
        <v>46108.9659722222</v>
      </c>
      <c r="C373" s="3" t="s">
        <v>76</v>
      </c>
      <c r="D373" s="3" t="s">
        <v>1451</v>
      </c>
      <c r="E373" s="3" t="s">
        <v>1452</v>
      </c>
      <c r="F373" s="3" t="s">
        <v>22</v>
      </c>
      <c r="G373" s="3" t="s">
        <v>478</v>
      </c>
      <c r="H373" s="3" t="s">
        <v>479</v>
      </c>
      <c r="I373" s="3" t="s">
        <v>139</v>
      </c>
      <c r="J373" s="3" t="s">
        <v>81</v>
      </c>
      <c r="K373" s="3" t="s">
        <v>349</v>
      </c>
      <c r="L373" s="3" t="n">
        <v>2</v>
      </c>
      <c r="M373" s="3" t="n">
        <v>71.5</v>
      </c>
      <c r="N373" s="3" t="s">
        <v>171</v>
      </c>
      <c r="O373" s="3"/>
      <c r="P373" s="10"/>
      <c r="Q373" s="3" t="n">
        <f aca="false">IF(F373="Disposable",1,0)</f>
        <v>0</v>
      </c>
      <c r="R373" s="3" t="n">
        <f aca="false">IF(SUMPRODUCT(--ISNUMBER(SEARCH('Spam Rules'!$A$22:$A$35,K373)))&gt;0,1,0)</f>
        <v>0</v>
      </c>
      <c r="S373" s="3" t="n">
        <f aca="false">IF(AND(F373="Free",G373=""),1,0)</f>
        <v>0</v>
      </c>
      <c r="T373" s="3" t="n">
        <f aca="false">IF(LEN(TRIM(K373))&lt;15,1,0)</f>
        <v>0</v>
      </c>
      <c r="U373" s="3" t="n">
        <f aca="false">IF(COUNTIF($E$2:$E$801,E373)&gt;1,1,0)</f>
        <v>0</v>
      </c>
      <c r="V373" s="3" t="n">
        <f aca="false">Q373*'Spam Rules'!$H$6+R373*'Spam Rules'!$H$7+S373*'Spam Rules'!$H$8+T373*'Spam Rules'!$H$9+U373*'Spam Rules'!$H$10</f>
        <v>0</v>
      </c>
      <c r="W373" s="3" t="str">
        <f aca="false">IF(V373&gt;='Spam Rules'!$B$3,"Likely Spam","Genuine")</f>
        <v>Genuine</v>
      </c>
      <c r="X373" s="3" t="n">
        <f aca="false">IFERROR(INDEX('Scoring Model'!$B$5:$B$11,MATCH(C373,'Scoring Model'!$A$5:$A$11,0)),0)</f>
        <v>0</v>
      </c>
      <c r="Y373" s="3" t="n">
        <f aca="false">IFERROR(INDEX('Scoring Model'!$E$5:$E$7,MATCH(F373,'Scoring Model'!$D$5:$D$7,0)),0)</f>
        <v>20</v>
      </c>
      <c r="Z373" s="3" t="n">
        <f aca="false">IFERROR(INDEX('Scoring Model'!$H$5:$H$13,MATCH(J373,'Scoring Model'!$G$5:$G$13,0)),0)</f>
        <v>5</v>
      </c>
      <c r="AA373" s="3" t="n">
        <f aca="false">IF(L373&gt;='Scoring Model'!$B$14,'Scoring Model'!$B$15,IF(L373&gt;='Scoring Model'!$B$16,'Scoring Model'!$B$17,0))</f>
        <v>0</v>
      </c>
      <c r="AB373" s="3" t="n">
        <f aca="false">IF(SUMPRODUCT(--ISNUMBER(SEARCH('Scoring Model'!$D$16:$D$25,K373)))&gt;0,'Scoring Model'!$B$18,0)</f>
        <v>0</v>
      </c>
      <c r="AC373" s="3" t="n">
        <f aca="false">IF(SUMPRODUCT(--ISNUMBER(SEARCH('Scoring Model'!$G$16:$G$23,K373)))&gt;0,'Scoring Model'!$B$19,0)</f>
        <v>-30</v>
      </c>
      <c r="AD373" s="3" t="n">
        <f aca="false">IF(W373="Likely Spam","",SUM(X373:AC373))</f>
        <v>-5</v>
      </c>
      <c r="AE373" s="3" t="str">
        <f aca="false">IF(W373="Likely Spam","Spam",IF(AD373&gt;='Scoring Model'!$B$21,"Hot",IF(AD373&gt;='Scoring Model'!$B$22,"Warm","Nurture")))</f>
        <v>Nurture</v>
      </c>
      <c r="AF373" s="3" t="str">
        <f aca="false">IF(W373="Likely Spam","Flagged by spam rules",TRIM(IF(X373&gt;=20,"Strong source. ","")&amp;IF(Y373&gt;0,"Company email. ","")&amp;IF(Z373&gt;=15,"High-value product. ","")&amp;IF(AA373&gt;='Scoring Model'!$B$15,"High engagement. ","")&amp;IF(AB373&gt;0,"Buying intent in message. ","")&amp;IF(AC373&lt;0,"Negative intent in message. ","")))</f>
        <v>Company email. Negative intent in message.</v>
      </c>
      <c r="AG373" s="11" t="n">
        <f aca="false">IF(W373="Likely Spam","",1/(1+EXP(-('Conversion Model'!$B$5+IFERROR(INDEX('Conversion Model'!$B$8:$B$14,MATCH(C373,'Conversion Model'!$A$8:$A$14,0)),0)+IFERROR(INDEX('Conversion Model'!$E$8:$E$9,MATCH(F373,'Conversion Model'!$D$8:$D$9,0)),0)+IFERROR(INDEX('Conversion Model'!$H$8:$H$12,MATCH(IF(LEFT(J373,8)="Payments","Payments",IF(LEFT(J373,7)="Lending","Lending",J373)),'Conversion Model'!$G$8:$G$12,0)),0)+MIN(L373,15)*'Conversion Model'!$B$17+IF(SUMPRODUCT(--ISNUMBER(SEARCH('Scoring Model'!$D$16:$D$25,K373)))&gt;0,'Conversion Model'!$B$18,0)+IF(SUMPRODUCT(--ISNUMBER(SEARCH('Scoring Model'!$G$16:$G$23,K373)))&gt;0,'Conversion Model'!$B$19,0)))))</f>
        <v>0.00293824571637763</v>
      </c>
      <c r="AH373" s="3" t="str">
        <f aca="false">IF(OR(O373="Qualified",O373="Won",O373="Lost"),1,IF(O373="Unqualified",0,""))</f>
        <v/>
      </c>
    </row>
    <row r="374" customFormat="false" ht="15" hidden="false" customHeight="true" outlineLevel="0" collapsed="false">
      <c r="A374" s="3" t="s">
        <v>1453</v>
      </c>
      <c r="B374" s="9" t="n">
        <v>46109.0041666667</v>
      </c>
      <c r="C374" s="3" t="s">
        <v>160</v>
      </c>
      <c r="D374" s="3" t="s">
        <v>579</v>
      </c>
      <c r="E374" s="3" t="s">
        <v>1454</v>
      </c>
      <c r="F374" s="3" t="s">
        <v>22</v>
      </c>
      <c r="G374" s="3" t="s">
        <v>1455</v>
      </c>
      <c r="H374" s="3" t="s">
        <v>1456</v>
      </c>
      <c r="I374" s="3" t="s">
        <v>116</v>
      </c>
      <c r="J374" s="3" t="s">
        <v>57</v>
      </c>
      <c r="K374" s="3" t="s">
        <v>58</v>
      </c>
      <c r="L374" s="3" t="n">
        <v>12</v>
      </c>
      <c r="M374" s="3" t="n">
        <v>18.2</v>
      </c>
      <c r="N374" s="3" t="s">
        <v>171</v>
      </c>
      <c r="O374" s="3" t="s">
        <v>331</v>
      </c>
      <c r="P374" s="10"/>
      <c r="Q374" s="3" t="n">
        <f aca="false">IF(F374="Disposable",1,0)</f>
        <v>0</v>
      </c>
      <c r="R374" s="3" t="n">
        <f aca="false">IF(SUMPRODUCT(--ISNUMBER(SEARCH('Spam Rules'!$A$22:$A$35,K374)))&gt;0,1,0)</f>
        <v>0</v>
      </c>
      <c r="S374" s="3" t="n">
        <f aca="false">IF(AND(F374="Free",G374=""),1,0)</f>
        <v>0</v>
      </c>
      <c r="T374" s="3" t="n">
        <f aca="false">IF(LEN(TRIM(K374))&lt;15,1,0)</f>
        <v>0</v>
      </c>
      <c r="U374" s="3" t="n">
        <f aca="false">IF(COUNTIF($E$2:$E$801,E374)&gt;1,1,0)</f>
        <v>0</v>
      </c>
      <c r="V374" s="3" t="n">
        <f aca="false">Q374*'Spam Rules'!$H$6+R374*'Spam Rules'!$H$7+S374*'Spam Rules'!$H$8+T374*'Spam Rules'!$H$9+U374*'Spam Rules'!$H$10</f>
        <v>0</v>
      </c>
      <c r="W374" s="3" t="str">
        <f aca="false">IF(V374&gt;='Spam Rules'!$B$3,"Likely Spam","Genuine")</f>
        <v>Genuine</v>
      </c>
      <c r="X374" s="3" t="n">
        <f aca="false">IFERROR(INDEX('Scoring Model'!$B$5:$B$11,MATCH(C374,'Scoring Model'!$A$5:$A$11,0)),0)</f>
        <v>25</v>
      </c>
      <c r="Y374" s="3" t="n">
        <f aca="false">IFERROR(INDEX('Scoring Model'!$E$5:$E$7,MATCH(F374,'Scoring Model'!$D$5:$D$7,0)),0)</f>
        <v>20</v>
      </c>
      <c r="Z374" s="3" t="n">
        <f aca="false">IFERROR(INDEX('Scoring Model'!$H$5:$H$13,MATCH(J374,'Scoring Model'!$G$5:$G$13,0)),0)</f>
        <v>15</v>
      </c>
      <c r="AA374" s="3" t="n">
        <f aca="false">IF(L374&gt;='Scoring Model'!$B$14,'Scoring Model'!$B$15,IF(L374&gt;='Scoring Model'!$B$16,'Scoring Model'!$B$17,0))</f>
        <v>15</v>
      </c>
      <c r="AB374" s="3" t="n">
        <f aca="false">IF(SUMPRODUCT(--ISNUMBER(SEARCH('Scoring Model'!$D$16:$D$25,K374)))&gt;0,'Scoring Model'!$B$18,0)</f>
        <v>15</v>
      </c>
      <c r="AC374" s="3" t="n">
        <f aca="false">IF(SUMPRODUCT(--ISNUMBER(SEARCH('Scoring Model'!$G$16:$G$23,K374)))&gt;0,'Scoring Model'!$B$19,0)</f>
        <v>0</v>
      </c>
      <c r="AD374" s="3" t="n">
        <f aca="false">IF(W374="Likely Spam","",SUM(X374:AC374))</f>
        <v>90</v>
      </c>
      <c r="AE374" s="3" t="str">
        <f aca="false">IF(W374="Likely Spam","Spam",IF(AD374&gt;='Scoring Model'!$B$21,"Hot",IF(AD374&gt;='Scoring Model'!$B$22,"Warm","Nurture")))</f>
        <v>Hot</v>
      </c>
      <c r="AF374" s="3" t="str">
        <f aca="false">IF(W374="Likely Spam","Flagged by spam rules",TRIM(IF(X374&gt;=20,"Strong source. ","")&amp;IF(Y374&gt;0,"Company email. ","")&amp;IF(Z374&gt;=15,"High-value product. ","")&amp;IF(AA374&gt;='Scoring Model'!$B$15,"High engagement. ","")&amp;IF(AB374&gt;0,"Buying intent in message. ","")&amp;IF(AC374&lt;0,"Negative intent in message. ","")))</f>
        <v>Strong source. Company email. High-value product. High engagement. Buying intent in message.</v>
      </c>
      <c r="AG374" s="11" t="n">
        <f aca="false">IF(W374="Likely Spam","",1/(1+EXP(-('Conversion Model'!$B$5+IFERROR(INDEX('Conversion Model'!$B$8:$B$14,MATCH(C374,'Conversion Model'!$A$8:$A$14,0)),0)+IFERROR(INDEX('Conversion Model'!$E$8:$E$9,MATCH(F374,'Conversion Model'!$D$8:$D$9,0)),0)+IFERROR(INDEX('Conversion Model'!$H$8:$H$12,MATCH(IF(LEFT(J374,8)="Payments","Payments",IF(LEFT(J374,7)="Lending","Lending",J374)),'Conversion Model'!$G$8:$G$12,0)),0)+MIN(L374,15)*'Conversion Model'!$B$17+IF(SUMPRODUCT(--ISNUMBER(SEARCH('Scoring Model'!$D$16:$D$25,K374)))&gt;0,'Conversion Model'!$B$18,0)+IF(SUMPRODUCT(--ISNUMBER(SEARCH('Scoring Model'!$G$16:$G$23,K374)))&gt;0,'Conversion Model'!$B$19,0)))))</f>
        <v>0.999009193497682</v>
      </c>
      <c r="AH374" s="3" t="n">
        <f aca="false">IF(OR(O374="Qualified",O374="Won",O374="Lost"),1,IF(O374="Unqualified",0,""))</f>
        <v>1</v>
      </c>
    </row>
    <row r="375" customFormat="false" ht="15" hidden="false" customHeight="true" outlineLevel="0" collapsed="false">
      <c r="A375" s="3" t="s">
        <v>1457</v>
      </c>
      <c r="B375" s="9" t="n">
        <v>46109.7472222222</v>
      </c>
      <c r="C375" s="3" t="s">
        <v>51</v>
      </c>
      <c r="D375" s="3" t="s">
        <v>566</v>
      </c>
      <c r="E375" s="3" t="s">
        <v>1458</v>
      </c>
      <c r="F375" s="3" t="s">
        <v>54</v>
      </c>
      <c r="G375" s="3" t="s">
        <v>1459</v>
      </c>
      <c r="H375" s="3"/>
      <c r="I375" s="3" t="s">
        <v>80</v>
      </c>
      <c r="J375" s="3" t="s">
        <v>122</v>
      </c>
      <c r="K375" s="3" t="s">
        <v>378</v>
      </c>
      <c r="L375" s="3" t="n">
        <v>4</v>
      </c>
      <c r="M375" s="3" t="n">
        <v>10.7</v>
      </c>
      <c r="N375" s="3" t="s">
        <v>96</v>
      </c>
      <c r="O375" s="3" t="s">
        <v>194</v>
      </c>
      <c r="P375" s="10"/>
      <c r="Q375" s="3" t="n">
        <f aca="false">IF(F375="Disposable",1,0)</f>
        <v>0</v>
      </c>
      <c r="R375" s="3" t="n">
        <f aca="false">IF(SUMPRODUCT(--ISNUMBER(SEARCH('Spam Rules'!$A$22:$A$35,K375)))&gt;0,1,0)</f>
        <v>0</v>
      </c>
      <c r="S375" s="3" t="n">
        <f aca="false">IF(AND(F375="Free",G375=""),1,0)</f>
        <v>0</v>
      </c>
      <c r="T375" s="3" t="n">
        <f aca="false">IF(LEN(TRIM(K375))&lt;15,1,0)</f>
        <v>0</v>
      </c>
      <c r="U375" s="3" t="n">
        <f aca="false">IF(COUNTIF($E$2:$E$801,E375)&gt;1,1,0)</f>
        <v>0</v>
      </c>
      <c r="V375" s="3" t="n">
        <f aca="false">Q375*'Spam Rules'!$H$6+R375*'Spam Rules'!$H$7+S375*'Spam Rules'!$H$8+T375*'Spam Rules'!$H$9+U375*'Spam Rules'!$H$10</f>
        <v>0</v>
      </c>
      <c r="W375" s="3" t="str">
        <f aca="false">IF(V375&gt;='Spam Rules'!$B$3,"Likely Spam","Genuine")</f>
        <v>Genuine</v>
      </c>
      <c r="X375" s="3" t="n">
        <f aca="false">IFERROR(INDEX('Scoring Model'!$B$5:$B$11,MATCH(C375,'Scoring Model'!$A$5:$A$11,0)),0)</f>
        <v>10</v>
      </c>
      <c r="Y375" s="3" t="n">
        <f aca="false">IFERROR(INDEX('Scoring Model'!$E$5:$E$7,MATCH(F375,'Scoring Model'!$D$5:$D$7,0)),0)</f>
        <v>0</v>
      </c>
      <c r="Z375" s="3" t="n">
        <f aca="false">IFERROR(INDEX('Scoring Model'!$H$5:$H$13,MATCH(J375,'Scoring Model'!$G$5:$G$13,0)),0)</f>
        <v>15</v>
      </c>
      <c r="AA375" s="3" t="n">
        <f aca="false">IF(L375&gt;='Scoring Model'!$B$14,'Scoring Model'!$B$15,IF(L375&gt;='Scoring Model'!$B$16,'Scoring Model'!$B$17,0))</f>
        <v>8</v>
      </c>
      <c r="AB375" s="3" t="n">
        <f aca="false">IF(SUMPRODUCT(--ISNUMBER(SEARCH('Scoring Model'!$D$16:$D$25,K375)))&gt;0,'Scoring Model'!$B$18,0)</f>
        <v>0</v>
      </c>
      <c r="AC375" s="3" t="n">
        <f aca="false">IF(SUMPRODUCT(--ISNUMBER(SEARCH('Scoring Model'!$G$16:$G$23,K375)))&gt;0,'Scoring Model'!$B$19,0)</f>
        <v>-30</v>
      </c>
      <c r="AD375" s="3" t="n">
        <f aca="false">IF(W375="Likely Spam","",SUM(X375:AC375))</f>
        <v>3</v>
      </c>
      <c r="AE375" s="3" t="str">
        <f aca="false">IF(W375="Likely Spam","Spam",IF(AD375&gt;='Scoring Model'!$B$21,"Hot",IF(AD375&gt;='Scoring Model'!$B$22,"Warm","Nurture")))</f>
        <v>Nurture</v>
      </c>
      <c r="AF375" s="3" t="str">
        <f aca="false">IF(W375="Likely Spam","Flagged by spam rules",TRIM(IF(X375&gt;=20,"Strong source. ","")&amp;IF(Y375&gt;0,"Company email. ","")&amp;IF(Z375&gt;=15,"High-value product. ","")&amp;IF(AA375&gt;='Scoring Model'!$B$15,"High engagement. ","")&amp;IF(AB375&gt;0,"Buying intent in message. ","")&amp;IF(AC375&lt;0,"Negative intent in message. ","")))</f>
        <v>High-value product. Negative intent in message.</v>
      </c>
      <c r="AG375" s="11" t="n">
        <f aca="false">IF(W375="Likely Spam","",1/(1+EXP(-('Conversion Model'!$B$5+IFERROR(INDEX('Conversion Model'!$B$8:$B$14,MATCH(C375,'Conversion Model'!$A$8:$A$14,0)),0)+IFERROR(INDEX('Conversion Model'!$E$8:$E$9,MATCH(F375,'Conversion Model'!$D$8:$D$9,0)),0)+IFERROR(INDEX('Conversion Model'!$H$8:$H$12,MATCH(IF(LEFT(J375,8)="Payments","Payments",IF(LEFT(J375,7)="Lending","Lending",J375)),'Conversion Model'!$G$8:$G$12,0)),0)+MIN(L375,15)*'Conversion Model'!$B$17+IF(SUMPRODUCT(--ISNUMBER(SEARCH('Scoring Model'!$D$16:$D$25,K375)))&gt;0,'Conversion Model'!$B$18,0)+IF(SUMPRODUCT(--ISNUMBER(SEARCH('Scoring Model'!$G$16:$G$23,K375)))&gt;0,'Conversion Model'!$B$19,0)))))</f>
        <v>0.0120448514195415</v>
      </c>
      <c r="AH375" s="3" t="n">
        <f aca="false">IF(OR(O375="Qualified",O375="Won",O375="Lost"),1,IF(O375="Unqualified",0,""))</f>
        <v>0</v>
      </c>
    </row>
    <row r="376" customFormat="false" ht="15" hidden="false" customHeight="true" outlineLevel="0" collapsed="false">
      <c r="A376" s="3" t="s">
        <v>1460</v>
      </c>
      <c r="B376" s="9" t="n">
        <v>46110.3784722222</v>
      </c>
      <c r="C376" s="3" t="s">
        <v>51</v>
      </c>
      <c r="D376" s="3" t="s">
        <v>586</v>
      </c>
      <c r="E376" s="3" t="s">
        <v>1263</v>
      </c>
      <c r="F376" s="3" t="s">
        <v>54</v>
      </c>
      <c r="G376" s="3"/>
      <c r="H376" s="3"/>
      <c r="I376" s="3" t="s">
        <v>80</v>
      </c>
      <c r="J376" s="3" t="s">
        <v>65</v>
      </c>
      <c r="K376" s="3" t="s">
        <v>95</v>
      </c>
      <c r="L376" s="3" t="n">
        <v>2</v>
      </c>
      <c r="M376" s="3"/>
      <c r="N376" s="3" t="s">
        <v>96</v>
      </c>
      <c r="O376" s="3" t="s">
        <v>68</v>
      </c>
      <c r="P376" s="10"/>
      <c r="Q376" s="3" t="n">
        <f aca="false">IF(F376="Disposable",1,0)</f>
        <v>0</v>
      </c>
      <c r="R376" s="3" t="n">
        <f aca="false">IF(SUMPRODUCT(--ISNUMBER(SEARCH('Spam Rules'!$A$22:$A$35,K376)))&gt;0,1,0)</f>
        <v>1</v>
      </c>
      <c r="S376" s="3" t="n">
        <f aca="false">IF(AND(F376="Free",G376=""),1,0)</f>
        <v>1</v>
      </c>
      <c r="T376" s="3" t="n">
        <f aca="false">IF(LEN(TRIM(K376))&lt;15,1,0)</f>
        <v>0</v>
      </c>
      <c r="U376" s="3" t="n">
        <f aca="false">IF(COUNTIF($E$2:$E$801,E376)&gt;1,1,0)</f>
        <v>1</v>
      </c>
      <c r="V376" s="3" t="n">
        <f aca="false">Q376*'Spam Rules'!$H$6+R376*'Spam Rules'!$H$7+S376*'Spam Rules'!$H$8+T376*'Spam Rules'!$H$9+U376*'Spam Rules'!$H$10</f>
        <v>1</v>
      </c>
      <c r="W376" s="3" t="str">
        <f aca="false">IF(V376&gt;='Spam Rules'!$B$3,"Likely Spam","Genuine")</f>
        <v>Likely Spam</v>
      </c>
      <c r="X376" s="3" t="n">
        <f aca="false">IFERROR(INDEX('Scoring Model'!$B$5:$B$11,MATCH(C376,'Scoring Model'!$A$5:$A$11,0)),0)</f>
        <v>10</v>
      </c>
      <c r="Y376" s="3" t="n">
        <f aca="false">IFERROR(INDEX('Scoring Model'!$E$5:$E$7,MATCH(F376,'Scoring Model'!$D$5:$D$7,0)),0)</f>
        <v>0</v>
      </c>
      <c r="Z376" s="3" t="n">
        <f aca="false">IFERROR(INDEX('Scoring Model'!$H$5:$H$13,MATCH(J376,'Scoring Model'!$G$5:$G$13,0)),0)</f>
        <v>0</v>
      </c>
      <c r="AA376" s="3" t="n">
        <f aca="false">IF(L376&gt;='Scoring Model'!$B$14,'Scoring Model'!$B$15,IF(L376&gt;='Scoring Model'!$B$16,'Scoring Model'!$B$17,0))</f>
        <v>0</v>
      </c>
      <c r="AB376" s="3" t="n">
        <f aca="false">IF(SUMPRODUCT(--ISNUMBER(SEARCH('Scoring Model'!$D$16:$D$25,K376)))&gt;0,'Scoring Model'!$B$18,0)</f>
        <v>0</v>
      </c>
      <c r="AC376" s="3" t="n">
        <f aca="false">IF(SUMPRODUCT(--ISNUMBER(SEARCH('Scoring Model'!$G$16:$G$23,K376)))&gt;0,'Scoring Model'!$B$19,0)</f>
        <v>0</v>
      </c>
      <c r="AD376" s="3" t="str">
        <f aca="false">IF(W376="Likely Spam","",SUM(X376:AC376))</f>
        <v/>
      </c>
      <c r="AE376" s="3" t="str">
        <f aca="false">IF(W376="Likely Spam","Spam",IF(AD376&gt;='Scoring Model'!$B$21,"Hot",IF(AD376&gt;='Scoring Model'!$B$22,"Warm","Nurture")))</f>
        <v>Spam</v>
      </c>
      <c r="AF376" s="3" t="str">
        <f aca="false">IF(W376="Likely Spam","Flagged by spam rules",TRIM(IF(X376&gt;=20,"Strong source. ","")&amp;IF(Y376&gt;0,"Company email. ","")&amp;IF(Z376&gt;=15,"High-value product. ","")&amp;IF(AA376&gt;='Scoring Model'!$B$15,"High engagement. ","")&amp;IF(AB376&gt;0,"Buying intent in message. ","")&amp;IF(AC376&lt;0,"Negative intent in message. ","")))</f>
        <v>Flagged by spam rules</v>
      </c>
      <c r="AG376" s="11" t="str">
        <f aca="false">IF(W376="Likely Spam","",1/(1+EXP(-('Conversion Model'!$B$5+IFERROR(INDEX('Conversion Model'!$B$8:$B$14,MATCH(C376,'Conversion Model'!$A$8:$A$14,0)),0)+IFERROR(INDEX('Conversion Model'!$E$8:$E$9,MATCH(F376,'Conversion Model'!$D$8:$D$9,0)),0)+IFERROR(INDEX('Conversion Model'!$H$8:$H$12,MATCH(IF(LEFT(J376,8)="Payments","Payments",IF(LEFT(J376,7)="Lending","Lending",J376)),'Conversion Model'!$G$8:$G$12,0)),0)+MIN(L376,15)*'Conversion Model'!$B$17+IF(SUMPRODUCT(--ISNUMBER(SEARCH('Scoring Model'!$D$16:$D$25,K376)))&gt;0,'Conversion Model'!$B$18,0)+IF(SUMPRODUCT(--ISNUMBER(SEARCH('Scoring Model'!$G$16:$G$23,K376)))&gt;0,'Conversion Model'!$B$19,0)))))</f>
        <v/>
      </c>
      <c r="AH376" s="3" t="str">
        <f aca="false">IF(OR(O376="Qualified",O376="Won",O376="Lost"),1,IF(O376="Unqualified",0,""))</f>
        <v/>
      </c>
    </row>
    <row r="377" customFormat="false" ht="15" hidden="false" customHeight="true" outlineLevel="0" collapsed="false">
      <c r="A377" s="3" t="s">
        <v>1461</v>
      </c>
      <c r="B377" s="9" t="n">
        <v>46110.8034722222</v>
      </c>
      <c r="C377" s="3" t="s">
        <v>135</v>
      </c>
      <c r="D377" s="3" t="s">
        <v>1462</v>
      </c>
      <c r="E377" s="3" t="s">
        <v>1463</v>
      </c>
      <c r="F377" s="3" t="s">
        <v>22</v>
      </c>
      <c r="G377" s="3" t="s">
        <v>497</v>
      </c>
      <c r="H377" s="3" t="s">
        <v>498</v>
      </c>
      <c r="I377" s="3" t="s">
        <v>116</v>
      </c>
      <c r="J377" s="3" t="s">
        <v>165</v>
      </c>
      <c r="K377" s="3" t="s">
        <v>58</v>
      </c>
      <c r="L377" s="3" t="n">
        <v>5</v>
      </c>
      <c r="M377" s="3" t="n">
        <v>22.3</v>
      </c>
      <c r="N377" s="3" t="s">
        <v>59</v>
      </c>
      <c r="O377" s="3"/>
      <c r="P377" s="10"/>
      <c r="Q377" s="3" t="n">
        <f aca="false">IF(F377="Disposable",1,0)</f>
        <v>0</v>
      </c>
      <c r="R377" s="3" t="n">
        <f aca="false">IF(SUMPRODUCT(--ISNUMBER(SEARCH('Spam Rules'!$A$22:$A$35,K377)))&gt;0,1,0)</f>
        <v>0</v>
      </c>
      <c r="S377" s="3" t="n">
        <f aca="false">IF(AND(F377="Free",G377=""),1,0)</f>
        <v>0</v>
      </c>
      <c r="T377" s="3" t="n">
        <f aca="false">IF(LEN(TRIM(K377))&lt;15,1,0)</f>
        <v>0</v>
      </c>
      <c r="U377" s="3" t="n">
        <f aca="false">IF(COUNTIF($E$2:$E$801,E377)&gt;1,1,0)</f>
        <v>0</v>
      </c>
      <c r="V377" s="3" t="n">
        <f aca="false">Q377*'Spam Rules'!$H$6+R377*'Spam Rules'!$H$7+S377*'Spam Rules'!$H$8+T377*'Spam Rules'!$H$9+U377*'Spam Rules'!$H$10</f>
        <v>0</v>
      </c>
      <c r="W377" s="3" t="str">
        <f aca="false">IF(V377&gt;='Spam Rules'!$B$3,"Likely Spam","Genuine")</f>
        <v>Genuine</v>
      </c>
      <c r="X377" s="3" t="n">
        <f aca="false">IFERROR(INDEX('Scoring Model'!$B$5:$B$11,MATCH(C377,'Scoring Model'!$A$5:$A$11,0)),0)</f>
        <v>20</v>
      </c>
      <c r="Y377" s="3" t="n">
        <f aca="false">IFERROR(INDEX('Scoring Model'!$E$5:$E$7,MATCH(F377,'Scoring Model'!$D$5:$D$7,0)),0)</f>
        <v>20</v>
      </c>
      <c r="Z377" s="3" t="n">
        <f aca="false">IFERROR(INDEX('Scoring Model'!$H$5:$H$13,MATCH(J377,'Scoring Model'!$G$5:$G$13,0)),0)</f>
        <v>15</v>
      </c>
      <c r="AA377" s="3" t="n">
        <f aca="false">IF(L377&gt;='Scoring Model'!$B$14,'Scoring Model'!$B$15,IF(L377&gt;='Scoring Model'!$B$16,'Scoring Model'!$B$17,0))</f>
        <v>8</v>
      </c>
      <c r="AB377" s="3" t="n">
        <f aca="false">IF(SUMPRODUCT(--ISNUMBER(SEARCH('Scoring Model'!$D$16:$D$25,K377)))&gt;0,'Scoring Model'!$B$18,0)</f>
        <v>15</v>
      </c>
      <c r="AC377" s="3" t="n">
        <f aca="false">IF(SUMPRODUCT(--ISNUMBER(SEARCH('Scoring Model'!$G$16:$G$23,K377)))&gt;0,'Scoring Model'!$B$19,0)</f>
        <v>0</v>
      </c>
      <c r="AD377" s="3" t="n">
        <f aca="false">IF(W377="Likely Spam","",SUM(X377:AC377))</f>
        <v>78</v>
      </c>
      <c r="AE377" s="3" t="str">
        <f aca="false">IF(W377="Likely Spam","Spam",IF(AD377&gt;='Scoring Model'!$B$21,"Hot",IF(AD377&gt;='Scoring Model'!$B$22,"Warm","Nurture")))</f>
        <v>Hot</v>
      </c>
      <c r="AF377" s="3" t="str">
        <f aca="false">IF(W377="Likely Spam","Flagged by spam rules",TRIM(IF(X377&gt;=20,"Strong source. ","")&amp;IF(Y377&gt;0,"Company email. ","")&amp;IF(Z377&gt;=15,"High-value product. ","")&amp;IF(AA377&gt;='Scoring Model'!$B$15,"High engagement. ","")&amp;IF(AB377&gt;0,"Buying intent in message. ","")&amp;IF(AC377&lt;0,"Negative intent in message. ","")))</f>
        <v>Strong source. Company email. High-value product. Buying intent in message.</v>
      </c>
      <c r="AG377" s="11" t="n">
        <f aca="false">IF(W377="Likely Spam","",1/(1+EXP(-('Conversion Model'!$B$5+IFERROR(INDEX('Conversion Model'!$B$8:$B$14,MATCH(C377,'Conversion Model'!$A$8:$A$14,0)),0)+IFERROR(INDEX('Conversion Model'!$E$8:$E$9,MATCH(F377,'Conversion Model'!$D$8:$D$9,0)),0)+IFERROR(INDEX('Conversion Model'!$H$8:$H$12,MATCH(IF(LEFT(J377,8)="Payments","Payments",IF(LEFT(J377,7)="Lending","Lending",J377)),'Conversion Model'!$G$8:$G$12,0)),0)+MIN(L377,15)*'Conversion Model'!$B$17+IF(SUMPRODUCT(--ISNUMBER(SEARCH('Scoring Model'!$D$16:$D$25,K377)))&gt;0,'Conversion Model'!$B$18,0)+IF(SUMPRODUCT(--ISNUMBER(SEARCH('Scoring Model'!$G$16:$G$23,K377)))&gt;0,'Conversion Model'!$B$19,0)))))</f>
        <v>0.840372195489059</v>
      </c>
      <c r="AH377" s="3" t="str">
        <f aca="false">IF(OR(O377="Qualified",O377="Won",O377="Lost"),1,IF(O377="Unqualified",0,""))</f>
        <v/>
      </c>
    </row>
    <row r="378" customFormat="false" ht="15" hidden="false" customHeight="true" outlineLevel="0" collapsed="false">
      <c r="A378" s="3" t="s">
        <v>1464</v>
      </c>
      <c r="B378" s="9" t="n">
        <v>46110.9048611111</v>
      </c>
      <c r="C378" s="3" t="s">
        <v>91</v>
      </c>
      <c r="D378" s="3" t="s">
        <v>1465</v>
      </c>
      <c r="E378" s="3" t="s">
        <v>1466</v>
      </c>
      <c r="F378" s="3" t="s">
        <v>54</v>
      </c>
      <c r="G378" s="3" t="s">
        <v>301</v>
      </c>
      <c r="H378" s="3"/>
      <c r="I378" s="3" t="s">
        <v>227</v>
      </c>
      <c r="J378" s="3" t="s">
        <v>81</v>
      </c>
      <c r="K378" s="3" t="s">
        <v>349</v>
      </c>
      <c r="L378" s="3" t="n">
        <v>3</v>
      </c>
      <c r="M378" s="3" t="n">
        <v>63.5</v>
      </c>
      <c r="N378" s="3" t="s">
        <v>96</v>
      </c>
      <c r="O378" s="3" t="s">
        <v>194</v>
      </c>
      <c r="P378" s="10"/>
      <c r="Q378" s="3" t="n">
        <f aca="false">IF(F378="Disposable",1,0)</f>
        <v>0</v>
      </c>
      <c r="R378" s="3" t="n">
        <f aca="false">IF(SUMPRODUCT(--ISNUMBER(SEARCH('Spam Rules'!$A$22:$A$35,K378)))&gt;0,1,0)</f>
        <v>0</v>
      </c>
      <c r="S378" s="3" t="n">
        <f aca="false">IF(AND(F378="Free",G378=""),1,0)</f>
        <v>0</v>
      </c>
      <c r="T378" s="3" t="n">
        <f aca="false">IF(LEN(TRIM(K378))&lt;15,1,0)</f>
        <v>0</v>
      </c>
      <c r="U378" s="3" t="n">
        <f aca="false">IF(COUNTIF($E$2:$E$801,E378)&gt;1,1,0)</f>
        <v>0</v>
      </c>
      <c r="V378" s="3" t="n">
        <f aca="false">Q378*'Spam Rules'!$H$6+R378*'Spam Rules'!$H$7+S378*'Spam Rules'!$H$8+T378*'Spam Rules'!$H$9+U378*'Spam Rules'!$H$10</f>
        <v>0</v>
      </c>
      <c r="W378" s="3" t="str">
        <f aca="false">IF(V378&gt;='Spam Rules'!$B$3,"Likely Spam","Genuine")</f>
        <v>Genuine</v>
      </c>
      <c r="X378" s="3" t="n">
        <f aca="false">IFERROR(INDEX('Scoring Model'!$B$5:$B$11,MATCH(C378,'Scoring Model'!$A$5:$A$11,0)),0)</f>
        <v>5</v>
      </c>
      <c r="Y378" s="3" t="n">
        <f aca="false">IFERROR(INDEX('Scoring Model'!$E$5:$E$7,MATCH(F378,'Scoring Model'!$D$5:$D$7,0)),0)</f>
        <v>0</v>
      </c>
      <c r="Z378" s="3" t="n">
        <f aca="false">IFERROR(INDEX('Scoring Model'!$H$5:$H$13,MATCH(J378,'Scoring Model'!$G$5:$G$13,0)),0)</f>
        <v>5</v>
      </c>
      <c r="AA378" s="3" t="n">
        <f aca="false">IF(L378&gt;='Scoring Model'!$B$14,'Scoring Model'!$B$15,IF(L378&gt;='Scoring Model'!$B$16,'Scoring Model'!$B$17,0))</f>
        <v>0</v>
      </c>
      <c r="AB378" s="3" t="n">
        <f aca="false">IF(SUMPRODUCT(--ISNUMBER(SEARCH('Scoring Model'!$D$16:$D$25,K378)))&gt;0,'Scoring Model'!$B$18,0)</f>
        <v>0</v>
      </c>
      <c r="AC378" s="3" t="n">
        <f aca="false">IF(SUMPRODUCT(--ISNUMBER(SEARCH('Scoring Model'!$G$16:$G$23,K378)))&gt;0,'Scoring Model'!$B$19,0)</f>
        <v>-30</v>
      </c>
      <c r="AD378" s="3" t="n">
        <f aca="false">IF(W378="Likely Spam","",SUM(X378:AC378))</f>
        <v>-20</v>
      </c>
      <c r="AE378" s="3" t="str">
        <f aca="false">IF(W378="Likely Spam","Spam",IF(AD378&gt;='Scoring Model'!$B$21,"Hot",IF(AD378&gt;='Scoring Model'!$B$22,"Warm","Nurture")))</f>
        <v>Nurture</v>
      </c>
      <c r="AF378" s="3" t="str">
        <f aca="false">IF(W378="Likely Spam","Flagged by spam rules",TRIM(IF(X378&gt;=20,"Strong source. ","")&amp;IF(Y378&gt;0,"Company email. ","")&amp;IF(Z378&gt;=15,"High-value product. ","")&amp;IF(AA378&gt;='Scoring Model'!$B$15,"High engagement. ","")&amp;IF(AB378&gt;0,"Buying intent in message. ","")&amp;IF(AC378&lt;0,"Negative intent in message. ","")))</f>
        <v>Negative intent in message.</v>
      </c>
      <c r="AG378" s="11" t="n">
        <f aca="false">IF(W378="Likely Spam","",1/(1+EXP(-('Conversion Model'!$B$5+IFERROR(INDEX('Conversion Model'!$B$8:$B$14,MATCH(C378,'Conversion Model'!$A$8:$A$14,0)),0)+IFERROR(INDEX('Conversion Model'!$E$8:$E$9,MATCH(F378,'Conversion Model'!$D$8:$D$9,0)),0)+IFERROR(INDEX('Conversion Model'!$H$8:$H$12,MATCH(IF(LEFT(J378,8)="Payments","Payments",IF(LEFT(J378,7)="Lending","Lending",J378)),'Conversion Model'!$G$8:$G$12,0)),0)+MIN(L378,15)*'Conversion Model'!$B$17+IF(SUMPRODUCT(--ISNUMBER(SEARCH('Scoring Model'!$D$16:$D$25,K378)))&gt;0,'Conversion Model'!$B$18,0)+IF(SUMPRODUCT(--ISNUMBER(SEARCH('Scoring Model'!$G$16:$G$23,K378)))&gt;0,'Conversion Model'!$B$19,0)))))</f>
        <v>0.00271295551545726</v>
      </c>
      <c r="AH378" s="3" t="n">
        <f aca="false">IF(OR(O378="Qualified",O378="Won",O378="Lost"),1,IF(O378="Unqualified",0,""))</f>
        <v>0</v>
      </c>
    </row>
    <row r="379" customFormat="false" ht="15" hidden="false" customHeight="true" outlineLevel="0" collapsed="false">
      <c r="A379" s="3" t="s">
        <v>1467</v>
      </c>
      <c r="B379" s="9" t="n">
        <v>46111.3631944444</v>
      </c>
      <c r="C379" s="3" t="s">
        <v>91</v>
      </c>
      <c r="D379" s="3" t="s">
        <v>1247</v>
      </c>
      <c r="E379" s="3" t="s">
        <v>1468</v>
      </c>
      <c r="F379" s="3" t="s">
        <v>54</v>
      </c>
      <c r="G379" s="3"/>
      <c r="H379" s="3"/>
      <c r="I379" s="3" t="s">
        <v>116</v>
      </c>
      <c r="J379" s="3" t="s">
        <v>65</v>
      </c>
      <c r="K379" s="3" t="s">
        <v>349</v>
      </c>
      <c r="L379" s="3" t="n">
        <v>4</v>
      </c>
      <c r="M379" s="3" t="n">
        <v>2.6</v>
      </c>
      <c r="N379" s="3" t="s">
        <v>171</v>
      </c>
      <c r="O379" s="3" t="s">
        <v>194</v>
      </c>
      <c r="P379" s="10"/>
      <c r="Q379" s="3" t="n">
        <f aca="false">IF(F379="Disposable",1,0)</f>
        <v>0</v>
      </c>
      <c r="R379" s="3" t="n">
        <f aca="false">IF(SUMPRODUCT(--ISNUMBER(SEARCH('Spam Rules'!$A$22:$A$35,K379)))&gt;0,1,0)</f>
        <v>0</v>
      </c>
      <c r="S379" s="3" t="n">
        <f aca="false">IF(AND(F379="Free",G379=""),1,0)</f>
        <v>1</v>
      </c>
      <c r="T379" s="3" t="n">
        <f aca="false">IF(LEN(TRIM(K379))&lt;15,1,0)</f>
        <v>0</v>
      </c>
      <c r="U379" s="3" t="n">
        <f aca="false">IF(COUNTIF($E$2:$E$801,E379)&gt;1,1,0)</f>
        <v>0</v>
      </c>
      <c r="V379" s="3" t="n">
        <f aca="false">Q379*'Spam Rules'!$H$6+R379*'Spam Rules'!$H$7+S379*'Spam Rules'!$H$8+T379*'Spam Rules'!$H$9+U379*'Spam Rules'!$H$10</f>
        <v>0</v>
      </c>
      <c r="W379" s="3" t="str">
        <f aca="false">IF(V379&gt;='Spam Rules'!$B$3,"Likely Spam","Genuine")</f>
        <v>Genuine</v>
      </c>
      <c r="X379" s="3" t="n">
        <f aca="false">IFERROR(INDEX('Scoring Model'!$B$5:$B$11,MATCH(C379,'Scoring Model'!$A$5:$A$11,0)),0)</f>
        <v>5</v>
      </c>
      <c r="Y379" s="3" t="n">
        <f aca="false">IFERROR(INDEX('Scoring Model'!$E$5:$E$7,MATCH(F379,'Scoring Model'!$D$5:$D$7,0)),0)</f>
        <v>0</v>
      </c>
      <c r="Z379" s="3" t="n">
        <f aca="false">IFERROR(INDEX('Scoring Model'!$H$5:$H$13,MATCH(J379,'Scoring Model'!$G$5:$G$13,0)),0)</f>
        <v>0</v>
      </c>
      <c r="AA379" s="3" t="n">
        <f aca="false">IF(L379&gt;='Scoring Model'!$B$14,'Scoring Model'!$B$15,IF(L379&gt;='Scoring Model'!$B$16,'Scoring Model'!$B$17,0))</f>
        <v>8</v>
      </c>
      <c r="AB379" s="3" t="n">
        <f aca="false">IF(SUMPRODUCT(--ISNUMBER(SEARCH('Scoring Model'!$D$16:$D$25,K379)))&gt;0,'Scoring Model'!$B$18,0)</f>
        <v>0</v>
      </c>
      <c r="AC379" s="3" t="n">
        <f aca="false">IF(SUMPRODUCT(--ISNUMBER(SEARCH('Scoring Model'!$G$16:$G$23,K379)))&gt;0,'Scoring Model'!$B$19,0)</f>
        <v>-30</v>
      </c>
      <c r="AD379" s="3" t="n">
        <f aca="false">IF(W379="Likely Spam","",SUM(X379:AC379))</f>
        <v>-17</v>
      </c>
      <c r="AE379" s="3" t="str">
        <f aca="false">IF(W379="Likely Spam","Spam",IF(AD379&gt;='Scoring Model'!$B$21,"Hot",IF(AD379&gt;='Scoring Model'!$B$22,"Warm","Nurture")))</f>
        <v>Nurture</v>
      </c>
      <c r="AF379" s="3" t="str">
        <f aca="false">IF(W379="Likely Spam","Flagged by spam rules",TRIM(IF(X379&gt;=20,"Strong source. ","")&amp;IF(Y379&gt;0,"Company email. ","")&amp;IF(Z379&gt;=15,"High-value product. ","")&amp;IF(AA379&gt;='Scoring Model'!$B$15,"High engagement. ","")&amp;IF(AB379&gt;0,"Buying intent in message. ","")&amp;IF(AC379&lt;0,"Negative intent in message. ","")))</f>
        <v>Negative intent in message.</v>
      </c>
      <c r="AG379" s="11" t="n">
        <f aca="false">IF(W379="Likely Spam","",1/(1+EXP(-('Conversion Model'!$B$5+IFERROR(INDEX('Conversion Model'!$B$8:$B$14,MATCH(C379,'Conversion Model'!$A$8:$A$14,0)),0)+IFERROR(INDEX('Conversion Model'!$E$8:$E$9,MATCH(F379,'Conversion Model'!$D$8:$D$9,0)),0)+IFERROR(INDEX('Conversion Model'!$H$8:$H$12,MATCH(IF(LEFT(J379,8)="Payments","Payments",IF(LEFT(J379,7)="Lending","Lending",J379)),'Conversion Model'!$G$8:$G$12,0)),0)+MIN(L379,15)*'Conversion Model'!$B$17+IF(SUMPRODUCT(--ISNUMBER(SEARCH('Scoring Model'!$D$16:$D$25,K379)))&gt;0,'Conversion Model'!$B$18,0)+IF(SUMPRODUCT(--ISNUMBER(SEARCH('Scoring Model'!$G$16:$G$23,K379)))&gt;0,'Conversion Model'!$B$19,0)))))</f>
        <v>0.00748010669552435</v>
      </c>
      <c r="AH379" s="3" t="n">
        <f aca="false">IF(OR(O379="Qualified",O379="Won",O379="Lost"),1,IF(O379="Unqualified",0,""))</f>
        <v>0</v>
      </c>
    </row>
    <row r="380" customFormat="false" ht="15" hidden="false" customHeight="true" outlineLevel="0" collapsed="false">
      <c r="A380" s="3" t="s">
        <v>1469</v>
      </c>
      <c r="B380" s="9" t="n">
        <v>46111.9381944445</v>
      </c>
      <c r="C380" s="3" t="s">
        <v>128</v>
      </c>
      <c r="D380" s="3" t="s">
        <v>1470</v>
      </c>
      <c r="E380" s="3" t="s">
        <v>1471</v>
      </c>
      <c r="F380" s="3" t="s">
        <v>22</v>
      </c>
      <c r="G380" s="3" t="s">
        <v>478</v>
      </c>
      <c r="H380" s="3" t="s">
        <v>479</v>
      </c>
      <c r="I380" s="3" t="s">
        <v>80</v>
      </c>
      <c r="J380" s="3" t="s">
        <v>57</v>
      </c>
      <c r="K380" s="3" t="s">
        <v>228</v>
      </c>
      <c r="L380" s="3" t="n">
        <v>7</v>
      </c>
      <c r="M380" s="3" t="n">
        <v>5.4</v>
      </c>
      <c r="N380" s="3" t="s">
        <v>67</v>
      </c>
      <c r="O380" s="3" t="s">
        <v>147</v>
      </c>
      <c r="P380" s="10" t="n">
        <v>120000</v>
      </c>
      <c r="Q380" s="3" t="n">
        <f aca="false">IF(F380="Disposable",1,0)</f>
        <v>0</v>
      </c>
      <c r="R380" s="3" t="n">
        <f aca="false">IF(SUMPRODUCT(--ISNUMBER(SEARCH('Spam Rules'!$A$22:$A$35,K380)))&gt;0,1,0)</f>
        <v>0</v>
      </c>
      <c r="S380" s="3" t="n">
        <f aca="false">IF(AND(F380="Free",G380=""),1,0)</f>
        <v>0</v>
      </c>
      <c r="T380" s="3" t="n">
        <f aca="false">IF(LEN(TRIM(K380))&lt;15,1,0)</f>
        <v>0</v>
      </c>
      <c r="U380" s="3" t="n">
        <f aca="false">IF(COUNTIF($E$2:$E$801,E380)&gt;1,1,0)</f>
        <v>0</v>
      </c>
      <c r="V380" s="3" t="n">
        <f aca="false">Q380*'Spam Rules'!$H$6+R380*'Spam Rules'!$H$7+S380*'Spam Rules'!$H$8+T380*'Spam Rules'!$H$9+U380*'Spam Rules'!$H$10</f>
        <v>0</v>
      </c>
      <c r="W380" s="3" t="str">
        <f aca="false">IF(V380&gt;='Spam Rules'!$B$3,"Likely Spam","Genuine")</f>
        <v>Genuine</v>
      </c>
      <c r="X380" s="3" t="n">
        <f aca="false">IFERROR(INDEX('Scoring Model'!$B$5:$B$11,MATCH(C380,'Scoring Model'!$A$5:$A$11,0)),0)</f>
        <v>30</v>
      </c>
      <c r="Y380" s="3" t="n">
        <f aca="false">IFERROR(INDEX('Scoring Model'!$E$5:$E$7,MATCH(F380,'Scoring Model'!$D$5:$D$7,0)),0)</f>
        <v>20</v>
      </c>
      <c r="Z380" s="3" t="n">
        <f aca="false">IFERROR(INDEX('Scoring Model'!$H$5:$H$13,MATCH(J380,'Scoring Model'!$G$5:$G$13,0)),0)</f>
        <v>15</v>
      </c>
      <c r="AA380" s="3" t="n">
        <f aca="false">IF(L380&gt;='Scoring Model'!$B$14,'Scoring Model'!$B$15,IF(L380&gt;='Scoring Model'!$B$16,'Scoring Model'!$B$17,0))</f>
        <v>8</v>
      </c>
      <c r="AB380" s="3" t="n">
        <f aca="false">IF(SUMPRODUCT(--ISNUMBER(SEARCH('Scoring Model'!$D$16:$D$25,K380)))&gt;0,'Scoring Model'!$B$18,0)</f>
        <v>15</v>
      </c>
      <c r="AC380" s="3" t="n">
        <f aca="false">IF(SUMPRODUCT(--ISNUMBER(SEARCH('Scoring Model'!$G$16:$G$23,K380)))&gt;0,'Scoring Model'!$B$19,0)</f>
        <v>0</v>
      </c>
      <c r="AD380" s="3" t="n">
        <f aca="false">IF(W380="Likely Spam","",SUM(X380:AC380))</f>
        <v>88</v>
      </c>
      <c r="AE380" s="3" t="str">
        <f aca="false">IF(W380="Likely Spam","Spam",IF(AD380&gt;='Scoring Model'!$B$21,"Hot",IF(AD380&gt;='Scoring Model'!$B$22,"Warm","Nurture")))</f>
        <v>Hot</v>
      </c>
      <c r="AF380" s="3" t="str">
        <f aca="false">IF(W380="Likely Spam","Flagged by spam rules",TRIM(IF(X380&gt;=20,"Strong source. ","")&amp;IF(Y380&gt;0,"Company email. ","")&amp;IF(Z380&gt;=15,"High-value product. ","")&amp;IF(AA380&gt;='Scoring Model'!$B$15,"High engagement. ","")&amp;IF(AB380&gt;0,"Buying intent in message. ","")&amp;IF(AC380&lt;0,"Negative intent in message. ","")))</f>
        <v>Strong source. Company email. High-value product. Buying intent in message.</v>
      </c>
      <c r="AG380" s="11" t="n">
        <f aca="false">IF(W380="Likely Spam","",1/(1+EXP(-('Conversion Model'!$B$5+IFERROR(INDEX('Conversion Model'!$B$8:$B$14,MATCH(C380,'Conversion Model'!$A$8:$A$14,0)),0)+IFERROR(INDEX('Conversion Model'!$E$8:$E$9,MATCH(F380,'Conversion Model'!$D$8:$D$9,0)),0)+IFERROR(INDEX('Conversion Model'!$H$8:$H$12,MATCH(IF(LEFT(J380,8)="Payments","Payments",IF(LEFT(J380,7)="Lending","Lending",J380)),'Conversion Model'!$G$8:$G$12,0)),0)+MIN(L380,15)*'Conversion Model'!$B$17+IF(SUMPRODUCT(--ISNUMBER(SEARCH('Scoring Model'!$D$16:$D$25,K380)))&gt;0,'Conversion Model'!$B$18,0)+IF(SUMPRODUCT(--ISNUMBER(SEARCH('Scoring Model'!$G$16:$G$23,K380)))&gt;0,'Conversion Model'!$B$19,0)))))</f>
        <v>0.973011892536502</v>
      </c>
      <c r="AH380" s="3" t="n">
        <f aca="false">IF(OR(O380="Qualified",O380="Won",O380="Lost"),1,IF(O380="Unqualified",0,""))</f>
        <v>1</v>
      </c>
    </row>
    <row r="381" customFormat="false" ht="15" hidden="false" customHeight="true" outlineLevel="0" collapsed="false">
      <c r="A381" s="3" t="s">
        <v>1472</v>
      </c>
      <c r="B381" s="9" t="n">
        <v>46112.5784722222</v>
      </c>
      <c r="C381" s="3" t="s">
        <v>51</v>
      </c>
      <c r="D381" s="3" t="s">
        <v>1473</v>
      </c>
      <c r="E381" s="3" t="s">
        <v>1474</v>
      </c>
      <c r="F381" s="3" t="s">
        <v>22</v>
      </c>
      <c r="G381" s="3" t="s">
        <v>217</v>
      </c>
      <c r="H381" s="3" t="s">
        <v>1475</v>
      </c>
      <c r="I381" s="3" t="s">
        <v>116</v>
      </c>
      <c r="J381" s="3" t="s">
        <v>165</v>
      </c>
      <c r="K381" s="3" t="s">
        <v>228</v>
      </c>
      <c r="L381" s="3" t="n">
        <v>5</v>
      </c>
      <c r="M381" s="3" t="n">
        <v>2.7</v>
      </c>
      <c r="N381" s="3" t="s">
        <v>67</v>
      </c>
      <c r="O381" s="3" t="s">
        <v>133</v>
      </c>
      <c r="P381" s="10"/>
      <c r="Q381" s="3" t="n">
        <f aca="false">IF(F381="Disposable",1,0)</f>
        <v>0</v>
      </c>
      <c r="R381" s="3" t="n">
        <f aca="false">IF(SUMPRODUCT(--ISNUMBER(SEARCH('Spam Rules'!$A$22:$A$35,K381)))&gt;0,1,0)</f>
        <v>0</v>
      </c>
      <c r="S381" s="3" t="n">
        <f aca="false">IF(AND(F381="Free",G381=""),1,0)</f>
        <v>0</v>
      </c>
      <c r="T381" s="3" t="n">
        <f aca="false">IF(LEN(TRIM(K381))&lt;15,1,0)</f>
        <v>0</v>
      </c>
      <c r="U381" s="3" t="n">
        <f aca="false">IF(COUNTIF($E$2:$E$801,E381)&gt;1,1,0)</f>
        <v>0</v>
      </c>
      <c r="V381" s="3" t="n">
        <f aca="false">Q381*'Spam Rules'!$H$6+R381*'Spam Rules'!$H$7+S381*'Spam Rules'!$H$8+T381*'Spam Rules'!$H$9+U381*'Spam Rules'!$H$10</f>
        <v>0</v>
      </c>
      <c r="W381" s="3" t="str">
        <f aca="false">IF(V381&gt;='Spam Rules'!$B$3,"Likely Spam","Genuine")</f>
        <v>Genuine</v>
      </c>
      <c r="X381" s="3" t="n">
        <f aca="false">IFERROR(INDEX('Scoring Model'!$B$5:$B$11,MATCH(C381,'Scoring Model'!$A$5:$A$11,0)),0)</f>
        <v>10</v>
      </c>
      <c r="Y381" s="3" t="n">
        <f aca="false">IFERROR(INDEX('Scoring Model'!$E$5:$E$7,MATCH(F381,'Scoring Model'!$D$5:$D$7,0)),0)</f>
        <v>20</v>
      </c>
      <c r="Z381" s="3" t="n">
        <f aca="false">IFERROR(INDEX('Scoring Model'!$H$5:$H$13,MATCH(J381,'Scoring Model'!$G$5:$G$13,0)),0)</f>
        <v>15</v>
      </c>
      <c r="AA381" s="3" t="n">
        <f aca="false">IF(L381&gt;='Scoring Model'!$B$14,'Scoring Model'!$B$15,IF(L381&gt;='Scoring Model'!$B$16,'Scoring Model'!$B$17,0))</f>
        <v>8</v>
      </c>
      <c r="AB381" s="3" t="n">
        <f aca="false">IF(SUMPRODUCT(--ISNUMBER(SEARCH('Scoring Model'!$D$16:$D$25,K381)))&gt;0,'Scoring Model'!$B$18,0)</f>
        <v>15</v>
      </c>
      <c r="AC381" s="3" t="n">
        <f aca="false">IF(SUMPRODUCT(--ISNUMBER(SEARCH('Scoring Model'!$G$16:$G$23,K381)))&gt;0,'Scoring Model'!$B$19,0)</f>
        <v>0</v>
      </c>
      <c r="AD381" s="3" t="n">
        <f aca="false">IF(W381="Likely Spam","",SUM(X381:AC381))</f>
        <v>68</v>
      </c>
      <c r="AE381" s="3" t="str">
        <f aca="false">IF(W381="Likely Spam","Spam",IF(AD381&gt;='Scoring Model'!$B$21,"Hot",IF(AD381&gt;='Scoring Model'!$B$22,"Warm","Nurture")))</f>
        <v>Warm</v>
      </c>
      <c r="AF381" s="3" t="str">
        <f aca="false">IF(W381="Likely Spam","Flagged by spam rules",TRIM(IF(X381&gt;=20,"Strong source. ","")&amp;IF(Y381&gt;0,"Company email. ","")&amp;IF(Z381&gt;=15,"High-value product. ","")&amp;IF(AA381&gt;='Scoring Model'!$B$15,"High engagement. ","")&amp;IF(AB381&gt;0,"Buying intent in message. ","")&amp;IF(AC381&lt;0,"Negative intent in message. ","")))</f>
        <v>Company email. High-value product. Buying intent in message.</v>
      </c>
      <c r="AG381" s="11" t="n">
        <f aca="false">IF(W381="Likely Spam","",1/(1+EXP(-('Conversion Model'!$B$5+IFERROR(INDEX('Conversion Model'!$B$8:$B$14,MATCH(C381,'Conversion Model'!$A$8:$A$14,0)),0)+IFERROR(INDEX('Conversion Model'!$E$8:$E$9,MATCH(F381,'Conversion Model'!$D$8:$D$9,0)),0)+IFERROR(INDEX('Conversion Model'!$H$8:$H$12,MATCH(IF(LEFT(J381,8)="Payments","Payments",IF(LEFT(J381,7)="Lending","Lending",J381)),'Conversion Model'!$G$8:$G$12,0)),0)+MIN(L381,15)*'Conversion Model'!$B$17+IF(SUMPRODUCT(--ISNUMBER(SEARCH('Scoring Model'!$D$16:$D$25,K381)))&gt;0,'Conversion Model'!$B$18,0)+IF(SUMPRODUCT(--ISNUMBER(SEARCH('Scoring Model'!$G$16:$G$23,K381)))&gt;0,'Conversion Model'!$B$19,0)))))</f>
        <v>0.686756726643902</v>
      </c>
      <c r="AH381" s="3" t="str">
        <f aca="false">IF(OR(O381="Qualified",O381="Won",O381="Lost"),1,IF(O381="Unqualified",0,""))</f>
        <v/>
      </c>
    </row>
    <row r="382" customFormat="false" ht="15" hidden="false" customHeight="true" outlineLevel="0" collapsed="false">
      <c r="A382" s="3" t="s">
        <v>1476</v>
      </c>
      <c r="B382" s="9" t="n">
        <v>46112.6715277778</v>
      </c>
      <c r="C382" s="3" t="s">
        <v>51</v>
      </c>
      <c r="D382" s="3" t="s">
        <v>1477</v>
      </c>
      <c r="E382" s="3" t="s">
        <v>1478</v>
      </c>
      <c r="F382" s="3" t="s">
        <v>54</v>
      </c>
      <c r="G382" s="3"/>
      <c r="H382" s="3"/>
      <c r="I382" s="3" t="s">
        <v>260</v>
      </c>
      <c r="J382" s="3" t="s">
        <v>122</v>
      </c>
      <c r="K382" s="3" t="s">
        <v>66</v>
      </c>
      <c r="L382" s="3" t="n">
        <v>1</v>
      </c>
      <c r="M382" s="3"/>
      <c r="N382" s="3" t="s">
        <v>67</v>
      </c>
      <c r="O382" s="3" t="s">
        <v>68</v>
      </c>
      <c r="P382" s="10"/>
      <c r="Q382" s="3" t="n">
        <f aca="false">IF(F382="Disposable",1,0)</f>
        <v>0</v>
      </c>
      <c r="R382" s="3" t="n">
        <f aca="false">IF(SUMPRODUCT(--ISNUMBER(SEARCH('Spam Rules'!$A$22:$A$35,K382)))&gt;0,1,0)</f>
        <v>1</v>
      </c>
      <c r="S382" s="3" t="n">
        <f aca="false">IF(AND(F382="Free",G382=""),1,0)</f>
        <v>1</v>
      </c>
      <c r="T382" s="3" t="n">
        <f aca="false">IF(LEN(TRIM(K382))&lt;15,1,0)</f>
        <v>0</v>
      </c>
      <c r="U382" s="3" t="n">
        <f aca="false">IF(COUNTIF($E$2:$E$801,E382)&gt;1,1,0)</f>
        <v>0</v>
      </c>
      <c r="V382" s="3" t="n">
        <f aca="false">Q382*'Spam Rules'!$H$6+R382*'Spam Rules'!$H$7+S382*'Spam Rules'!$H$8+T382*'Spam Rules'!$H$9+U382*'Spam Rules'!$H$10</f>
        <v>1</v>
      </c>
      <c r="W382" s="3" t="str">
        <f aca="false">IF(V382&gt;='Spam Rules'!$B$3,"Likely Spam","Genuine")</f>
        <v>Likely Spam</v>
      </c>
      <c r="X382" s="3" t="n">
        <f aca="false">IFERROR(INDEX('Scoring Model'!$B$5:$B$11,MATCH(C382,'Scoring Model'!$A$5:$A$11,0)),0)</f>
        <v>10</v>
      </c>
      <c r="Y382" s="3" t="n">
        <f aca="false">IFERROR(INDEX('Scoring Model'!$E$5:$E$7,MATCH(F382,'Scoring Model'!$D$5:$D$7,0)),0)</f>
        <v>0</v>
      </c>
      <c r="Z382" s="3" t="n">
        <f aca="false">IFERROR(INDEX('Scoring Model'!$H$5:$H$13,MATCH(J382,'Scoring Model'!$G$5:$G$13,0)),0)</f>
        <v>15</v>
      </c>
      <c r="AA382" s="3" t="n">
        <f aca="false">IF(L382&gt;='Scoring Model'!$B$14,'Scoring Model'!$B$15,IF(L382&gt;='Scoring Model'!$B$16,'Scoring Model'!$B$17,0))</f>
        <v>0</v>
      </c>
      <c r="AB382" s="3" t="n">
        <f aca="false">IF(SUMPRODUCT(--ISNUMBER(SEARCH('Scoring Model'!$D$16:$D$25,K382)))&gt;0,'Scoring Model'!$B$18,0)</f>
        <v>0</v>
      </c>
      <c r="AC382" s="3" t="n">
        <f aca="false">IF(SUMPRODUCT(--ISNUMBER(SEARCH('Scoring Model'!$G$16:$G$23,K382)))&gt;0,'Scoring Model'!$B$19,0)</f>
        <v>0</v>
      </c>
      <c r="AD382" s="3" t="str">
        <f aca="false">IF(W382="Likely Spam","",SUM(X382:AC382))</f>
        <v/>
      </c>
      <c r="AE382" s="3" t="str">
        <f aca="false">IF(W382="Likely Spam","Spam",IF(AD382&gt;='Scoring Model'!$B$21,"Hot",IF(AD382&gt;='Scoring Model'!$B$22,"Warm","Nurture")))</f>
        <v>Spam</v>
      </c>
      <c r="AF382" s="3" t="str">
        <f aca="false">IF(W382="Likely Spam","Flagged by spam rules",TRIM(IF(X382&gt;=20,"Strong source. ","")&amp;IF(Y382&gt;0,"Company email. ","")&amp;IF(Z382&gt;=15,"High-value product. ","")&amp;IF(AA382&gt;='Scoring Model'!$B$15,"High engagement. ","")&amp;IF(AB382&gt;0,"Buying intent in message. ","")&amp;IF(AC382&lt;0,"Negative intent in message. ","")))</f>
        <v>Flagged by spam rules</v>
      </c>
      <c r="AG382" s="11" t="str">
        <f aca="false">IF(W382="Likely Spam","",1/(1+EXP(-('Conversion Model'!$B$5+IFERROR(INDEX('Conversion Model'!$B$8:$B$14,MATCH(C382,'Conversion Model'!$A$8:$A$14,0)),0)+IFERROR(INDEX('Conversion Model'!$E$8:$E$9,MATCH(F382,'Conversion Model'!$D$8:$D$9,0)),0)+IFERROR(INDEX('Conversion Model'!$H$8:$H$12,MATCH(IF(LEFT(J382,8)="Payments","Payments",IF(LEFT(J382,7)="Lending","Lending",J382)),'Conversion Model'!$G$8:$G$12,0)),0)+MIN(L382,15)*'Conversion Model'!$B$17+IF(SUMPRODUCT(--ISNUMBER(SEARCH('Scoring Model'!$D$16:$D$25,K382)))&gt;0,'Conversion Model'!$B$18,0)+IF(SUMPRODUCT(--ISNUMBER(SEARCH('Scoring Model'!$G$16:$G$23,K382)))&gt;0,'Conversion Model'!$B$19,0)))))</f>
        <v/>
      </c>
      <c r="AH382" s="3" t="str">
        <f aca="false">IF(OR(O382="Qualified",O382="Won",O382="Lost"),1,IF(O382="Unqualified",0,""))</f>
        <v/>
      </c>
    </row>
    <row r="383" customFormat="false" ht="15" hidden="false" customHeight="true" outlineLevel="0" collapsed="false">
      <c r="A383" s="3" t="s">
        <v>1479</v>
      </c>
      <c r="B383" s="9" t="n">
        <v>46113.3631944444</v>
      </c>
      <c r="C383" s="3" t="s">
        <v>76</v>
      </c>
      <c r="D383" s="3" t="s">
        <v>1223</v>
      </c>
      <c r="E383" s="3" t="s">
        <v>1480</v>
      </c>
      <c r="F383" s="3" t="s">
        <v>22</v>
      </c>
      <c r="G383" s="3" t="s">
        <v>138</v>
      </c>
      <c r="H383" s="3" t="s">
        <v>698</v>
      </c>
      <c r="I383" s="3" t="s">
        <v>116</v>
      </c>
      <c r="J383" s="3" t="s">
        <v>81</v>
      </c>
      <c r="K383" s="3" t="s">
        <v>1481</v>
      </c>
      <c r="L383" s="3" t="n">
        <v>9</v>
      </c>
      <c r="M383" s="3" t="n">
        <v>18.4</v>
      </c>
      <c r="N383" s="3" t="s">
        <v>171</v>
      </c>
      <c r="O383" s="3" t="s">
        <v>331</v>
      </c>
      <c r="P383" s="10"/>
      <c r="Q383" s="3" t="n">
        <f aca="false">IF(F383="Disposable",1,0)</f>
        <v>0</v>
      </c>
      <c r="R383" s="3" t="n">
        <f aca="false">IF(SUMPRODUCT(--ISNUMBER(SEARCH('Spam Rules'!$A$22:$A$35,K383)))&gt;0,1,0)</f>
        <v>0</v>
      </c>
      <c r="S383" s="3" t="n">
        <f aca="false">IF(AND(F383="Free",G383=""),1,0)</f>
        <v>0</v>
      </c>
      <c r="T383" s="3" t="n">
        <f aca="false">IF(LEN(TRIM(K383))&lt;15,1,0)</f>
        <v>0</v>
      </c>
      <c r="U383" s="3" t="n">
        <f aca="false">IF(COUNTIF($E$2:$E$801,E383)&gt;1,1,0)</f>
        <v>0</v>
      </c>
      <c r="V383" s="3" t="n">
        <f aca="false">Q383*'Spam Rules'!$H$6+R383*'Spam Rules'!$H$7+S383*'Spam Rules'!$H$8+T383*'Spam Rules'!$H$9+U383*'Spam Rules'!$H$10</f>
        <v>0</v>
      </c>
      <c r="W383" s="3" t="str">
        <f aca="false">IF(V383&gt;='Spam Rules'!$B$3,"Likely Spam","Genuine")</f>
        <v>Genuine</v>
      </c>
      <c r="X383" s="3" t="n">
        <f aca="false">IFERROR(INDEX('Scoring Model'!$B$5:$B$11,MATCH(C383,'Scoring Model'!$A$5:$A$11,0)),0)</f>
        <v>0</v>
      </c>
      <c r="Y383" s="3" t="n">
        <f aca="false">IFERROR(INDEX('Scoring Model'!$E$5:$E$7,MATCH(F383,'Scoring Model'!$D$5:$D$7,0)),0)</f>
        <v>20</v>
      </c>
      <c r="Z383" s="3" t="n">
        <f aca="false">IFERROR(INDEX('Scoring Model'!$H$5:$H$13,MATCH(J383,'Scoring Model'!$G$5:$G$13,0)),0)</f>
        <v>5</v>
      </c>
      <c r="AA383" s="3" t="n">
        <f aca="false">IF(L383&gt;='Scoring Model'!$B$14,'Scoring Model'!$B$15,IF(L383&gt;='Scoring Model'!$B$16,'Scoring Model'!$B$17,0))</f>
        <v>15</v>
      </c>
      <c r="AB383" s="3" t="n">
        <f aca="false">IF(SUMPRODUCT(--ISNUMBER(SEARCH('Scoring Model'!$D$16:$D$25,K383)))&gt;0,'Scoring Model'!$B$18,0)</f>
        <v>15</v>
      </c>
      <c r="AC383" s="3" t="n">
        <f aca="false">IF(SUMPRODUCT(--ISNUMBER(SEARCH('Scoring Model'!$G$16:$G$23,K383)))&gt;0,'Scoring Model'!$B$19,0)</f>
        <v>0</v>
      </c>
      <c r="AD383" s="3" t="n">
        <f aca="false">IF(W383="Likely Spam","",SUM(X383:AC383))</f>
        <v>55</v>
      </c>
      <c r="AE383" s="3" t="str">
        <f aca="false">IF(W383="Likely Spam","Spam",IF(AD383&gt;='Scoring Model'!$B$21,"Hot",IF(AD383&gt;='Scoring Model'!$B$22,"Warm","Nurture")))</f>
        <v>Warm</v>
      </c>
      <c r="AF383" s="3" t="str">
        <f aca="false">IF(W383="Likely Spam","Flagged by spam rules",TRIM(IF(X383&gt;=20,"Strong source. ","")&amp;IF(Y383&gt;0,"Company email. ","")&amp;IF(Z383&gt;=15,"High-value product. ","")&amp;IF(AA383&gt;='Scoring Model'!$B$15,"High engagement. ","")&amp;IF(AB383&gt;0,"Buying intent in message. ","")&amp;IF(AC383&lt;0,"Negative intent in message. ","")))</f>
        <v>Company email. High engagement. Buying intent in message.</v>
      </c>
      <c r="AG383" s="11" t="n">
        <f aca="false">IF(W383="Likely Spam","",1/(1+EXP(-('Conversion Model'!$B$5+IFERROR(INDEX('Conversion Model'!$B$8:$B$14,MATCH(C383,'Conversion Model'!$A$8:$A$14,0)),0)+IFERROR(INDEX('Conversion Model'!$E$8:$E$9,MATCH(F383,'Conversion Model'!$D$8:$D$9,0)),0)+IFERROR(INDEX('Conversion Model'!$H$8:$H$12,MATCH(IF(LEFT(J383,8)="Payments","Payments",IF(LEFT(J383,7)="Lending","Lending",J383)),'Conversion Model'!$G$8:$G$12,0)),0)+MIN(L383,15)*'Conversion Model'!$B$17+IF(SUMPRODUCT(--ISNUMBER(SEARCH('Scoring Model'!$D$16:$D$25,K383)))&gt;0,'Conversion Model'!$B$18,0)+IF(SUMPRODUCT(--ISNUMBER(SEARCH('Scoring Model'!$G$16:$G$23,K383)))&gt;0,'Conversion Model'!$B$19,0)))))</f>
        <v>0.964291331995267</v>
      </c>
      <c r="AH383" s="3" t="n">
        <f aca="false">IF(OR(O383="Qualified",O383="Won",O383="Lost"),1,IF(O383="Unqualified",0,""))</f>
        <v>1</v>
      </c>
    </row>
    <row r="384" customFormat="false" ht="15" hidden="false" customHeight="true" outlineLevel="0" collapsed="false">
      <c r="A384" s="3" t="s">
        <v>1482</v>
      </c>
      <c r="B384" s="9" t="n">
        <v>46113.8354166667</v>
      </c>
      <c r="C384" s="3" t="s">
        <v>160</v>
      </c>
      <c r="D384" s="3" t="s">
        <v>904</v>
      </c>
      <c r="E384" s="3" t="s">
        <v>1483</v>
      </c>
      <c r="F384" s="3" t="s">
        <v>22</v>
      </c>
      <c r="G384" s="3" t="s">
        <v>1484</v>
      </c>
      <c r="H384" s="3" t="s">
        <v>1485</v>
      </c>
      <c r="I384" s="3" t="s">
        <v>94</v>
      </c>
      <c r="J384" s="3" t="s">
        <v>65</v>
      </c>
      <c r="K384" s="3" t="s">
        <v>74</v>
      </c>
      <c r="L384" s="3" t="n">
        <v>2</v>
      </c>
      <c r="M384" s="3" t="n">
        <v>3.9</v>
      </c>
      <c r="N384" s="3" t="s">
        <v>96</v>
      </c>
      <c r="O384" s="3" t="s">
        <v>194</v>
      </c>
      <c r="P384" s="10"/>
      <c r="Q384" s="3" t="n">
        <f aca="false">IF(F384="Disposable",1,0)</f>
        <v>0</v>
      </c>
      <c r="R384" s="3" t="n">
        <f aca="false">IF(SUMPRODUCT(--ISNUMBER(SEARCH('Spam Rules'!$A$22:$A$35,K384)))&gt;0,1,0)</f>
        <v>0</v>
      </c>
      <c r="S384" s="3" t="n">
        <f aca="false">IF(AND(F384="Free",G384=""),1,0)</f>
        <v>0</v>
      </c>
      <c r="T384" s="3" t="n">
        <f aca="false">IF(LEN(TRIM(K384))&lt;15,1,0)</f>
        <v>0</v>
      </c>
      <c r="U384" s="3" t="n">
        <f aca="false">IF(COUNTIF($E$2:$E$801,E384)&gt;1,1,0)</f>
        <v>0</v>
      </c>
      <c r="V384" s="3" t="n">
        <f aca="false">Q384*'Spam Rules'!$H$6+R384*'Spam Rules'!$H$7+S384*'Spam Rules'!$H$8+T384*'Spam Rules'!$H$9+U384*'Spam Rules'!$H$10</f>
        <v>0</v>
      </c>
      <c r="W384" s="3" t="str">
        <f aca="false">IF(V384&gt;='Spam Rules'!$B$3,"Likely Spam","Genuine")</f>
        <v>Genuine</v>
      </c>
      <c r="X384" s="3" t="n">
        <f aca="false">IFERROR(INDEX('Scoring Model'!$B$5:$B$11,MATCH(C384,'Scoring Model'!$A$5:$A$11,0)),0)</f>
        <v>25</v>
      </c>
      <c r="Y384" s="3" t="n">
        <f aca="false">IFERROR(INDEX('Scoring Model'!$E$5:$E$7,MATCH(F384,'Scoring Model'!$D$5:$D$7,0)),0)</f>
        <v>20</v>
      </c>
      <c r="Z384" s="3" t="n">
        <f aca="false">IFERROR(INDEX('Scoring Model'!$H$5:$H$13,MATCH(J384,'Scoring Model'!$G$5:$G$13,0)),0)</f>
        <v>0</v>
      </c>
      <c r="AA384" s="3" t="n">
        <f aca="false">IF(L384&gt;='Scoring Model'!$B$14,'Scoring Model'!$B$15,IF(L384&gt;='Scoring Model'!$B$16,'Scoring Model'!$B$17,0))</f>
        <v>0</v>
      </c>
      <c r="AB384" s="3" t="n">
        <f aca="false">IF(SUMPRODUCT(--ISNUMBER(SEARCH('Scoring Model'!$D$16:$D$25,K384)))&gt;0,'Scoring Model'!$B$18,0)</f>
        <v>0</v>
      </c>
      <c r="AC384" s="3" t="n">
        <f aca="false">IF(SUMPRODUCT(--ISNUMBER(SEARCH('Scoring Model'!$G$16:$G$23,K384)))&gt;0,'Scoring Model'!$B$19,0)</f>
        <v>-30</v>
      </c>
      <c r="AD384" s="3" t="n">
        <f aca="false">IF(W384="Likely Spam","",SUM(X384:AC384))</f>
        <v>15</v>
      </c>
      <c r="AE384" s="3" t="str">
        <f aca="false">IF(W384="Likely Spam","Spam",IF(AD384&gt;='Scoring Model'!$B$21,"Hot",IF(AD384&gt;='Scoring Model'!$B$22,"Warm","Nurture")))</f>
        <v>Nurture</v>
      </c>
      <c r="AF384" s="3" t="str">
        <f aca="false">IF(W384="Likely Spam","Flagged by spam rules",TRIM(IF(X384&gt;=20,"Strong source. ","")&amp;IF(Y384&gt;0,"Company email. ","")&amp;IF(Z384&gt;=15,"High-value product. ","")&amp;IF(AA384&gt;='Scoring Model'!$B$15,"High engagement. ","")&amp;IF(AB384&gt;0,"Buying intent in message. ","")&amp;IF(AC384&lt;0,"Negative intent in message. ","")))</f>
        <v>Strong source. Company email. Negative intent in message.</v>
      </c>
      <c r="AG384" s="11" t="n">
        <f aca="false">IF(W384="Likely Spam","",1/(1+EXP(-('Conversion Model'!$B$5+IFERROR(INDEX('Conversion Model'!$B$8:$B$14,MATCH(C384,'Conversion Model'!$A$8:$A$14,0)),0)+IFERROR(INDEX('Conversion Model'!$E$8:$E$9,MATCH(F384,'Conversion Model'!$D$8:$D$9,0)),0)+IFERROR(INDEX('Conversion Model'!$H$8:$H$12,MATCH(IF(LEFT(J384,8)="Payments","Payments",IF(LEFT(J384,7)="Lending","Lending",J384)),'Conversion Model'!$G$8:$G$12,0)),0)+MIN(L384,15)*'Conversion Model'!$B$17+IF(SUMPRODUCT(--ISNUMBER(SEARCH('Scoring Model'!$D$16:$D$25,K384)))&gt;0,'Conversion Model'!$B$18,0)+IF(SUMPRODUCT(--ISNUMBER(SEARCH('Scoring Model'!$G$16:$G$23,K384)))&gt;0,'Conversion Model'!$B$19,0)))))</f>
        <v>0.00830959578798275</v>
      </c>
      <c r="AH384" s="3" t="n">
        <f aca="false">IF(OR(O384="Qualified",O384="Won",O384="Lost"),1,IF(O384="Unqualified",0,""))</f>
        <v>0</v>
      </c>
    </row>
    <row r="385" customFormat="false" ht="15" hidden="false" customHeight="true" outlineLevel="0" collapsed="false">
      <c r="A385" s="3" t="s">
        <v>1486</v>
      </c>
      <c r="B385" s="9" t="n">
        <v>46114.7819444445</v>
      </c>
      <c r="C385" s="3" t="s">
        <v>76</v>
      </c>
      <c r="D385" s="3" t="s">
        <v>723</v>
      </c>
      <c r="E385" s="3" t="s">
        <v>1487</v>
      </c>
      <c r="F385" s="3" t="s">
        <v>54</v>
      </c>
      <c r="G385" s="3" t="s">
        <v>424</v>
      </c>
      <c r="H385" s="3"/>
      <c r="I385" s="3" t="s">
        <v>204</v>
      </c>
      <c r="J385" s="3" t="s">
        <v>65</v>
      </c>
      <c r="K385" s="3" t="s">
        <v>349</v>
      </c>
      <c r="L385" s="3" t="n">
        <v>3</v>
      </c>
      <c r="M385" s="3" t="n">
        <v>14.8</v>
      </c>
      <c r="N385" s="3" t="s">
        <v>59</v>
      </c>
      <c r="O385" s="3" t="s">
        <v>194</v>
      </c>
      <c r="P385" s="10"/>
      <c r="Q385" s="3" t="n">
        <f aca="false">IF(F385="Disposable",1,0)</f>
        <v>0</v>
      </c>
      <c r="R385" s="3" t="n">
        <f aca="false">IF(SUMPRODUCT(--ISNUMBER(SEARCH('Spam Rules'!$A$22:$A$35,K385)))&gt;0,1,0)</f>
        <v>0</v>
      </c>
      <c r="S385" s="3" t="n">
        <f aca="false">IF(AND(F385="Free",G385=""),1,0)</f>
        <v>0</v>
      </c>
      <c r="T385" s="3" t="n">
        <f aca="false">IF(LEN(TRIM(K385))&lt;15,1,0)</f>
        <v>0</v>
      </c>
      <c r="U385" s="3" t="n">
        <f aca="false">IF(COUNTIF($E$2:$E$801,E385)&gt;1,1,0)</f>
        <v>0</v>
      </c>
      <c r="V385" s="3" t="n">
        <f aca="false">Q385*'Spam Rules'!$H$6+R385*'Spam Rules'!$H$7+S385*'Spam Rules'!$H$8+T385*'Spam Rules'!$H$9+U385*'Spam Rules'!$H$10</f>
        <v>0</v>
      </c>
      <c r="W385" s="3" t="str">
        <f aca="false">IF(V385&gt;='Spam Rules'!$B$3,"Likely Spam","Genuine")</f>
        <v>Genuine</v>
      </c>
      <c r="X385" s="3" t="n">
        <f aca="false">IFERROR(INDEX('Scoring Model'!$B$5:$B$11,MATCH(C385,'Scoring Model'!$A$5:$A$11,0)),0)</f>
        <v>0</v>
      </c>
      <c r="Y385" s="3" t="n">
        <f aca="false">IFERROR(INDEX('Scoring Model'!$E$5:$E$7,MATCH(F385,'Scoring Model'!$D$5:$D$7,0)),0)</f>
        <v>0</v>
      </c>
      <c r="Z385" s="3" t="n">
        <f aca="false">IFERROR(INDEX('Scoring Model'!$H$5:$H$13,MATCH(J385,'Scoring Model'!$G$5:$G$13,0)),0)</f>
        <v>0</v>
      </c>
      <c r="AA385" s="3" t="n">
        <f aca="false">IF(L385&gt;='Scoring Model'!$B$14,'Scoring Model'!$B$15,IF(L385&gt;='Scoring Model'!$B$16,'Scoring Model'!$B$17,0))</f>
        <v>0</v>
      </c>
      <c r="AB385" s="3" t="n">
        <f aca="false">IF(SUMPRODUCT(--ISNUMBER(SEARCH('Scoring Model'!$D$16:$D$25,K385)))&gt;0,'Scoring Model'!$B$18,0)</f>
        <v>0</v>
      </c>
      <c r="AC385" s="3" t="n">
        <f aca="false">IF(SUMPRODUCT(--ISNUMBER(SEARCH('Scoring Model'!$G$16:$G$23,K385)))&gt;0,'Scoring Model'!$B$19,0)</f>
        <v>-30</v>
      </c>
      <c r="AD385" s="3" t="n">
        <f aca="false">IF(W385="Likely Spam","",SUM(X385:AC385))</f>
        <v>-30</v>
      </c>
      <c r="AE385" s="3" t="str">
        <f aca="false">IF(W385="Likely Spam","Spam",IF(AD385&gt;='Scoring Model'!$B$21,"Hot",IF(AD385&gt;='Scoring Model'!$B$22,"Warm","Nurture")))</f>
        <v>Nurture</v>
      </c>
      <c r="AF385" s="3" t="str">
        <f aca="false">IF(W385="Likely Spam","Flagged by spam rules",TRIM(IF(X385&gt;=20,"Strong source. ","")&amp;IF(Y385&gt;0,"Company email. ","")&amp;IF(Z385&gt;=15,"High-value product. ","")&amp;IF(AA385&gt;='Scoring Model'!$B$15,"High engagement. ","")&amp;IF(AB385&gt;0,"Buying intent in message. ","")&amp;IF(AC385&lt;0,"Negative intent in message. ","")))</f>
        <v>Negative intent in message.</v>
      </c>
      <c r="AG385" s="11" t="n">
        <f aca="false">IF(W385="Likely Spam","",1/(1+EXP(-('Conversion Model'!$B$5+IFERROR(INDEX('Conversion Model'!$B$8:$B$14,MATCH(C385,'Conversion Model'!$A$8:$A$14,0)),0)+IFERROR(INDEX('Conversion Model'!$E$8:$E$9,MATCH(F385,'Conversion Model'!$D$8:$D$9,0)),0)+IFERROR(INDEX('Conversion Model'!$H$8:$H$12,MATCH(IF(LEFT(J385,8)="Payments","Payments",IF(LEFT(J385,7)="Lending","Lending",J385)),'Conversion Model'!$G$8:$G$12,0)),0)+MIN(L385,15)*'Conversion Model'!$B$17+IF(SUMPRODUCT(--ISNUMBER(SEARCH('Scoring Model'!$D$16:$D$25,K385)))&gt;0,'Conversion Model'!$B$18,0)+IF(SUMPRODUCT(--ISNUMBER(SEARCH('Scoring Model'!$G$16:$G$23,K385)))&gt;0,'Conversion Model'!$B$19,0)))))</f>
        <v>0.00337156832387507</v>
      </c>
      <c r="AH385" s="3" t="n">
        <f aca="false">IF(OR(O385="Qualified",O385="Won",O385="Lost"),1,IF(O385="Unqualified",0,""))</f>
        <v>0</v>
      </c>
    </row>
    <row r="386" customFormat="false" ht="15" hidden="false" customHeight="true" outlineLevel="0" collapsed="false">
      <c r="A386" s="3" t="s">
        <v>1488</v>
      </c>
      <c r="B386" s="9" t="n">
        <v>46115.2715277778</v>
      </c>
      <c r="C386" s="3" t="s">
        <v>160</v>
      </c>
      <c r="D386" s="3" t="s">
        <v>1489</v>
      </c>
      <c r="E386" s="3" t="s">
        <v>1490</v>
      </c>
      <c r="F386" s="3" t="s">
        <v>22</v>
      </c>
      <c r="G386" s="3" t="s">
        <v>1491</v>
      </c>
      <c r="H386" s="3" t="s">
        <v>1492</v>
      </c>
      <c r="I386" s="3" t="s">
        <v>188</v>
      </c>
      <c r="J386" s="3" t="s">
        <v>245</v>
      </c>
      <c r="K386" s="3" t="s">
        <v>1493</v>
      </c>
      <c r="L386" s="3" t="n">
        <v>3</v>
      </c>
      <c r="M386" s="3" t="n">
        <v>6.7</v>
      </c>
      <c r="N386" s="3" t="s">
        <v>96</v>
      </c>
      <c r="O386" s="3"/>
      <c r="P386" s="10"/>
      <c r="Q386" s="3" t="n">
        <f aca="false">IF(F386="Disposable",1,0)</f>
        <v>0</v>
      </c>
      <c r="R386" s="3" t="n">
        <f aca="false">IF(SUMPRODUCT(--ISNUMBER(SEARCH('Spam Rules'!$A$22:$A$35,K386)))&gt;0,1,0)</f>
        <v>0</v>
      </c>
      <c r="S386" s="3" t="n">
        <f aca="false">IF(AND(F386="Free",G386=""),1,0)</f>
        <v>0</v>
      </c>
      <c r="T386" s="3" t="n">
        <f aca="false">IF(LEN(TRIM(K386))&lt;15,1,0)</f>
        <v>0</v>
      </c>
      <c r="U386" s="3" t="n">
        <f aca="false">IF(COUNTIF($E$2:$E$801,E386)&gt;1,1,0)</f>
        <v>0</v>
      </c>
      <c r="V386" s="3" t="n">
        <f aca="false">Q386*'Spam Rules'!$H$6+R386*'Spam Rules'!$H$7+S386*'Spam Rules'!$H$8+T386*'Spam Rules'!$H$9+U386*'Spam Rules'!$H$10</f>
        <v>0</v>
      </c>
      <c r="W386" s="3" t="str">
        <f aca="false">IF(V386&gt;='Spam Rules'!$B$3,"Likely Spam","Genuine")</f>
        <v>Genuine</v>
      </c>
      <c r="X386" s="3" t="n">
        <f aca="false">IFERROR(INDEX('Scoring Model'!$B$5:$B$11,MATCH(C386,'Scoring Model'!$A$5:$A$11,0)),0)</f>
        <v>25</v>
      </c>
      <c r="Y386" s="3" t="n">
        <f aca="false">IFERROR(INDEX('Scoring Model'!$E$5:$E$7,MATCH(F386,'Scoring Model'!$D$5:$D$7,0)),0)</f>
        <v>20</v>
      </c>
      <c r="Z386" s="3" t="n">
        <f aca="false">IFERROR(INDEX('Scoring Model'!$H$5:$H$13,MATCH(J386,'Scoring Model'!$G$5:$G$13,0)),0)</f>
        <v>15</v>
      </c>
      <c r="AA386" s="3" t="n">
        <f aca="false">IF(L386&gt;='Scoring Model'!$B$14,'Scoring Model'!$B$15,IF(L386&gt;='Scoring Model'!$B$16,'Scoring Model'!$B$17,0))</f>
        <v>0</v>
      </c>
      <c r="AB386" s="3" t="n">
        <f aca="false">IF(SUMPRODUCT(--ISNUMBER(SEARCH('Scoring Model'!$D$16:$D$25,K386)))&gt;0,'Scoring Model'!$B$18,0)</f>
        <v>15</v>
      </c>
      <c r="AC386" s="3" t="n">
        <f aca="false">IF(SUMPRODUCT(--ISNUMBER(SEARCH('Scoring Model'!$G$16:$G$23,K386)))&gt;0,'Scoring Model'!$B$19,0)</f>
        <v>0</v>
      </c>
      <c r="AD386" s="3" t="n">
        <f aca="false">IF(W386="Likely Spam","",SUM(X386:AC386))</f>
        <v>75</v>
      </c>
      <c r="AE386" s="3" t="str">
        <f aca="false">IF(W386="Likely Spam","Spam",IF(AD386&gt;='Scoring Model'!$B$21,"Hot",IF(AD386&gt;='Scoring Model'!$B$22,"Warm","Nurture")))</f>
        <v>Hot</v>
      </c>
      <c r="AF386" s="3" t="str">
        <f aca="false">IF(W386="Likely Spam","Flagged by spam rules",TRIM(IF(X386&gt;=20,"Strong source. ","")&amp;IF(Y386&gt;0,"Company email. ","")&amp;IF(Z386&gt;=15,"High-value product. ","")&amp;IF(AA386&gt;='Scoring Model'!$B$15,"High engagement. ","")&amp;IF(AB386&gt;0,"Buying intent in message. ","")&amp;IF(AC386&lt;0,"Negative intent in message. ","")))</f>
        <v>Strong source. Company email. High-value product. Buying intent in message.</v>
      </c>
      <c r="AG386" s="11" t="n">
        <f aca="false">IF(W386="Likely Spam","",1/(1+EXP(-('Conversion Model'!$B$5+IFERROR(INDEX('Conversion Model'!$B$8:$B$14,MATCH(C386,'Conversion Model'!$A$8:$A$14,0)),0)+IFERROR(INDEX('Conversion Model'!$E$8:$E$9,MATCH(F386,'Conversion Model'!$D$8:$D$9,0)),0)+IFERROR(INDEX('Conversion Model'!$H$8:$H$12,MATCH(IF(LEFT(J386,8)="Payments","Payments",IF(LEFT(J386,7)="Lending","Lending",J386)),'Conversion Model'!$G$8:$G$12,0)),0)+MIN(L386,15)*'Conversion Model'!$B$17+IF(SUMPRODUCT(--ISNUMBER(SEARCH('Scoring Model'!$D$16:$D$25,K386)))&gt;0,'Conversion Model'!$B$18,0)+IF(SUMPRODUCT(--ISNUMBER(SEARCH('Scoring Model'!$G$16:$G$23,K386)))&gt;0,'Conversion Model'!$B$19,0)))))</f>
        <v>0.653169391528382</v>
      </c>
      <c r="AH386" s="3" t="str">
        <f aca="false">IF(OR(O386="Qualified",O386="Won",O386="Lost"),1,IF(O386="Unqualified",0,""))</f>
        <v/>
      </c>
    </row>
    <row r="387" customFormat="false" ht="15" hidden="false" customHeight="true" outlineLevel="0" collapsed="false">
      <c r="A387" s="3" t="s">
        <v>1494</v>
      </c>
      <c r="B387" s="9" t="n">
        <v>46115.2854166667</v>
      </c>
      <c r="C387" s="3" t="s">
        <v>51</v>
      </c>
      <c r="D387" s="3" t="s">
        <v>838</v>
      </c>
      <c r="E387" s="3" t="s">
        <v>1495</v>
      </c>
      <c r="F387" s="3" t="s">
        <v>22</v>
      </c>
      <c r="G387" s="3" t="s">
        <v>1496</v>
      </c>
      <c r="H387" s="3" t="s">
        <v>1497</v>
      </c>
      <c r="I387" s="3" t="s">
        <v>73</v>
      </c>
      <c r="J387" s="3" t="s">
        <v>57</v>
      </c>
      <c r="K387" s="3" t="s">
        <v>355</v>
      </c>
      <c r="L387" s="3" t="n">
        <v>10</v>
      </c>
      <c r="M387" s="3" t="n">
        <v>40.2</v>
      </c>
      <c r="N387" s="3" t="s">
        <v>171</v>
      </c>
      <c r="O387" s="3" t="s">
        <v>147</v>
      </c>
      <c r="P387" s="10" t="n">
        <v>36000</v>
      </c>
      <c r="Q387" s="3" t="n">
        <f aca="false">IF(F387="Disposable",1,0)</f>
        <v>0</v>
      </c>
      <c r="R387" s="3" t="n">
        <f aca="false">IF(SUMPRODUCT(--ISNUMBER(SEARCH('Spam Rules'!$A$22:$A$35,K387)))&gt;0,1,0)</f>
        <v>0</v>
      </c>
      <c r="S387" s="3" t="n">
        <f aca="false">IF(AND(F387="Free",G387=""),1,0)</f>
        <v>0</v>
      </c>
      <c r="T387" s="3" t="n">
        <f aca="false">IF(LEN(TRIM(K387))&lt;15,1,0)</f>
        <v>0</v>
      </c>
      <c r="U387" s="3" t="n">
        <f aca="false">IF(COUNTIF($E$2:$E$801,E387)&gt;1,1,0)</f>
        <v>0</v>
      </c>
      <c r="V387" s="3" t="n">
        <f aca="false">Q387*'Spam Rules'!$H$6+R387*'Spam Rules'!$H$7+S387*'Spam Rules'!$H$8+T387*'Spam Rules'!$H$9+U387*'Spam Rules'!$H$10</f>
        <v>0</v>
      </c>
      <c r="W387" s="3" t="str">
        <f aca="false">IF(V387&gt;='Spam Rules'!$B$3,"Likely Spam","Genuine")</f>
        <v>Genuine</v>
      </c>
      <c r="X387" s="3" t="n">
        <f aca="false">IFERROR(INDEX('Scoring Model'!$B$5:$B$11,MATCH(C387,'Scoring Model'!$A$5:$A$11,0)),0)</f>
        <v>10</v>
      </c>
      <c r="Y387" s="3" t="n">
        <f aca="false">IFERROR(INDEX('Scoring Model'!$E$5:$E$7,MATCH(F387,'Scoring Model'!$D$5:$D$7,0)),0)</f>
        <v>20</v>
      </c>
      <c r="Z387" s="3" t="n">
        <f aca="false">IFERROR(INDEX('Scoring Model'!$H$5:$H$13,MATCH(J387,'Scoring Model'!$G$5:$G$13,0)),0)</f>
        <v>15</v>
      </c>
      <c r="AA387" s="3" t="n">
        <f aca="false">IF(L387&gt;='Scoring Model'!$B$14,'Scoring Model'!$B$15,IF(L387&gt;='Scoring Model'!$B$16,'Scoring Model'!$B$17,0))</f>
        <v>15</v>
      </c>
      <c r="AB387" s="3" t="n">
        <f aca="false">IF(SUMPRODUCT(--ISNUMBER(SEARCH('Scoring Model'!$D$16:$D$25,K387)))&gt;0,'Scoring Model'!$B$18,0)</f>
        <v>15</v>
      </c>
      <c r="AC387" s="3" t="n">
        <f aca="false">IF(SUMPRODUCT(--ISNUMBER(SEARCH('Scoring Model'!$G$16:$G$23,K387)))&gt;0,'Scoring Model'!$B$19,0)</f>
        <v>0</v>
      </c>
      <c r="AD387" s="3" t="n">
        <f aca="false">IF(W387="Likely Spam","",SUM(X387:AC387))</f>
        <v>75</v>
      </c>
      <c r="AE387" s="3" t="str">
        <f aca="false">IF(W387="Likely Spam","Spam",IF(AD387&gt;='Scoring Model'!$B$21,"Hot",IF(AD387&gt;='Scoring Model'!$B$22,"Warm","Nurture")))</f>
        <v>Hot</v>
      </c>
      <c r="AF387" s="3" t="str">
        <f aca="false">IF(W387="Likely Spam","Flagged by spam rules",TRIM(IF(X387&gt;=20,"Strong source. ","")&amp;IF(Y387&gt;0,"Company email. ","")&amp;IF(Z387&gt;=15,"High-value product. ","")&amp;IF(AA387&gt;='Scoring Model'!$B$15,"High engagement. ","")&amp;IF(AB387&gt;0,"Buying intent in message. ","")&amp;IF(AC387&lt;0,"Negative intent in message. ","")))</f>
        <v>Company email. High-value product. High engagement. Buying intent in message.</v>
      </c>
      <c r="AG387" s="11" t="n">
        <f aca="false">IF(W387="Likely Spam","",1/(1+EXP(-('Conversion Model'!$B$5+IFERROR(INDEX('Conversion Model'!$B$8:$B$14,MATCH(C387,'Conversion Model'!$A$8:$A$14,0)),0)+IFERROR(INDEX('Conversion Model'!$E$8:$E$9,MATCH(F387,'Conversion Model'!$D$8:$D$9,0)),0)+IFERROR(INDEX('Conversion Model'!$H$8:$H$12,MATCH(IF(LEFT(J387,8)="Payments","Payments",IF(LEFT(J387,7)="Lending","Lending",J387)),'Conversion Model'!$G$8:$G$12,0)),0)+MIN(L387,15)*'Conversion Model'!$B$17+IF(SUMPRODUCT(--ISNUMBER(SEARCH('Scoring Model'!$D$16:$D$25,K387)))&gt;0,'Conversion Model'!$B$18,0)+IF(SUMPRODUCT(--ISNUMBER(SEARCH('Scoring Model'!$G$16:$G$23,K387)))&gt;0,'Conversion Model'!$B$19,0)))))</f>
        <v>0.991796849421052</v>
      </c>
      <c r="AH387" s="3" t="n">
        <f aca="false">IF(OR(O387="Qualified",O387="Won",O387="Lost"),1,IF(O387="Unqualified",0,""))</f>
        <v>1</v>
      </c>
    </row>
    <row r="388" customFormat="false" ht="15" hidden="false" customHeight="true" outlineLevel="0" collapsed="false">
      <c r="A388" s="3" t="s">
        <v>1498</v>
      </c>
      <c r="B388" s="9" t="n">
        <v>46115.7798611111</v>
      </c>
      <c r="C388" s="3" t="s">
        <v>128</v>
      </c>
      <c r="D388" s="3" t="s">
        <v>1499</v>
      </c>
      <c r="E388" s="3" t="s">
        <v>1500</v>
      </c>
      <c r="F388" s="3" t="s">
        <v>22</v>
      </c>
      <c r="G388" s="3" t="s">
        <v>1315</v>
      </c>
      <c r="H388" s="3" t="s">
        <v>1316</v>
      </c>
      <c r="I388" s="3" t="s">
        <v>260</v>
      </c>
      <c r="J388" s="3" t="s">
        <v>245</v>
      </c>
      <c r="K388" s="3" t="s">
        <v>228</v>
      </c>
      <c r="L388" s="3" t="n">
        <v>9</v>
      </c>
      <c r="M388" s="3" t="n">
        <v>6.3</v>
      </c>
      <c r="N388" s="3" t="s">
        <v>171</v>
      </c>
      <c r="O388" s="3"/>
      <c r="P388" s="10"/>
      <c r="Q388" s="3" t="n">
        <f aca="false">IF(F388="Disposable",1,0)</f>
        <v>0</v>
      </c>
      <c r="R388" s="3" t="n">
        <f aca="false">IF(SUMPRODUCT(--ISNUMBER(SEARCH('Spam Rules'!$A$22:$A$35,K388)))&gt;0,1,0)</f>
        <v>0</v>
      </c>
      <c r="S388" s="3" t="n">
        <f aca="false">IF(AND(F388="Free",G388=""),1,0)</f>
        <v>0</v>
      </c>
      <c r="T388" s="3" t="n">
        <f aca="false">IF(LEN(TRIM(K388))&lt;15,1,0)</f>
        <v>0</v>
      </c>
      <c r="U388" s="3" t="n">
        <f aca="false">IF(COUNTIF($E$2:$E$801,E388)&gt;1,1,0)</f>
        <v>0</v>
      </c>
      <c r="V388" s="3" t="n">
        <f aca="false">Q388*'Spam Rules'!$H$6+R388*'Spam Rules'!$H$7+S388*'Spam Rules'!$H$8+T388*'Spam Rules'!$H$9+U388*'Spam Rules'!$H$10</f>
        <v>0</v>
      </c>
      <c r="W388" s="3" t="str">
        <f aca="false">IF(V388&gt;='Spam Rules'!$B$3,"Likely Spam","Genuine")</f>
        <v>Genuine</v>
      </c>
      <c r="X388" s="3" t="n">
        <f aca="false">IFERROR(INDEX('Scoring Model'!$B$5:$B$11,MATCH(C388,'Scoring Model'!$A$5:$A$11,0)),0)</f>
        <v>30</v>
      </c>
      <c r="Y388" s="3" t="n">
        <f aca="false">IFERROR(INDEX('Scoring Model'!$E$5:$E$7,MATCH(F388,'Scoring Model'!$D$5:$D$7,0)),0)</f>
        <v>20</v>
      </c>
      <c r="Z388" s="3" t="n">
        <f aca="false">IFERROR(INDEX('Scoring Model'!$H$5:$H$13,MATCH(J388,'Scoring Model'!$G$5:$G$13,0)),0)</f>
        <v>15</v>
      </c>
      <c r="AA388" s="3" t="n">
        <f aca="false">IF(L388&gt;='Scoring Model'!$B$14,'Scoring Model'!$B$15,IF(L388&gt;='Scoring Model'!$B$16,'Scoring Model'!$B$17,0))</f>
        <v>15</v>
      </c>
      <c r="AB388" s="3" t="n">
        <f aca="false">IF(SUMPRODUCT(--ISNUMBER(SEARCH('Scoring Model'!$D$16:$D$25,K388)))&gt;0,'Scoring Model'!$B$18,0)</f>
        <v>15</v>
      </c>
      <c r="AC388" s="3" t="n">
        <f aca="false">IF(SUMPRODUCT(--ISNUMBER(SEARCH('Scoring Model'!$G$16:$G$23,K388)))&gt;0,'Scoring Model'!$B$19,0)</f>
        <v>0</v>
      </c>
      <c r="AD388" s="3" t="n">
        <f aca="false">IF(W388="Likely Spam","",SUM(X388:AC388))</f>
        <v>95</v>
      </c>
      <c r="AE388" s="3" t="str">
        <f aca="false">IF(W388="Likely Spam","Spam",IF(AD388&gt;='Scoring Model'!$B$21,"Hot",IF(AD388&gt;='Scoring Model'!$B$22,"Warm","Nurture")))</f>
        <v>Hot</v>
      </c>
      <c r="AF388" s="3" t="str">
        <f aca="false">IF(W388="Likely Spam","Flagged by spam rules",TRIM(IF(X388&gt;=20,"Strong source. ","")&amp;IF(Y388&gt;0,"Company email. ","")&amp;IF(Z388&gt;=15,"High-value product. ","")&amp;IF(AA388&gt;='Scoring Model'!$B$15,"High engagement. ","")&amp;IF(AB388&gt;0,"Buying intent in message. ","")&amp;IF(AC388&lt;0,"Negative intent in message. ","")))</f>
        <v>Strong source. Company email. High-value product. High engagement. Buying intent in message.</v>
      </c>
      <c r="AG388" s="11" t="n">
        <f aca="false">IF(W388="Likely Spam","",1/(1+EXP(-('Conversion Model'!$B$5+IFERROR(INDEX('Conversion Model'!$B$8:$B$14,MATCH(C388,'Conversion Model'!$A$8:$A$14,0)),0)+IFERROR(INDEX('Conversion Model'!$E$8:$E$9,MATCH(F388,'Conversion Model'!$D$8:$D$9,0)),0)+IFERROR(INDEX('Conversion Model'!$H$8:$H$12,MATCH(IF(LEFT(J388,8)="Payments","Payments",IF(LEFT(J388,7)="Lending","Lending",J388)),'Conversion Model'!$G$8:$G$12,0)),0)+MIN(L388,15)*'Conversion Model'!$B$17+IF(SUMPRODUCT(--ISNUMBER(SEARCH('Scoring Model'!$D$16:$D$25,K388)))&gt;0,'Conversion Model'!$B$18,0)+IF(SUMPRODUCT(--ISNUMBER(SEARCH('Scoring Model'!$G$16:$G$23,K388)))&gt;0,'Conversion Model'!$B$19,0)))))</f>
        <v>0.99781510451788</v>
      </c>
      <c r="AH388" s="3" t="str">
        <f aca="false">IF(OR(O388="Qualified",O388="Won",O388="Lost"),1,IF(O388="Unqualified",0,""))</f>
        <v/>
      </c>
    </row>
    <row r="389" customFormat="false" ht="15" hidden="false" customHeight="true" outlineLevel="0" collapsed="false">
      <c r="A389" s="3" t="s">
        <v>1501</v>
      </c>
      <c r="B389" s="9" t="n">
        <v>46115.925</v>
      </c>
      <c r="C389" s="3" t="s">
        <v>160</v>
      </c>
      <c r="D389" s="3" t="s">
        <v>1502</v>
      </c>
      <c r="E389" s="3" t="s">
        <v>656</v>
      </c>
      <c r="F389" s="3" t="s">
        <v>54</v>
      </c>
      <c r="G389" s="3" t="s">
        <v>79</v>
      </c>
      <c r="H389" s="3"/>
      <c r="I389" s="3" t="s">
        <v>204</v>
      </c>
      <c r="J389" s="3" t="s">
        <v>81</v>
      </c>
      <c r="K389" s="3" t="s">
        <v>66</v>
      </c>
      <c r="L389" s="3" t="n">
        <v>1</v>
      </c>
      <c r="M389" s="3" t="n">
        <v>24.3</v>
      </c>
      <c r="N389" s="3" t="s">
        <v>67</v>
      </c>
      <c r="O389" s="3"/>
      <c r="P389" s="10"/>
      <c r="Q389" s="3" t="n">
        <f aca="false">IF(F389="Disposable",1,0)</f>
        <v>0</v>
      </c>
      <c r="R389" s="3" t="n">
        <f aca="false">IF(SUMPRODUCT(--ISNUMBER(SEARCH('Spam Rules'!$A$22:$A$35,K389)))&gt;0,1,0)</f>
        <v>1</v>
      </c>
      <c r="S389" s="3" t="n">
        <f aca="false">IF(AND(F389="Free",G389=""),1,0)</f>
        <v>0</v>
      </c>
      <c r="T389" s="3" t="n">
        <f aca="false">IF(LEN(TRIM(K389))&lt;15,1,0)</f>
        <v>0</v>
      </c>
      <c r="U389" s="3" t="n">
        <f aca="false">IF(COUNTIF($E$2:$E$801,E389)&gt;1,1,0)</f>
        <v>1</v>
      </c>
      <c r="V389" s="3" t="n">
        <f aca="false">Q389*'Spam Rules'!$H$6+R389*'Spam Rules'!$H$7+S389*'Spam Rules'!$H$8+T389*'Spam Rules'!$H$9+U389*'Spam Rules'!$H$10</f>
        <v>1</v>
      </c>
      <c r="W389" s="3" t="str">
        <f aca="false">IF(V389&gt;='Spam Rules'!$B$3,"Likely Spam","Genuine")</f>
        <v>Likely Spam</v>
      </c>
      <c r="X389" s="3" t="n">
        <f aca="false">IFERROR(INDEX('Scoring Model'!$B$5:$B$11,MATCH(C389,'Scoring Model'!$A$5:$A$11,0)),0)</f>
        <v>25</v>
      </c>
      <c r="Y389" s="3" t="n">
        <f aca="false">IFERROR(INDEX('Scoring Model'!$E$5:$E$7,MATCH(F389,'Scoring Model'!$D$5:$D$7,0)),0)</f>
        <v>0</v>
      </c>
      <c r="Z389" s="3" t="n">
        <f aca="false">IFERROR(INDEX('Scoring Model'!$H$5:$H$13,MATCH(J389,'Scoring Model'!$G$5:$G$13,0)),0)</f>
        <v>5</v>
      </c>
      <c r="AA389" s="3" t="n">
        <f aca="false">IF(L389&gt;='Scoring Model'!$B$14,'Scoring Model'!$B$15,IF(L389&gt;='Scoring Model'!$B$16,'Scoring Model'!$B$17,0))</f>
        <v>0</v>
      </c>
      <c r="AB389" s="3" t="n">
        <f aca="false">IF(SUMPRODUCT(--ISNUMBER(SEARCH('Scoring Model'!$D$16:$D$25,K389)))&gt;0,'Scoring Model'!$B$18,0)</f>
        <v>0</v>
      </c>
      <c r="AC389" s="3" t="n">
        <f aca="false">IF(SUMPRODUCT(--ISNUMBER(SEARCH('Scoring Model'!$G$16:$G$23,K389)))&gt;0,'Scoring Model'!$B$19,0)</f>
        <v>0</v>
      </c>
      <c r="AD389" s="3" t="str">
        <f aca="false">IF(W389="Likely Spam","",SUM(X389:AC389))</f>
        <v/>
      </c>
      <c r="AE389" s="3" t="str">
        <f aca="false">IF(W389="Likely Spam","Spam",IF(AD389&gt;='Scoring Model'!$B$21,"Hot",IF(AD389&gt;='Scoring Model'!$B$22,"Warm","Nurture")))</f>
        <v>Spam</v>
      </c>
      <c r="AF389" s="3" t="str">
        <f aca="false">IF(W389="Likely Spam","Flagged by spam rules",TRIM(IF(X389&gt;=20,"Strong source. ","")&amp;IF(Y389&gt;0,"Company email. ","")&amp;IF(Z389&gt;=15,"High-value product. ","")&amp;IF(AA389&gt;='Scoring Model'!$B$15,"High engagement. ","")&amp;IF(AB389&gt;0,"Buying intent in message. ","")&amp;IF(AC389&lt;0,"Negative intent in message. ","")))</f>
        <v>Flagged by spam rules</v>
      </c>
      <c r="AG389" s="11" t="str">
        <f aca="false">IF(W389="Likely Spam","",1/(1+EXP(-('Conversion Model'!$B$5+IFERROR(INDEX('Conversion Model'!$B$8:$B$14,MATCH(C389,'Conversion Model'!$A$8:$A$14,0)),0)+IFERROR(INDEX('Conversion Model'!$E$8:$E$9,MATCH(F389,'Conversion Model'!$D$8:$D$9,0)),0)+IFERROR(INDEX('Conversion Model'!$H$8:$H$12,MATCH(IF(LEFT(J389,8)="Payments","Payments",IF(LEFT(J389,7)="Lending","Lending",J389)),'Conversion Model'!$G$8:$G$12,0)),0)+MIN(L389,15)*'Conversion Model'!$B$17+IF(SUMPRODUCT(--ISNUMBER(SEARCH('Scoring Model'!$D$16:$D$25,K389)))&gt;0,'Conversion Model'!$B$18,0)+IF(SUMPRODUCT(--ISNUMBER(SEARCH('Scoring Model'!$G$16:$G$23,K389)))&gt;0,'Conversion Model'!$B$19,0)))))</f>
        <v/>
      </c>
      <c r="AH389" s="3" t="str">
        <f aca="false">IF(OR(O389="Qualified",O389="Won",O389="Lost"),1,IF(O389="Unqualified",0,""))</f>
        <v/>
      </c>
    </row>
    <row r="390" customFormat="false" ht="15" hidden="false" customHeight="true" outlineLevel="0" collapsed="false">
      <c r="A390" s="3" t="s">
        <v>1503</v>
      </c>
      <c r="B390" s="9" t="n">
        <v>46116.63125</v>
      </c>
      <c r="C390" s="3" t="s">
        <v>51</v>
      </c>
      <c r="D390" s="3" t="s">
        <v>469</v>
      </c>
      <c r="E390" s="3" t="s">
        <v>1504</v>
      </c>
      <c r="F390" s="3" t="s">
        <v>22</v>
      </c>
      <c r="G390" s="3" t="s">
        <v>316</v>
      </c>
      <c r="H390" s="3" t="s">
        <v>1505</v>
      </c>
      <c r="I390" s="3" t="s">
        <v>260</v>
      </c>
      <c r="J390" s="3" t="s">
        <v>117</v>
      </c>
      <c r="K390" s="3" t="s">
        <v>58</v>
      </c>
      <c r="L390" s="3" t="n">
        <v>3</v>
      </c>
      <c r="M390" s="3" t="n">
        <v>5</v>
      </c>
      <c r="N390" s="3" t="s">
        <v>96</v>
      </c>
      <c r="O390" s="3"/>
      <c r="P390" s="10"/>
      <c r="Q390" s="3" t="n">
        <f aca="false">IF(F390="Disposable",1,0)</f>
        <v>0</v>
      </c>
      <c r="R390" s="3" t="n">
        <f aca="false">IF(SUMPRODUCT(--ISNUMBER(SEARCH('Spam Rules'!$A$22:$A$35,K390)))&gt;0,1,0)</f>
        <v>0</v>
      </c>
      <c r="S390" s="3" t="n">
        <f aca="false">IF(AND(F390="Free",G390=""),1,0)</f>
        <v>0</v>
      </c>
      <c r="T390" s="3" t="n">
        <f aca="false">IF(LEN(TRIM(K390))&lt;15,1,0)</f>
        <v>0</v>
      </c>
      <c r="U390" s="3" t="n">
        <f aca="false">IF(COUNTIF($E$2:$E$801,E390)&gt;1,1,0)</f>
        <v>0</v>
      </c>
      <c r="V390" s="3" t="n">
        <f aca="false">Q390*'Spam Rules'!$H$6+R390*'Spam Rules'!$H$7+S390*'Spam Rules'!$H$8+T390*'Spam Rules'!$H$9+U390*'Spam Rules'!$H$10</f>
        <v>0</v>
      </c>
      <c r="W390" s="3" t="str">
        <f aca="false">IF(V390&gt;='Spam Rules'!$B$3,"Likely Spam","Genuine")</f>
        <v>Genuine</v>
      </c>
      <c r="X390" s="3" t="n">
        <f aca="false">IFERROR(INDEX('Scoring Model'!$B$5:$B$11,MATCH(C390,'Scoring Model'!$A$5:$A$11,0)),0)</f>
        <v>10</v>
      </c>
      <c r="Y390" s="3" t="n">
        <f aca="false">IFERROR(INDEX('Scoring Model'!$E$5:$E$7,MATCH(F390,'Scoring Model'!$D$5:$D$7,0)),0)</f>
        <v>20</v>
      </c>
      <c r="Z390" s="3" t="n">
        <f aca="false">IFERROR(INDEX('Scoring Model'!$H$5:$H$13,MATCH(J390,'Scoring Model'!$G$5:$G$13,0)),0)</f>
        <v>15</v>
      </c>
      <c r="AA390" s="3" t="n">
        <f aca="false">IF(L390&gt;='Scoring Model'!$B$14,'Scoring Model'!$B$15,IF(L390&gt;='Scoring Model'!$B$16,'Scoring Model'!$B$17,0))</f>
        <v>0</v>
      </c>
      <c r="AB390" s="3" t="n">
        <f aca="false">IF(SUMPRODUCT(--ISNUMBER(SEARCH('Scoring Model'!$D$16:$D$25,K390)))&gt;0,'Scoring Model'!$B$18,0)</f>
        <v>15</v>
      </c>
      <c r="AC390" s="3" t="n">
        <f aca="false">IF(SUMPRODUCT(--ISNUMBER(SEARCH('Scoring Model'!$G$16:$G$23,K390)))&gt;0,'Scoring Model'!$B$19,0)</f>
        <v>0</v>
      </c>
      <c r="AD390" s="3" t="n">
        <f aca="false">IF(W390="Likely Spam","",SUM(X390:AC390))</f>
        <v>60</v>
      </c>
      <c r="AE390" s="3" t="str">
        <f aca="false">IF(W390="Likely Spam","Spam",IF(AD390&gt;='Scoring Model'!$B$21,"Hot",IF(AD390&gt;='Scoring Model'!$B$22,"Warm","Nurture")))</f>
        <v>Warm</v>
      </c>
      <c r="AF390" s="3" t="str">
        <f aca="false">IF(W390="Likely Spam","Flagged by spam rules",TRIM(IF(X390&gt;=20,"Strong source. ","")&amp;IF(Y390&gt;0,"Company email. ","")&amp;IF(Z390&gt;=15,"High-value product. ","")&amp;IF(AA390&gt;='Scoring Model'!$B$15,"High engagement. ","")&amp;IF(AB390&gt;0,"Buying intent in message. ","")&amp;IF(AC390&lt;0,"Negative intent in message. ","")))</f>
        <v>Company email. High-value product. Buying intent in message.</v>
      </c>
      <c r="AG390" s="11" t="n">
        <f aca="false">IF(W390="Likely Spam","",1/(1+EXP(-('Conversion Model'!$B$5+IFERROR(INDEX('Conversion Model'!$B$8:$B$14,MATCH(C390,'Conversion Model'!$A$8:$A$14,0)),0)+IFERROR(INDEX('Conversion Model'!$E$8:$E$9,MATCH(F390,'Conversion Model'!$D$8:$D$9,0)),0)+IFERROR(INDEX('Conversion Model'!$H$8:$H$12,MATCH(IF(LEFT(J390,8)="Payments","Payments",IF(LEFT(J390,7)="Lending","Lending",J390)),'Conversion Model'!$G$8:$G$12,0)),0)+MIN(L390,15)*'Conversion Model'!$B$17+IF(SUMPRODUCT(--ISNUMBER(SEARCH('Scoring Model'!$D$16:$D$25,K390)))&gt;0,'Conversion Model'!$B$18,0)+IF(SUMPRODUCT(--ISNUMBER(SEARCH('Scoring Model'!$G$16:$G$23,K390)))&gt;0,'Conversion Model'!$B$19,0)))))</f>
        <v>0.528967525030952</v>
      </c>
      <c r="AH390" s="3" t="str">
        <f aca="false">IF(OR(O390="Qualified",O390="Won",O390="Lost"),1,IF(O390="Unqualified",0,""))</f>
        <v/>
      </c>
    </row>
    <row r="391" customFormat="false" ht="15" hidden="false" customHeight="true" outlineLevel="0" collapsed="false">
      <c r="A391" s="3" t="s">
        <v>1506</v>
      </c>
      <c r="B391" s="9" t="n">
        <v>46117.4097222222</v>
      </c>
      <c r="C391" s="3" t="s">
        <v>128</v>
      </c>
      <c r="D391" s="3" t="s">
        <v>1507</v>
      </c>
      <c r="E391" s="3" t="s">
        <v>1508</v>
      </c>
      <c r="F391" s="3" t="s">
        <v>22</v>
      </c>
      <c r="G391" s="3" t="s">
        <v>202</v>
      </c>
      <c r="H391" s="3" t="s">
        <v>203</v>
      </c>
      <c r="I391" s="3" t="s">
        <v>139</v>
      </c>
      <c r="J391" s="3" t="s">
        <v>145</v>
      </c>
      <c r="K391" s="3" t="s">
        <v>193</v>
      </c>
      <c r="L391" s="3" t="n">
        <v>3</v>
      </c>
      <c r="M391" s="3" t="n">
        <v>15.7</v>
      </c>
      <c r="N391" s="3" t="s">
        <v>67</v>
      </c>
      <c r="O391" s="3"/>
      <c r="P391" s="10"/>
      <c r="Q391" s="3" t="n">
        <f aca="false">IF(F391="Disposable",1,0)</f>
        <v>0</v>
      </c>
      <c r="R391" s="3" t="n">
        <f aca="false">IF(SUMPRODUCT(--ISNUMBER(SEARCH('Spam Rules'!$A$22:$A$35,K391)))&gt;0,1,0)</f>
        <v>0</v>
      </c>
      <c r="S391" s="3" t="n">
        <f aca="false">IF(AND(F391="Free",G391=""),1,0)</f>
        <v>0</v>
      </c>
      <c r="T391" s="3" t="n">
        <f aca="false">IF(LEN(TRIM(K391))&lt;15,1,0)</f>
        <v>0</v>
      </c>
      <c r="U391" s="3" t="n">
        <f aca="false">IF(COUNTIF($E$2:$E$801,E391)&gt;1,1,0)</f>
        <v>0</v>
      </c>
      <c r="V391" s="3" t="n">
        <f aca="false">Q391*'Spam Rules'!$H$6+R391*'Spam Rules'!$H$7+S391*'Spam Rules'!$H$8+T391*'Spam Rules'!$H$9+U391*'Spam Rules'!$H$10</f>
        <v>0</v>
      </c>
      <c r="W391" s="3" t="str">
        <f aca="false">IF(V391&gt;='Spam Rules'!$B$3,"Likely Spam","Genuine")</f>
        <v>Genuine</v>
      </c>
      <c r="X391" s="3" t="n">
        <f aca="false">IFERROR(INDEX('Scoring Model'!$B$5:$B$11,MATCH(C391,'Scoring Model'!$A$5:$A$11,0)),0)</f>
        <v>30</v>
      </c>
      <c r="Y391" s="3" t="n">
        <f aca="false">IFERROR(INDEX('Scoring Model'!$E$5:$E$7,MATCH(F391,'Scoring Model'!$D$5:$D$7,0)),0)</f>
        <v>20</v>
      </c>
      <c r="Z391" s="3" t="n">
        <f aca="false">IFERROR(INDEX('Scoring Model'!$H$5:$H$13,MATCH(J391,'Scoring Model'!$G$5:$G$13,0)),0)</f>
        <v>5</v>
      </c>
      <c r="AA391" s="3" t="n">
        <f aca="false">IF(L391&gt;='Scoring Model'!$B$14,'Scoring Model'!$B$15,IF(L391&gt;='Scoring Model'!$B$16,'Scoring Model'!$B$17,0))</f>
        <v>0</v>
      </c>
      <c r="AB391" s="3" t="n">
        <f aca="false">IF(SUMPRODUCT(--ISNUMBER(SEARCH('Scoring Model'!$D$16:$D$25,K391)))&gt;0,'Scoring Model'!$B$18,0)</f>
        <v>0</v>
      </c>
      <c r="AC391" s="3" t="n">
        <f aca="false">IF(SUMPRODUCT(--ISNUMBER(SEARCH('Scoring Model'!$G$16:$G$23,K391)))&gt;0,'Scoring Model'!$B$19,0)</f>
        <v>-30</v>
      </c>
      <c r="AD391" s="3" t="n">
        <f aca="false">IF(W391="Likely Spam","",SUM(X391:AC391))</f>
        <v>25</v>
      </c>
      <c r="AE391" s="3" t="str">
        <f aca="false">IF(W391="Likely Spam","Spam",IF(AD391&gt;='Scoring Model'!$B$21,"Hot",IF(AD391&gt;='Scoring Model'!$B$22,"Warm","Nurture")))</f>
        <v>Nurture</v>
      </c>
      <c r="AF391" s="3" t="str">
        <f aca="false">IF(W391="Likely Spam","Flagged by spam rules",TRIM(IF(X391&gt;=20,"Strong source. ","")&amp;IF(Y391&gt;0,"Company email. ","")&amp;IF(Z391&gt;=15,"High-value product. ","")&amp;IF(AA391&gt;='Scoring Model'!$B$15,"High engagement. ","")&amp;IF(AB391&gt;0,"Buying intent in message. ","")&amp;IF(AC391&lt;0,"Negative intent in message. ","")))</f>
        <v>Strong source. Company email. Negative intent in message.</v>
      </c>
      <c r="AG391" s="11" t="n">
        <f aca="false">IF(W391="Likely Spam","",1/(1+EXP(-('Conversion Model'!$B$5+IFERROR(INDEX('Conversion Model'!$B$8:$B$14,MATCH(C391,'Conversion Model'!$A$8:$A$14,0)),0)+IFERROR(INDEX('Conversion Model'!$E$8:$E$9,MATCH(F391,'Conversion Model'!$D$8:$D$9,0)),0)+IFERROR(INDEX('Conversion Model'!$H$8:$H$12,MATCH(IF(LEFT(J391,8)="Payments","Payments",IF(LEFT(J391,7)="Lending","Lending",J391)),'Conversion Model'!$G$8:$G$12,0)),0)+MIN(L391,15)*'Conversion Model'!$B$17+IF(SUMPRODUCT(--ISNUMBER(SEARCH('Scoring Model'!$D$16:$D$25,K391)))&gt;0,'Conversion Model'!$B$18,0)+IF(SUMPRODUCT(--ISNUMBER(SEARCH('Scoring Model'!$G$16:$G$23,K391)))&gt;0,'Conversion Model'!$B$19,0)))))</f>
        <v>0.0488461622583709</v>
      </c>
      <c r="AH391" s="3" t="str">
        <f aca="false">IF(OR(O391="Qualified",O391="Won",O391="Lost"),1,IF(O391="Unqualified",0,""))</f>
        <v/>
      </c>
    </row>
    <row r="392" customFormat="false" ht="15" hidden="false" customHeight="true" outlineLevel="0" collapsed="false">
      <c r="A392" s="3" t="s">
        <v>1509</v>
      </c>
      <c r="B392" s="9" t="n">
        <v>46117.4951388889</v>
      </c>
      <c r="C392" s="3" t="s">
        <v>135</v>
      </c>
      <c r="D392" s="3" t="s">
        <v>1510</v>
      </c>
      <c r="E392" s="3" t="s">
        <v>1511</v>
      </c>
      <c r="F392" s="3" t="s">
        <v>22</v>
      </c>
      <c r="G392" s="3" t="s">
        <v>1512</v>
      </c>
      <c r="H392" s="3" t="s">
        <v>1513</v>
      </c>
      <c r="I392" s="3" t="s">
        <v>139</v>
      </c>
      <c r="J392" s="3" t="s">
        <v>108</v>
      </c>
      <c r="K392" s="3" t="s">
        <v>228</v>
      </c>
      <c r="L392" s="3" t="n">
        <v>4</v>
      </c>
      <c r="M392" s="3" t="n">
        <v>18</v>
      </c>
      <c r="N392" s="3" t="s">
        <v>59</v>
      </c>
      <c r="O392" s="3"/>
      <c r="P392" s="10"/>
      <c r="Q392" s="3" t="n">
        <f aca="false">IF(F392="Disposable",1,0)</f>
        <v>0</v>
      </c>
      <c r="R392" s="3" t="n">
        <f aca="false">IF(SUMPRODUCT(--ISNUMBER(SEARCH('Spam Rules'!$A$22:$A$35,K392)))&gt;0,1,0)</f>
        <v>0</v>
      </c>
      <c r="S392" s="3" t="n">
        <f aca="false">IF(AND(F392="Free",G392=""),1,0)</f>
        <v>0</v>
      </c>
      <c r="T392" s="3" t="n">
        <f aca="false">IF(LEN(TRIM(K392))&lt;15,1,0)</f>
        <v>0</v>
      </c>
      <c r="U392" s="3" t="n">
        <f aca="false">IF(COUNTIF($E$2:$E$801,E392)&gt;1,1,0)</f>
        <v>0</v>
      </c>
      <c r="V392" s="3" t="n">
        <f aca="false">Q392*'Spam Rules'!$H$6+R392*'Spam Rules'!$H$7+S392*'Spam Rules'!$H$8+T392*'Spam Rules'!$H$9+U392*'Spam Rules'!$H$10</f>
        <v>0</v>
      </c>
      <c r="W392" s="3" t="str">
        <f aca="false">IF(V392&gt;='Spam Rules'!$B$3,"Likely Spam","Genuine")</f>
        <v>Genuine</v>
      </c>
      <c r="X392" s="3" t="n">
        <f aca="false">IFERROR(INDEX('Scoring Model'!$B$5:$B$11,MATCH(C392,'Scoring Model'!$A$5:$A$11,0)),0)</f>
        <v>20</v>
      </c>
      <c r="Y392" s="3" t="n">
        <f aca="false">IFERROR(INDEX('Scoring Model'!$E$5:$E$7,MATCH(F392,'Scoring Model'!$D$5:$D$7,0)),0)</f>
        <v>20</v>
      </c>
      <c r="Z392" s="3" t="n">
        <f aca="false">IFERROR(INDEX('Scoring Model'!$H$5:$H$13,MATCH(J392,'Scoring Model'!$G$5:$G$13,0)),0)</f>
        <v>15</v>
      </c>
      <c r="AA392" s="3" t="n">
        <f aca="false">IF(L392&gt;='Scoring Model'!$B$14,'Scoring Model'!$B$15,IF(L392&gt;='Scoring Model'!$B$16,'Scoring Model'!$B$17,0))</f>
        <v>8</v>
      </c>
      <c r="AB392" s="3" t="n">
        <f aca="false">IF(SUMPRODUCT(--ISNUMBER(SEARCH('Scoring Model'!$D$16:$D$25,K392)))&gt;0,'Scoring Model'!$B$18,0)</f>
        <v>15</v>
      </c>
      <c r="AC392" s="3" t="n">
        <f aca="false">IF(SUMPRODUCT(--ISNUMBER(SEARCH('Scoring Model'!$G$16:$G$23,K392)))&gt;0,'Scoring Model'!$B$19,0)</f>
        <v>0</v>
      </c>
      <c r="AD392" s="3" t="n">
        <f aca="false">IF(W392="Likely Spam","",SUM(X392:AC392))</f>
        <v>78</v>
      </c>
      <c r="AE392" s="3" t="str">
        <f aca="false">IF(W392="Likely Spam","Spam",IF(AD392&gt;='Scoring Model'!$B$21,"Hot",IF(AD392&gt;='Scoring Model'!$B$22,"Warm","Nurture")))</f>
        <v>Hot</v>
      </c>
      <c r="AF392" s="3" t="str">
        <f aca="false">IF(W392="Likely Spam","Flagged by spam rules",TRIM(IF(X392&gt;=20,"Strong source. ","")&amp;IF(Y392&gt;0,"Company email. ","")&amp;IF(Z392&gt;=15,"High-value product. ","")&amp;IF(AA392&gt;='Scoring Model'!$B$15,"High engagement. ","")&amp;IF(AB392&gt;0,"Buying intent in message. ","")&amp;IF(AC392&lt;0,"Negative intent in message. ","")))</f>
        <v>Strong source. Company email. High-value product. Buying intent in message.</v>
      </c>
      <c r="AG392" s="11" t="n">
        <f aca="false">IF(W392="Likely Spam","",1/(1+EXP(-('Conversion Model'!$B$5+IFERROR(INDEX('Conversion Model'!$B$8:$B$14,MATCH(C392,'Conversion Model'!$A$8:$A$14,0)),0)+IFERROR(INDEX('Conversion Model'!$E$8:$E$9,MATCH(F392,'Conversion Model'!$D$8:$D$9,0)),0)+IFERROR(INDEX('Conversion Model'!$H$8:$H$12,MATCH(IF(LEFT(J392,8)="Payments","Payments",IF(LEFT(J392,7)="Lending","Lending",J392)),'Conversion Model'!$G$8:$G$12,0)),0)+MIN(L392,15)*'Conversion Model'!$B$17+IF(SUMPRODUCT(--ISNUMBER(SEARCH('Scoring Model'!$D$16:$D$25,K392)))&gt;0,'Conversion Model'!$B$18,0)+IF(SUMPRODUCT(--ISNUMBER(SEARCH('Scoring Model'!$G$16:$G$23,K392)))&gt;0,'Conversion Model'!$B$19,0)))))</f>
        <v>0.702451683352767</v>
      </c>
      <c r="AH392" s="3" t="str">
        <f aca="false">IF(OR(O392="Qualified",O392="Won",O392="Lost"),1,IF(O392="Unqualified",0,""))</f>
        <v/>
      </c>
    </row>
    <row r="393" customFormat="false" ht="15" hidden="false" customHeight="true" outlineLevel="0" collapsed="false">
      <c r="A393" s="3" t="s">
        <v>1514</v>
      </c>
      <c r="B393" s="9" t="n">
        <v>46117.9583333333</v>
      </c>
      <c r="C393" s="3" t="s">
        <v>91</v>
      </c>
      <c r="D393" s="3" t="s">
        <v>1515</v>
      </c>
      <c r="E393" s="3" t="s">
        <v>1516</v>
      </c>
      <c r="F393" s="3" t="s">
        <v>54</v>
      </c>
      <c r="G393" s="3" t="s">
        <v>275</v>
      </c>
      <c r="H393" s="3"/>
      <c r="I393" s="3" t="s">
        <v>139</v>
      </c>
      <c r="J393" s="3" t="s">
        <v>145</v>
      </c>
      <c r="K393" s="3" t="s">
        <v>74</v>
      </c>
      <c r="L393" s="3" t="n">
        <v>1</v>
      </c>
      <c r="M393" s="3" t="n">
        <v>16.4</v>
      </c>
      <c r="N393" s="3" t="s">
        <v>59</v>
      </c>
      <c r="O393" s="3"/>
      <c r="P393" s="10"/>
      <c r="Q393" s="3" t="n">
        <f aca="false">IF(F393="Disposable",1,0)</f>
        <v>0</v>
      </c>
      <c r="R393" s="3" t="n">
        <f aca="false">IF(SUMPRODUCT(--ISNUMBER(SEARCH('Spam Rules'!$A$22:$A$35,K393)))&gt;0,1,0)</f>
        <v>0</v>
      </c>
      <c r="S393" s="3" t="n">
        <f aca="false">IF(AND(F393="Free",G393=""),1,0)</f>
        <v>0</v>
      </c>
      <c r="T393" s="3" t="n">
        <f aca="false">IF(LEN(TRIM(K393))&lt;15,1,0)</f>
        <v>0</v>
      </c>
      <c r="U393" s="3" t="n">
        <f aca="false">IF(COUNTIF($E$2:$E$801,E393)&gt;1,1,0)</f>
        <v>0</v>
      </c>
      <c r="V393" s="3" t="n">
        <f aca="false">Q393*'Spam Rules'!$H$6+R393*'Spam Rules'!$H$7+S393*'Spam Rules'!$H$8+T393*'Spam Rules'!$H$9+U393*'Spam Rules'!$H$10</f>
        <v>0</v>
      </c>
      <c r="W393" s="3" t="str">
        <f aca="false">IF(V393&gt;='Spam Rules'!$B$3,"Likely Spam","Genuine")</f>
        <v>Genuine</v>
      </c>
      <c r="X393" s="3" t="n">
        <f aca="false">IFERROR(INDEX('Scoring Model'!$B$5:$B$11,MATCH(C393,'Scoring Model'!$A$5:$A$11,0)),0)</f>
        <v>5</v>
      </c>
      <c r="Y393" s="3" t="n">
        <f aca="false">IFERROR(INDEX('Scoring Model'!$E$5:$E$7,MATCH(F393,'Scoring Model'!$D$5:$D$7,0)),0)</f>
        <v>0</v>
      </c>
      <c r="Z393" s="3" t="n">
        <f aca="false">IFERROR(INDEX('Scoring Model'!$H$5:$H$13,MATCH(J393,'Scoring Model'!$G$5:$G$13,0)),0)</f>
        <v>5</v>
      </c>
      <c r="AA393" s="3" t="n">
        <f aca="false">IF(L393&gt;='Scoring Model'!$B$14,'Scoring Model'!$B$15,IF(L393&gt;='Scoring Model'!$B$16,'Scoring Model'!$B$17,0))</f>
        <v>0</v>
      </c>
      <c r="AB393" s="3" t="n">
        <f aca="false">IF(SUMPRODUCT(--ISNUMBER(SEARCH('Scoring Model'!$D$16:$D$25,K393)))&gt;0,'Scoring Model'!$B$18,0)</f>
        <v>0</v>
      </c>
      <c r="AC393" s="3" t="n">
        <f aca="false">IF(SUMPRODUCT(--ISNUMBER(SEARCH('Scoring Model'!$G$16:$G$23,K393)))&gt;0,'Scoring Model'!$B$19,0)</f>
        <v>-30</v>
      </c>
      <c r="AD393" s="3" t="n">
        <f aca="false">IF(W393="Likely Spam","",SUM(X393:AC393))</f>
        <v>-20</v>
      </c>
      <c r="AE393" s="3" t="str">
        <f aca="false">IF(W393="Likely Spam","Spam",IF(AD393&gt;='Scoring Model'!$B$21,"Hot",IF(AD393&gt;='Scoring Model'!$B$22,"Warm","Nurture")))</f>
        <v>Nurture</v>
      </c>
      <c r="AF393" s="3" t="str">
        <f aca="false">IF(W393="Likely Spam","Flagged by spam rules",TRIM(IF(X393&gt;=20,"Strong source. ","")&amp;IF(Y393&gt;0,"Company email. ","")&amp;IF(Z393&gt;=15,"High-value product. ","")&amp;IF(AA393&gt;='Scoring Model'!$B$15,"High engagement. ","")&amp;IF(AB393&gt;0,"Buying intent in message. ","")&amp;IF(AC393&lt;0,"Negative intent in message. ","")))</f>
        <v>Negative intent in message.</v>
      </c>
      <c r="AG393" s="11" t="n">
        <f aca="false">IF(W393="Likely Spam","",1/(1+EXP(-('Conversion Model'!$B$5+IFERROR(INDEX('Conversion Model'!$B$8:$B$14,MATCH(C393,'Conversion Model'!$A$8:$A$14,0)),0)+IFERROR(INDEX('Conversion Model'!$E$8:$E$9,MATCH(F393,'Conversion Model'!$D$8:$D$9,0)),0)+IFERROR(INDEX('Conversion Model'!$H$8:$H$12,MATCH(IF(LEFT(J393,8)="Payments","Payments",IF(LEFT(J393,7)="Lending","Lending",J393)),'Conversion Model'!$G$8:$G$12,0)),0)+MIN(L393,15)*'Conversion Model'!$B$17+IF(SUMPRODUCT(--ISNUMBER(SEARCH('Scoring Model'!$D$16:$D$25,K393)))&gt;0,'Conversion Model'!$B$18,0)+IF(SUMPRODUCT(--ISNUMBER(SEARCH('Scoring Model'!$G$16:$G$23,K393)))&gt;0,'Conversion Model'!$B$19,0)))))</f>
        <v>0.000946303938965747</v>
      </c>
      <c r="AH393" s="3" t="str">
        <f aca="false">IF(OR(O393="Qualified",O393="Won",O393="Lost"),1,IF(O393="Unqualified",0,""))</f>
        <v/>
      </c>
    </row>
    <row r="394" customFormat="false" ht="15" hidden="false" customHeight="true" outlineLevel="0" collapsed="false">
      <c r="A394" s="3" t="s">
        <v>1517</v>
      </c>
      <c r="B394" s="9" t="n">
        <v>46117.9583333333</v>
      </c>
      <c r="C394" s="3" t="s">
        <v>51</v>
      </c>
      <c r="D394" s="3" t="s">
        <v>545</v>
      </c>
      <c r="E394" s="3" t="s">
        <v>1518</v>
      </c>
      <c r="F394" s="3" t="s">
        <v>22</v>
      </c>
      <c r="G394" s="3" t="s">
        <v>86</v>
      </c>
      <c r="H394" s="3" t="s">
        <v>87</v>
      </c>
      <c r="I394" s="3" t="s">
        <v>139</v>
      </c>
      <c r="J394" s="3" t="s">
        <v>81</v>
      </c>
      <c r="K394" s="3" t="s">
        <v>322</v>
      </c>
      <c r="L394" s="3" t="n">
        <v>2</v>
      </c>
      <c r="M394" s="3"/>
      <c r="N394" s="3" t="s">
        <v>96</v>
      </c>
      <c r="O394" s="3" t="s">
        <v>68</v>
      </c>
      <c r="P394" s="10"/>
      <c r="Q394" s="3" t="n">
        <f aca="false">IF(F394="Disposable",1,0)</f>
        <v>0</v>
      </c>
      <c r="R394" s="3" t="n">
        <f aca="false">IF(SUMPRODUCT(--ISNUMBER(SEARCH('Spam Rules'!$A$22:$A$35,K394)))&gt;0,1,0)</f>
        <v>0</v>
      </c>
      <c r="S394" s="3" t="n">
        <f aca="false">IF(AND(F394="Free",G394=""),1,0)</f>
        <v>0</v>
      </c>
      <c r="T394" s="3" t="n">
        <f aca="false">IF(LEN(TRIM(K394))&lt;15,1,0)</f>
        <v>1</v>
      </c>
      <c r="U394" s="3" t="n">
        <f aca="false">IF(COUNTIF($E$2:$E$801,E394)&gt;1,1,0)</f>
        <v>0</v>
      </c>
      <c r="V394" s="3" t="n">
        <f aca="false">Q394*'Spam Rules'!$H$6+R394*'Spam Rules'!$H$7+S394*'Spam Rules'!$H$8+T394*'Spam Rules'!$H$9+U394*'Spam Rules'!$H$10</f>
        <v>1</v>
      </c>
      <c r="W394" s="3" t="str">
        <f aca="false">IF(V394&gt;='Spam Rules'!$B$3,"Likely Spam","Genuine")</f>
        <v>Likely Spam</v>
      </c>
      <c r="X394" s="3" t="n">
        <f aca="false">IFERROR(INDEX('Scoring Model'!$B$5:$B$11,MATCH(C394,'Scoring Model'!$A$5:$A$11,0)),0)</f>
        <v>10</v>
      </c>
      <c r="Y394" s="3" t="n">
        <f aca="false">IFERROR(INDEX('Scoring Model'!$E$5:$E$7,MATCH(F394,'Scoring Model'!$D$5:$D$7,0)),0)</f>
        <v>20</v>
      </c>
      <c r="Z394" s="3" t="n">
        <f aca="false">IFERROR(INDEX('Scoring Model'!$H$5:$H$13,MATCH(J394,'Scoring Model'!$G$5:$G$13,0)),0)</f>
        <v>5</v>
      </c>
      <c r="AA394" s="3" t="n">
        <f aca="false">IF(L394&gt;='Scoring Model'!$B$14,'Scoring Model'!$B$15,IF(L394&gt;='Scoring Model'!$B$16,'Scoring Model'!$B$17,0))</f>
        <v>0</v>
      </c>
      <c r="AB394" s="3" t="n">
        <f aca="false">IF(SUMPRODUCT(--ISNUMBER(SEARCH('Scoring Model'!$D$16:$D$25,K394)))&gt;0,'Scoring Model'!$B$18,0)</f>
        <v>0</v>
      </c>
      <c r="AC394" s="3" t="n">
        <f aca="false">IF(SUMPRODUCT(--ISNUMBER(SEARCH('Scoring Model'!$G$16:$G$23,K394)))&gt;0,'Scoring Model'!$B$19,0)</f>
        <v>0</v>
      </c>
      <c r="AD394" s="3" t="str">
        <f aca="false">IF(W394="Likely Spam","",SUM(X394:AC394))</f>
        <v/>
      </c>
      <c r="AE394" s="3" t="str">
        <f aca="false">IF(W394="Likely Spam","Spam",IF(AD394&gt;='Scoring Model'!$B$21,"Hot",IF(AD394&gt;='Scoring Model'!$B$22,"Warm","Nurture")))</f>
        <v>Spam</v>
      </c>
      <c r="AF394" s="3" t="str">
        <f aca="false">IF(W394="Likely Spam","Flagged by spam rules",TRIM(IF(X394&gt;=20,"Strong source. ","")&amp;IF(Y394&gt;0,"Company email. ","")&amp;IF(Z394&gt;=15,"High-value product. ","")&amp;IF(AA394&gt;='Scoring Model'!$B$15,"High engagement. ","")&amp;IF(AB394&gt;0,"Buying intent in message. ","")&amp;IF(AC394&lt;0,"Negative intent in message. ","")))</f>
        <v>Flagged by spam rules</v>
      </c>
      <c r="AG394" s="11" t="str">
        <f aca="false">IF(W394="Likely Spam","",1/(1+EXP(-('Conversion Model'!$B$5+IFERROR(INDEX('Conversion Model'!$B$8:$B$14,MATCH(C394,'Conversion Model'!$A$8:$A$14,0)),0)+IFERROR(INDEX('Conversion Model'!$E$8:$E$9,MATCH(F394,'Conversion Model'!$D$8:$D$9,0)),0)+IFERROR(INDEX('Conversion Model'!$H$8:$H$12,MATCH(IF(LEFT(J394,8)="Payments","Payments",IF(LEFT(J394,7)="Lending","Lending",J394)),'Conversion Model'!$G$8:$G$12,0)),0)+MIN(L394,15)*'Conversion Model'!$B$17+IF(SUMPRODUCT(--ISNUMBER(SEARCH('Scoring Model'!$D$16:$D$25,K394)))&gt;0,'Conversion Model'!$B$18,0)+IF(SUMPRODUCT(--ISNUMBER(SEARCH('Scoring Model'!$G$16:$G$23,K394)))&gt;0,'Conversion Model'!$B$19,0)))))</f>
        <v/>
      </c>
      <c r="AH394" s="3" t="str">
        <f aca="false">IF(OR(O394="Qualified",O394="Won",O394="Lost"),1,IF(O394="Unqualified",0,""))</f>
        <v/>
      </c>
    </row>
    <row r="395" customFormat="false" ht="15" hidden="false" customHeight="true" outlineLevel="0" collapsed="false">
      <c r="A395" s="3" t="s">
        <v>1519</v>
      </c>
      <c r="B395" s="9" t="n">
        <v>46119.2388888889</v>
      </c>
      <c r="C395" s="3" t="s">
        <v>91</v>
      </c>
      <c r="D395" s="3" t="s">
        <v>1071</v>
      </c>
      <c r="E395" s="3" t="s">
        <v>1520</v>
      </c>
      <c r="F395" s="3" t="s">
        <v>54</v>
      </c>
      <c r="G395" s="3" t="s">
        <v>1521</v>
      </c>
      <c r="H395" s="3"/>
      <c r="I395" s="3" t="s">
        <v>107</v>
      </c>
      <c r="J395" s="3" t="s">
        <v>145</v>
      </c>
      <c r="K395" s="3" t="s">
        <v>189</v>
      </c>
      <c r="L395" s="3" t="n">
        <v>11</v>
      </c>
      <c r="M395" s="3" t="n">
        <v>32</v>
      </c>
      <c r="N395" s="3" t="s">
        <v>59</v>
      </c>
      <c r="O395" s="3" t="s">
        <v>110</v>
      </c>
      <c r="P395" s="10"/>
      <c r="Q395" s="3" t="n">
        <f aca="false">IF(F395="Disposable",1,0)</f>
        <v>0</v>
      </c>
      <c r="R395" s="3" t="n">
        <f aca="false">IF(SUMPRODUCT(--ISNUMBER(SEARCH('Spam Rules'!$A$22:$A$35,K395)))&gt;0,1,0)</f>
        <v>0</v>
      </c>
      <c r="S395" s="3" t="n">
        <f aca="false">IF(AND(F395="Free",G395=""),1,0)</f>
        <v>0</v>
      </c>
      <c r="T395" s="3" t="n">
        <f aca="false">IF(LEN(TRIM(K395))&lt;15,1,0)</f>
        <v>0</v>
      </c>
      <c r="U395" s="3" t="n">
        <f aca="false">IF(COUNTIF($E$2:$E$801,E395)&gt;1,1,0)</f>
        <v>0</v>
      </c>
      <c r="V395" s="3" t="n">
        <f aca="false">Q395*'Spam Rules'!$H$6+R395*'Spam Rules'!$H$7+S395*'Spam Rules'!$H$8+T395*'Spam Rules'!$H$9+U395*'Spam Rules'!$H$10</f>
        <v>0</v>
      </c>
      <c r="W395" s="3" t="str">
        <f aca="false">IF(V395&gt;='Spam Rules'!$B$3,"Likely Spam","Genuine")</f>
        <v>Genuine</v>
      </c>
      <c r="X395" s="3" t="n">
        <f aca="false">IFERROR(INDEX('Scoring Model'!$B$5:$B$11,MATCH(C395,'Scoring Model'!$A$5:$A$11,0)),0)</f>
        <v>5</v>
      </c>
      <c r="Y395" s="3" t="n">
        <f aca="false">IFERROR(INDEX('Scoring Model'!$E$5:$E$7,MATCH(F395,'Scoring Model'!$D$5:$D$7,0)),0)</f>
        <v>0</v>
      </c>
      <c r="Z395" s="3" t="n">
        <f aca="false">IFERROR(INDEX('Scoring Model'!$H$5:$H$13,MATCH(J395,'Scoring Model'!$G$5:$G$13,0)),0)</f>
        <v>5</v>
      </c>
      <c r="AA395" s="3" t="n">
        <f aca="false">IF(L395&gt;='Scoring Model'!$B$14,'Scoring Model'!$B$15,IF(L395&gt;='Scoring Model'!$B$16,'Scoring Model'!$B$17,0))</f>
        <v>15</v>
      </c>
      <c r="AB395" s="3" t="n">
        <f aca="false">IF(SUMPRODUCT(--ISNUMBER(SEARCH('Scoring Model'!$D$16:$D$25,K395)))&gt;0,'Scoring Model'!$B$18,0)</f>
        <v>15</v>
      </c>
      <c r="AC395" s="3" t="n">
        <f aca="false">IF(SUMPRODUCT(--ISNUMBER(SEARCH('Scoring Model'!$G$16:$G$23,K395)))&gt;0,'Scoring Model'!$B$19,0)</f>
        <v>0</v>
      </c>
      <c r="AD395" s="3" t="n">
        <f aca="false">IF(W395="Likely Spam","",SUM(X395:AC395))</f>
        <v>40</v>
      </c>
      <c r="AE395" s="3" t="str">
        <f aca="false">IF(W395="Likely Spam","Spam",IF(AD395&gt;='Scoring Model'!$B$21,"Hot",IF(AD395&gt;='Scoring Model'!$B$22,"Warm","Nurture")))</f>
        <v>Nurture</v>
      </c>
      <c r="AF395" s="3" t="str">
        <f aca="false">IF(W395="Likely Spam","Flagged by spam rules",TRIM(IF(X395&gt;=20,"Strong source. ","")&amp;IF(Y395&gt;0,"Company email. ","")&amp;IF(Z395&gt;=15,"High-value product. ","")&amp;IF(AA395&gt;='Scoring Model'!$B$15,"High engagement. ","")&amp;IF(AB395&gt;0,"Buying intent in message. ","")&amp;IF(AC395&lt;0,"Negative intent in message. ","")))</f>
        <v>High engagement. Buying intent in message.</v>
      </c>
      <c r="AG395" s="11" t="n">
        <f aca="false">IF(W395="Likely Spam","",1/(1+EXP(-('Conversion Model'!$B$5+IFERROR(INDEX('Conversion Model'!$B$8:$B$14,MATCH(C395,'Conversion Model'!$A$8:$A$14,0)),0)+IFERROR(INDEX('Conversion Model'!$E$8:$E$9,MATCH(F395,'Conversion Model'!$D$8:$D$9,0)),0)+IFERROR(INDEX('Conversion Model'!$H$8:$H$12,MATCH(IF(LEFT(J395,8)="Payments","Payments",IF(LEFT(J395,7)="Lending","Lending",J395)),'Conversion Model'!$G$8:$G$12,0)),0)+MIN(L395,15)*'Conversion Model'!$B$17+IF(SUMPRODUCT(--ISNUMBER(SEARCH('Scoring Model'!$D$16:$D$25,K395)))&gt;0,'Conversion Model'!$B$18,0)+IF(SUMPRODUCT(--ISNUMBER(SEARCH('Scoring Model'!$G$16:$G$23,K395)))&gt;0,'Conversion Model'!$B$19,0)))))</f>
        <v>0.989717742939565</v>
      </c>
      <c r="AH395" s="3" t="n">
        <f aca="false">IF(OR(O395="Qualified",O395="Won",O395="Lost"),1,IF(O395="Unqualified",0,""))</f>
        <v>1</v>
      </c>
    </row>
    <row r="396" customFormat="false" ht="15" hidden="false" customHeight="true" outlineLevel="0" collapsed="false">
      <c r="A396" s="3" t="s">
        <v>1522</v>
      </c>
      <c r="B396" s="9" t="n">
        <v>46120.5590277778</v>
      </c>
      <c r="C396" s="3" t="s">
        <v>160</v>
      </c>
      <c r="D396" s="3" t="s">
        <v>1523</v>
      </c>
      <c r="E396" s="3" t="s">
        <v>1524</v>
      </c>
      <c r="F396" s="3" t="s">
        <v>22</v>
      </c>
      <c r="G396" s="3" t="s">
        <v>343</v>
      </c>
      <c r="H396" s="3" t="s">
        <v>344</v>
      </c>
      <c r="I396" s="3" t="s">
        <v>56</v>
      </c>
      <c r="J396" s="3" t="s">
        <v>165</v>
      </c>
      <c r="K396" s="3" t="s">
        <v>228</v>
      </c>
      <c r="L396" s="3" t="n">
        <v>10</v>
      </c>
      <c r="M396" s="3" t="n">
        <v>6</v>
      </c>
      <c r="N396" s="3" t="s">
        <v>96</v>
      </c>
      <c r="O396" s="3"/>
      <c r="P396" s="10"/>
      <c r="Q396" s="3" t="n">
        <f aca="false">IF(F396="Disposable",1,0)</f>
        <v>0</v>
      </c>
      <c r="R396" s="3" t="n">
        <f aca="false">IF(SUMPRODUCT(--ISNUMBER(SEARCH('Spam Rules'!$A$22:$A$35,K396)))&gt;0,1,0)</f>
        <v>0</v>
      </c>
      <c r="S396" s="3" t="n">
        <f aca="false">IF(AND(F396="Free",G396=""),1,0)</f>
        <v>0</v>
      </c>
      <c r="T396" s="3" t="n">
        <f aca="false">IF(LEN(TRIM(K396))&lt;15,1,0)</f>
        <v>0</v>
      </c>
      <c r="U396" s="3" t="n">
        <f aca="false">IF(COUNTIF($E$2:$E$801,E396)&gt;1,1,0)</f>
        <v>0</v>
      </c>
      <c r="V396" s="3" t="n">
        <f aca="false">Q396*'Spam Rules'!$H$6+R396*'Spam Rules'!$H$7+S396*'Spam Rules'!$H$8+T396*'Spam Rules'!$H$9+U396*'Spam Rules'!$H$10</f>
        <v>0</v>
      </c>
      <c r="W396" s="3" t="str">
        <f aca="false">IF(V396&gt;='Spam Rules'!$B$3,"Likely Spam","Genuine")</f>
        <v>Genuine</v>
      </c>
      <c r="X396" s="3" t="n">
        <f aca="false">IFERROR(INDEX('Scoring Model'!$B$5:$B$11,MATCH(C396,'Scoring Model'!$A$5:$A$11,0)),0)</f>
        <v>25</v>
      </c>
      <c r="Y396" s="3" t="n">
        <f aca="false">IFERROR(INDEX('Scoring Model'!$E$5:$E$7,MATCH(F396,'Scoring Model'!$D$5:$D$7,0)),0)</f>
        <v>20</v>
      </c>
      <c r="Z396" s="3" t="n">
        <f aca="false">IFERROR(INDEX('Scoring Model'!$H$5:$H$13,MATCH(J396,'Scoring Model'!$G$5:$G$13,0)),0)</f>
        <v>15</v>
      </c>
      <c r="AA396" s="3" t="n">
        <f aca="false">IF(L396&gt;='Scoring Model'!$B$14,'Scoring Model'!$B$15,IF(L396&gt;='Scoring Model'!$B$16,'Scoring Model'!$B$17,0))</f>
        <v>15</v>
      </c>
      <c r="AB396" s="3" t="n">
        <f aca="false">IF(SUMPRODUCT(--ISNUMBER(SEARCH('Scoring Model'!$D$16:$D$25,K396)))&gt;0,'Scoring Model'!$B$18,0)</f>
        <v>15</v>
      </c>
      <c r="AC396" s="3" t="n">
        <f aca="false">IF(SUMPRODUCT(--ISNUMBER(SEARCH('Scoring Model'!$G$16:$G$23,K396)))&gt;0,'Scoring Model'!$B$19,0)</f>
        <v>0</v>
      </c>
      <c r="AD396" s="3" t="n">
        <f aca="false">IF(W396="Likely Spam","",SUM(X396:AC396))</f>
        <v>90</v>
      </c>
      <c r="AE396" s="3" t="str">
        <f aca="false">IF(W396="Likely Spam","Spam",IF(AD396&gt;='Scoring Model'!$B$21,"Hot",IF(AD396&gt;='Scoring Model'!$B$22,"Warm","Nurture")))</f>
        <v>Hot</v>
      </c>
      <c r="AF396" s="3" t="str">
        <f aca="false">IF(W396="Likely Spam","Flagged by spam rules",TRIM(IF(X396&gt;=20,"Strong source. ","")&amp;IF(Y396&gt;0,"Company email. ","")&amp;IF(Z396&gt;=15,"High-value product. ","")&amp;IF(AA396&gt;='Scoring Model'!$B$15,"High engagement. ","")&amp;IF(AB396&gt;0,"Buying intent in message. ","")&amp;IF(AC396&lt;0,"Negative intent in message. ","")))</f>
        <v>Strong source. Company email. High-value product. High engagement. Buying intent in message.</v>
      </c>
      <c r="AG396" s="11" t="n">
        <f aca="false">IF(W396="Likely Spam","",1/(1+EXP(-('Conversion Model'!$B$5+IFERROR(INDEX('Conversion Model'!$B$8:$B$14,MATCH(C396,'Conversion Model'!$A$8:$A$14,0)),0)+IFERROR(INDEX('Conversion Model'!$E$8:$E$9,MATCH(F396,'Conversion Model'!$D$8:$D$9,0)),0)+IFERROR(INDEX('Conversion Model'!$H$8:$H$12,MATCH(IF(LEFT(J396,8)="Payments","Payments",IF(LEFT(J396,7)="Lending","Lending",J396)),'Conversion Model'!$G$8:$G$12,0)),0)+MIN(L396,15)*'Conversion Model'!$B$17+IF(SUMPRODUCT(--ISNUMBER(SEARCH('Scoring Model'!$D$16:$D$25,K396)))&gt;0,'Conversion Model'!$B$18,0)+IF(SUMPRODUCT(--ISNUMBER(SEARCH('Scoring Model'!$G$16:$G$23,K396)))&gt;0,'Conversion Model'!$B$19,0)))))</f>
        <v>0.995092153018647</v>
      </c>
      <c r="AH396" s="3" t="str">
        <f aca="false">IF(OR(O396="Qualified",O396="Won",O396="Lost"),1,IF(O396="Unqualified",0,""))</f>
        <v/>
      </c>
    </row>
    <row r="397" customFormat="false" ht="15" hidden="false" customHeight="true" outlineLevel="0" collapsed="false">
      <c r="A397" s="3" t="s">
        <v>1525</v>
      </c>
      <c r="B397" s="9" t="n">
        <v>46120.6569444445</v>
      </c>
      <c r="C397" s="3" t="s">
        <v>91</v>
      </c>
      <c r="D397" s="3" t="s">
        <v>655</v>
      </c>
      <c r="E397" s="3" t="s">
        <v>1526</v>
      </c>
      <c r="F397" s="3" t="s">
        <v>22</v>
      </c>
      <c r="G397" s="3" t="s">
        <v>79</v>
      </c>
      <c r="H397" s="3" t="s">
        <v>886</v>
      </c>
      <c r="I397" s="3" t="s">
        <v>94</v>
      </c>
      <c r="J397" s="3" t="s">
        <v>65</v>
      </c>
      <c r="K397" s="3" t="s">
        <v>239</v>
      </c>
      <c r="L397" s="3" t="n">
        <v>2</v>
      </c>
      <c r="M397" s="3"/>
      <c r="N397" s="3" t="s">
        <v>67</v>
      </c>
      <c r="O397" s="3"/>
      <c r="P397" s="10"/>
      <c r="Q397" s="3" t="n">
        <f aca="false">IF(F397="Disposable",1,0)</f>
        <v>0</v>
      </c>
      <c r="R397" s="3" t="n">
        <f aca="false">IF(SUMPRODUCT(--ISNUMBER(SEARCH('Spam Rules'!$A$22:$A$35,K397)))&gt;0,1,0)</f>
        <v>1</v>
      </c>
      <c r="S397" s="3" t="n">
        <f aca="false">IF(AND(F397="Free",G397=""),1,0)</f>
        <v>0</v>
      </c>
      <c r="T397" s="3" t="n">
        <f aca="false">IF(LEN(TRIM(K397))&lt;15,1,0)</f>
        <v>0</v>
      </c>
      <c r="U397" s="3" t="n">
        <f aca="false">IF(COUNTIF($E$2:$E$801,E397)&gt;1,1,0)</f>
        <v>1</v>
      </c>
      <c r="V397" s="3" t="n">
        <f aca="false">Q397*'Spam Rules'!$H$6+R397*'Spam Rules'!$H$7+S397*'Spam Rules'!$H$8+T397*'Spam Rules'!$H$9+U397*'Spam Rules'!$H$10</f>
        <v>1</v>
      </c>
      <c r="W397" s="3" t="str">
        <f aca="false">IF(V397&gt;='Spam Rules'!$B$3,"Likely Spam","Genuine")</f>
        <v>Likely Spam</v>
      </c>
      <c r="X397" s="3" t="n">
        <f aca="false">IFERROR(INDEX('Scoring Model'!$B$5:$B$11,MATCH(C397,'Scoring Model'!$A$5:$A$11,0)),0)</f>
        <v>5</v>
      </c>
      <c r="Y397" s="3" t="n">
        <f aca="false">IFERROR(INDEX('Scoring Model'!$E$5:$E$7,MATCH(F397,'Scoring Model'!$D$5:$D$7,0)),0)</f>
        <v>20</v>
      </c>
      <c r="Z397" s="3" t="n">
        <f aca="false">IFERROR(INDEX('Scoring Model'!$H$5:$H$13,MATCH(J397,'Scoring Model'!$G$5:$G$13,0)),0)</f>
        <v>0</v>
      </c>
      <c r="AA397" s="3" t="n">
        <f aca="false">IF(L397&gt;='Scoring Model'!$B$14,'Scoring Model'!$B$15,IF(L397&gt;='Scoring Model'!$B$16,'Scoring Model'!$B$17,0))</f>
        <v>0</v>
      </c>
      <c r="AB397" s="3" t="n">
        <f aca="false">IF(SUMPRODUCT(--ISNUMBER(SEARCH('Scoring Model'!$D$16:$D$25,K397)))&gt;0,'Scoring Model'!$B$18,0)</f>
        <v>0</v>
      </c>
      <c r="AC397" s="3" t="n">
        <f aca="false">IF(SUMPRODUCT(--ISNUMBER(SEARCH('Scoring Model'!$G$16:$G$23,K397)))&gt;0,'Scoring Model'!$B$19,0)</f>
        <v>0</v>
      </c>
      <c r="AD397" s="3" t="str">
        <f aca="false">IF(W397="Likely Spam","",SUM(X397:AC397))</f>
        <v/>
      </c>
      <c r="AE397" s="3" t="str">
        <f aca="false">IF(W397="Likely Spam","Spam",IF(AD397&gt;='Scoring Model'!$B$21,"Hot",IF(AD397&gt;='Scoring Model'!$B$22,"Warm","Nurture")))</f>
        <v>Spam</v>
      </c>
      <c r="AF397" s="3" t="str">
        <f aca="false">IF(W397="Likely Spam","Flagged by spam rules",TRIM(IF(X397&gt;=20,"Strong source. ","")&amp;IF(Y397&gt;0,"Company email. ","")&amp;IF(Z397&gt;=15,"High-value product. ","")&amp;IF(AA397&gt;='Scoring Model'!$B$15,"High engagement. ","")&amp;IF(AB397&gt;0,"Buying intent in message. ","")&amp;IF(AC397&lt;0,"Negative intent in message. ","")))</f>
        <v>Flagged by spam rules</v>
      </c>
      <c r="AG397" s="11" t="str">
        <f aca="false">IF(W397="Likely Spam","",1/(1+EXP(-('Conversion Model'!$B$5+IFERROR(INDEX('Conversion Model'!$B$8:$B$14,MATCH(C397,'Conversion Model'!$A$8:$A$14,0)),0)+IFERROR(INDEX('Conversion Model'!$E$8:$E$9,MATCH(F397,'Conversion Model'!$D$8:$D$9,0)),0)+IFERROR(INDEX('Conversion Model'!$H$8:$H$12,MATCH(IF(LEFT(J397,8)="Payments","Payments",IF(LEFT(J397,7)="Lending","Lending",J397)),'Conversion Model'!$G$8:$G$12,0)),0)+MIN(L397,15)*'Conversion Model'!$B$17+IF(SUMPRODUCT(--ISNUMBER(SEARCH('Scoring Model'!$D$16:$D$25,K397)))&gt;0,'Conversion Model'!$B$18,0)+IF(SUMPRODUCT(--ISNUMBER(SEARCH('Scoring Model'!$G$16:$G$23,K397)))&gt;0,'Conversion Model'!$B$19,0)))))</f>
        <v/>
      </c>
      <c r="AH397" s="3" t="str">
        <f aca="false">IF(OR(O397="Qualified",O397="Won",O397="Lost"),1,IF(O397="Unqualified",0,""))</f>
        <v/>
      </c>
    </row>
    <row r="398" customFormat="false" ht="15" hidden="false" customHeight="true" outlineLevel="0" collapsed="false">
      <c r="A398" s="3" t="s">
        <v>1527</v>
      </c>
      <c r="B398" s="9" t="n">
        <v>46120.6770833333</v>
      </c>
      <c r="C398" s="3" t="s">
        <v>51</v>
      </c>
      <c r="D398" s="3" t="s">
        <v>1528</v>
      </c>
      <c r="E398" s="3" t="s">
        <v>1529</v>
      </c>
      <c r="F398" s="3" t="s">
        <v>54</v>
      </c>
      <c r="G398" s="3"/>
      <c r="H398" s="3"/>
      <c r="I398" s="3" t="s">
        <v>227</v>
      </c>
      <c r="J398" s="3" t="s">
        <v>81</v>
      </c>
      <c r="K398" s="3" t="s">
        <v>657</v>
      </c>
      <c r="L398" s="3" t="n">
        <v>2</v>
      </c>
      <c r="M398" s="3"/>
      <c r="N398" s="3" t="s">
        <v>96</v>
      </c>
      <c r="O398" s="3" t="s">
        <v>68</v>
      </c>
      <c r="P398" s="10"/>
      <c r="Q398" s="3" t="n">
        <f aca="false">IF(F398="Disposable",1,0)</f>
        <v>0</v>
      </c>
      <c r="R398" s="3" t="n">
        <f aca="false">IF(SUMPRODUCT(--ISNUMBER(SEARCH('Spam Rules'!$A$22:$A$35,K398)))&gt;0,1,0)</f>
        <v>1</v>
      </c>
      <c r="S398" s="3" t="n">
        <f aca="false">IF(AND(F398="Free",G398=""),1,0)</f>
        <v>1</v>
      </c>
      <c r="T398" s="3" t="n">
        <f aca="false">IF(LEN(TRIM(K398))&lt;15,1,0)</f>
        <v>0</v>
      </c>
      <c r="U398" s="3" t="n">
        <f aca="false">IF(COUNTIF($E$2:$E$801,E398)&gt;1,1,0)</f>
        <v>1</v>
      </c>
      <c r="V398" s="3" t="n">
        <f aca="false">Q398*'Spam Rules'!$H$6+R398*'Spam Rules'!$H$7+S398*'Spam Rules'!$H$8+T398*'Spam Rules'!$H$9+U398*'Spam Rules'!$H$10</f>
        <v>1</v>
      </c>
      <c r="W398" s="3" t="str">
        <f aca="false">IF(V398&gt;='Spam Rules'!$B$3,"Likely Spam","Genuine")</f>
        <v>Likely Spam</v>
      </c>
      <c r="X398" s="3" t="n">
        <f aca="false">IFERROR(INDEX('Scoring Model'!$B$5:$B$11,MATCH(C398,'Scoring Model'!$A$5:$A$11,0)),0)</f>
        <v>10</v>
      </c>
      <c r="Y398" s="3" t="n">
        <f aca="false">IFERROR(INDEX('Scoring Model'!$E$5:$E$7,MATCH(F398,'Scoring Model'!$D$5:$D$7,0)),0)</f>
        <v>0</v>
      </c>
      <c r="Z398" s="3" t="n">
        <f aca="false">IFERROR(INDEX('Scoring Model'!$H$5:$H$13,MATCH(J398,'Scoring Model'!$G$5:$G$13,0)),0)</f>
        <v>5</v>
      </c>
      <c r="AA398" s="3" t="n">
        <f aca="false">IF(L398&gt;='Scoring Model'!$B$14,'Scoring Model'!$B$15,IF(L398&gt;='Scoring Model'!$B$16,'Scoring Model'!$B$17,0))</f>
        <v>0</v>
      </c>
      <c r="AB398" s="3" t="n">
        <f aca="false">IF(SUMPRODUCT(--ISNUMBER(SEARCH('Scoring Model'!$D$16:$D$25,K398)))&gt;0,'Scoring Model'!$B$18,0)</f>
        <v>0</v>
      </c>
      <c r="AC398" s="3" t="n">
        <f aca="false">IF(SUMPRODUCT(--ISNUMBER(SEARCH('Scoring Model'!$G$16:$G$23,K398)))&gt;0,'Scoring Model'!$B$19,0)</f>
        <v>0</v>
      </c>
      <c r="AD398" s="3" t="str">
        <f aca="false">IF(W398="Likely Spam","",SUM(X398:AC398))</f>
        <v/>
      </c>
      <c r="AE398" s="3" t="str">
        <f aca="false">IF(W398="Likely Spam","Spam",IF(AD398&gt;='Scoring Model'!$B$21,"Hot",IF(AD398&gt;='Scoring Model'!$B$22,"Warm","Nurture")))</f>
        <v>Spam</v>
      </c>
      <c r="AF398" s="3" t="str">
        <f aca="false">IF(W398="Likely Spam","Flagged by spam rules",TRIM(IF(X398&gt;=20,"Strong source. ","")&amp;IF(Y398&gt;0,"Company email. ","")&amp;IF(Z398&gt;=15,"High-value product. ","")&amp;IF(AA398&gt;='Scoring Model'!$B$15,"High engagement. ","")&amp;IF(AB398&gt;0,"Buying intent in message. ","")&amp;IF(AC398&lt;0,"Negative intent in message. ","")))</f>
        <v>Flagged by spam rules</v>
      </c>
      <c r="AG398" s="11" t="str">
        <f aca="false">IF(W398="Likely Spam","",1/(1+EXP(-('Conversion Model'!$B$5+IFERROR(INDEX('Conversion Model'!$B$8:$B$14,MATCH(C398,'Conversion Model'!$A$8:$A$14,0)),0)+IFERROR(INDEX('Conversion Model'!$E$8:$E$9,MATCH(F398,'Conversion Model'!$D$8:$D$9,0)),0)+IFERROR(INDEX('Conversion Model'!$H$8:$H$12,MATCH(IF(LEFT(J398,8)="Payments","Payments",IF(LEFT(J398,7)="Lending","Lending",J398)),'Conversion Model'!$G$8:$G$12,0)),0)+MIN(L398,15)*'Conversion Model'!$B$17+IF(SUMPRODUCT(--ISNUMBER(SEARCH('Scoring Model'!$D$16:$D$25,K398)))&gt;0,'Conversion Model'!$B$18,0)+IF(SUMPRODUCT(--ISNUMBER(SEARCH('Scoring Model'!$G$16:$G$23,K398)))&gt;0,'Conversion Model'!$B$19,0)))))</f>
        <v/>
      </c>
      <c r="AH398" s="3" t="str">
        <f aca="false">IF(OR(O398="Qualified",O398="Won",O398="Lost"),1,IF(O398="Unqualified",0,""))</f>
        <v/>
      </c>
    </row>
    <row r="399" customFormat="false" ht="15" hidden="false" customHeight="true" outlineLevel="0" collapsed="false">
      <c r="A399" s="3" t="s">
        <v>1530</v>
      </c>
      <c r="B399" s="9" t="n">
        <v>46120.9368055556</v>
      </c>
      <c r="C399" s="3" t="s">
        <v>128</v>
      </c>
      <c r="D399" s="3" t="s">
        <v>1531</v>
      </c>
      <c r="E399" s="3" t="s">
        <v>1532</v>
      </c>
      <c r="F399" s="3" t="s">
        <v>22</v>
      </c>
      <c r="G399" s="3" t="s">
        <v>1512</v>
      </c>
      <c r="H399" s="3" t="s">
        <v>1513</v>
      </c>
      <c r="I399" s="3" t="s">
        <v>334</v>
      </c>
      <c r="J399" s="3" t="s">
        <v>57</v>
      </c>
      <c r="K399" s="3" t="s">
        <v>1533</v>
      </c>
      <c r="L399" s="3" t="n">
        <v>10</v>
      </c>
      <c r="M399" s="3" t="n">
        <v>35.7</v>
      </c>
      <c r="N399" s="3" t="s">
        <v>67</v>
      </c>
      <c r="O399" s="3" t="s">
        <v>331</v>
      </c>
      <c r="P399" s="10"/>
      <c r="Q399" s="3" t="n">
        <f aca="false">IF(F399="Disposable",1,0)</f>
        <v>0</v>
      </c>
      <c r="R399" s="3" t="n">
        <f aca="false">IF(SUMPRODUCT(--ISNUMBER(SEARCH('Spam Rules'!$A$22:$A$35,K399)))&gt;0,1,0)</f>
        <v>0</v>
      </c>
      <c r="S399" s="3" t="n">
        <f aca="false">IF(AND(F399="Free",G399=""),1,0)</f>
        <v>0</v>
      </c>
      <c r="T399" s="3" t="n">
        <f aca="false">IF(LEN(TRIM(K399))&lt;15,1,0)</f>
        <v>0</v>
      </c>
      <c r="U399" s="3" t="n">
        <f aca="false">IF(COUNTIF($E$2:$E$801,E399)&gt;1,1,0)</f>
        <v>0</v>
      </c>
      <c r="V399" s="3" t="n">
        <f aca="false">Q399*'Spam Rules'!$H$6+R399*'Spam Rules'!$H$7+S399*'Spam Rules'!$H$8+T399*'Spam Rules'!$H$9+U399*'Spam Rules'!$H$10</f>
        <v>0</v>
      </c>
      <c r="W399" s="3" t="str">
        <f aca="false">IF(V399&gt;='Spam Rules'!$B$3,"Likely Spam","Genuine")</f>
        <v>Genuine</v>
      </c>
      <c r="X399" s="3" t="n">
        <f aca="false">IFERROR(INDEX('Scoring Model'!$B$5:$B$11,MATCH(C399,'Scoring Model'!$A$5:$A$11,0)),0)</f>
        <v>30</v>
      </c>
      <c r="Y399" s="3" t="n">
        <f aca="false">IFERROR(INDEX('Scoring Model'!$E$5:$E$7,MATCH(F399,'Scoring Model'!$D$5:$D$7,0)),0)</f>
        <v>20</v>
      </c>
      <c r="Z399" s="3" t="n">
        <f aca="false">IFERROR(INDEX('Scoring Model'!$H$5:$H$13,MATCH(J399,'Scoring Model'!$G$5:$G$13,0)),0)</f>
        <v>15</v>
      </c>
      <c r="AA399" s="3" t="n">
        <f aca="false">IF(L399&gt;='Scoring Model'!$B$14,'Scoring Model'!$B$15,IF(L399&gt;='Scoring Model'!$B$16,'Scoring Model'!$B$17,0))</f>
        <v>15</v>
      </c>
      <c r="AB399" s="3" t="n">
        <f aca="false">IF(SUMPRODUCT(--ISNUMBER(SEARCH('Scoring Model'!$D$16:$D$25,K399)))&gt;0,'Scoring Model'!$B$18,0)</f>
        <v>15</v>
      </c>
      <c r="AC399" s="3" t="n">
        <f aca="false">IF(SUMPRODUCT(--ISNUMBER(SEARCH('Scoring Model'!$G$16:$G$23,K399)))&gt;0,'Scoring Model'!$B$19,0)</f>
        <v>0</v>
      </c>
      <c r="AD399" s="3" t="n">
        <f aca="false">IF(W399="Likely Spam","",SUM(X399:AC399))</f>
        <v>95</v>
      </c>
      <c r="AE399" s="3" t="str">
        <f aca="false">IF(W399="Likely Spam","Spam",IF(AD399&gt;='Scoring Model'!$B$21,"Hot",IF(AD399&gt;='Scoring Model'!$B$22,"Warm","Nurture")))</f>
        <v>Hot</v>
      </c>
      <c r="AF399" s="3" t="str">
        <f aca="false">IF(W399="Likely Spam","Flagged by spam rules",TRIM(IF(X399&gt;=20,"Strong source. ","")&amp;IF(Y399&gt;0,"Company email. ","")&amp;IF(Z399&gt;=15,"High-value product. ","")&amp;IF(AA399&gt;='Scoring Model'!$B$15,"High engagement. ","")&amp;IF(AB399&gt;0,"Buying intent in message. ","")&amp;IF(AC399&lt;0,"Negative intent in message. ","")))</f>
        <v>Strong source. Company email. High-value product. High engagement. Buying intent in message.</v>
      </c>
      <c r="AG399" s="11" t="n">
        <f aca="false">IF(W399="Likely Spam","",1/(1+EXP(-('Conversion Model'!$B$5+IFERROR(INDEX('Conversion Model'!$B$8:$B$14,MATCH(C399,'Conversion Model'!$A$8:$A$14,0)),0)+IFERROR(INDEX('Conversion Model'!$E$8:$E$9,MATCH(F399,'Conversion Model'!$D$8:$D$9,0)),0)+IFERROR(INDEX('Conversion Model'!$H$8:$H$12,MATCH(IF(LEFT(J399,8)="Payments","Payments",IF(LEFT(J399,7)="Lending","Lending",J399)),'Conversion Model'!$G$8:$G$12,0)),0)+MIN(L399,15)*'Conversion Model'!$B$17+IF(SUMPRODUCT(--ISNUMBER(SEARCH('Scoring Model'!$D$16:$D$25,K399)))&gt;0,'Conversion Model'!$B$18,0)+IF(SUMPRODUCT(--ISNUMBER(SEARCH('Scoring Model'!$G$16:$G$23,K399)))&gt;0,'Conversion Model'!$B$19,0)))))</f>
        <v>0.997505078564217</v>
      </c>
      <c r="AH399" s="3" t="n">
        <f aca="false">IF(OR(O399="Qualified",O399="Won",O399="Lost"),1,IF(O399="Unqualified",0,""))</f>
        <v>1</v>
      </c>
    </row>
    <row r="400" customFormat="false" ht="15" hidden="false" customHeight="true" outlineLevel="0" collapsed="false">
      <c r="A400" s="3" t="s">
        <v>1534</v>
      </c>
      <c r="B400" s="9" t="n">
        <v>46121.15</v>
      </c>
      <c r="C400" s="3" t="s">
        <v>51</v>
      </c>
      <c r="D400" s="3" t="s">
        <v>380</v>
      </c>
      <c r="E400" s="3" t="s">
        <v>1535</v>
      </c>
      <c r="F400" s="3" t="s">
        <v>22</v>
      </c>
      <c r="G400" s="3" t="s">
        <v>927</v>
      </c>
      <c r="H400" s="3" t="s">
        <v>1536</v>
      </c>
      <c r="I400" s="3" t="s">
        <v>64</v>
      </c>
      <c r="J400" s="3" t="s">
        <v>145</v>
      </c>
      <c r="K400" s="3" t="s">
        <v>1537</v>
      </c>
      <c r="L400" s="3" t="n">
        <v>10</v>
      </c>
      <c r="M400" s="3" t="n">
        <v>2.3</v>
      </c>
      <c r="N400" s="3" t="s">
        <v>67</v>
      </c>
      <c r="O400" s="3" t="s">
        <v>110</v>
      </c>
      <c r="P400" s="10"/>
      <c r="Q400" s="3" t="n">
        <f aca="false">IF(F400="Disposable",1,0)</f>
        <v>0</v>
      </c>
      <c r="R400" s="3" t="n">
        <f aca="false">IF(SUMPRODUCT(--ISNUMBER(SEARCH('Spam Rules'!$A$22:$A$35,K400)))&gt;0,1,0)</f>
        <v>0</v>
      </c>
      <c r="S400" s="3" t="n">
        <f aca="false">IF(AND(F400="Free",G400=""),1,0)</f>
        <v>0</v>
      </c>
      <c r="T400" s="3" t="n">
        <f aca="false">IF(LEN(TRIM(K400))&lt;15,1,0)</f>
        <v>0</v>
      </c>
      <c r="U400" s="3" t="n">
        <f aca="false">IF(COUNTIF($E$2:$E$801,E400)&gt;1,1,0)</f>
        <v>0</v>
      </c>
      <c r="V400" s="3" t="n">
        <f aca="false">Q400*'Spam Rules'!$H$6+R400*'Spam Rules'!$H$7+S400*'Spam Rules'!$H$8+T400*'Spam Rules'!$H$9+U400*'Spam Rules'!$H$10</f>
        <v>0</v>
      </c>
      <c r="W400" s="3" t="str">
        <f aca="false">IF(V400&gt;='Spam Rules'!$B$3,"Likely Spam","Genuine")</f>
        <v>Genuine</v>
      </c>
      <c r="X400" s="3" t="n">
        <f aca="false">IFERROR(INDEX('Scoring Model'!$B$5:$B$11,MATCH(C400,'Scoring Model'!$A$5:$A$11,0)),0)</f>
        <v>10</v>
      </c>
      <c r="Y400" s="3" t="n">
        <f aca="false">IFERROR(INDEX('Scoring Model'!$E$5:$E$7,MATCH(F400,'Scoring Model'!$D$5:$D$7,0)),0)</f>
        <v>20</v>
      </c>
      <c r="Z400" s="3" t="n">
        <f aca="false">IFERROR(INDEX('Scoring Model'!$H$5:$H$13,MATCH(J400,'Scoring Model'!$G$5:$G$13,0)),0)</f>
        <v>5</v>
      </c>
      <c r="AA400" s="3" t="n">
        <f aca="false">IF(L400&gt;='Scoring Model'!$B$14,'Scoring Model'!$B$15,IF(L400&gt;='Scoring Model'!$B$16,'Scoring Model'!$B$17,0))</f>
        <v>15</v>
      </c>
      <c r="AB400" s="3" t="n">
        <f aca="false">IF(SUMPRODUCT(--ISNUMBER(SEARCH('Scoring Model'!$D$16:$D$25,K400)))&gt;0,'Scoring Model'!$B$18,0)</f>
        <v>15</v>
      </c>
      <c r="AC400" s="3" t="n">
        <f aca="false">IF(SUMPRODUCT(--ISNUMBER(SEARCH('Scoring Model'!$G$16:$G$23,K400)))&gt;0,'Scoring Model'!$B$19,0)</f>
        <v>0</v>
      </c>
      <c r="AD400" s="3" t="n">
        <f aca="false">IF(W400="Likely Spam","",SUM(X400:AC400))</f>
        <v>65</v>
      </c>
      <c r="AE400" s="3" t="str">
        <f aca="false">IF(W400="Likely Spam","Spam",IF(AD400&gt;='Scoring Model'!$B$21,"Hot",IF(AD400&gt;='Scoring Model'!$B$22,"Warm","Nurture")))</f>
        <v>Warm</v>
      </c>
      <c r="AF400" s="3" t="str">
        <f aca="false">IF(W400="Likely Spam","Flagged by spam rules",TRIM(IF(X400&gt;=20,"Strong source. ","")&amp;IF(Y400&gt;0,"Company email. ","")&amp;IF(Z400&gt;=15,"High-value product. ","")&amp;IF(AA400&gt;='Scoring Model'!$B$15,"High engagement. ","")&amp;IF(AB400&gt;0,"Buying intent in message. ","")&amp;IF(AC400&lt;0,"Negative intent in message. ","")))</f>
        <v>Company email. High engagement. Buying intent in message.</v>
      </c>
      <c r="AG400" s="11" t="n">
        <f aca="false">IF(W400="Likely Spam","",1/(1+EXP(-('Conversion Model'!$B$5+IFERROR(INDEX('Conversion Model'!$B$8:$B$14,MATCH(C400,'Conversion Model'!$A$8:$A$14,0)),0)+IFERROR(INDEX('Conversion Model'!$E$8:$E$9,MATCH(F400,'Conversion Model'!$D$8:$D$9,0)),0)+IFERROR(INDEX('Conversion Model'!$H$8:$H$12,MATCH(IF(LEFT(J400,8)="Payments","Payments",IF(LEFT(J400,7)="Lending","Lending",J400)),'Conversion Model'!$G$8:$G$12,0)),0)+MIN(L400,15)*'Conversion Model'!$B$17+IF(SUMPRODUCT(--ISNUMBER(SEARCH('Scoring Model'!$D$16:$D$25,K400)))&gt;0,'Conversion Model'!$B$18,0)+IF(SUMPRODUCT(--ISNUMBER(SEARCH('Scoring Model'!$G$16:$G$23,K400)))&gt;0,'Conversion Model'!$B$19,0)))))</f>
        <v>0.993022065993578</v>
      </c>
      <c r="AH400" s="3" t="n">
        <f aca="false">IF(OR(O400="Qualified",O400="Won",O400="Lost"),1,IF(O400="Unqualified",0,""))</f>
        <v>1</v>
      </c>
    </row>
    <row r="401" customFormat="false" ht="15" hidden="false" customHeight="true" outlineLevel="0" collapsed="false">
      <c r="A401" s="3" t="s">
        <v>1538</v>
      </c>
      <c r="B401" s="9" t="n">
        <v>46121.4527777778</v>
      </c>
      <c r="C401" s="3" t="s">
        <v>160</v>
      </c>
      <c r="D401" s="3" t="s">
        <v>1539</v>
      </c>
      <c r="E401" s="3" t="s">
        <v>1540</v>
      </c>
      <c r="F401" s="3" t="s">
        <v>54</v>
      </c>
      <c r="G401" s="3" t="s">
        <v>1158</v>
      </c>
      <c r="H401" s="3"/>
      <c r="I401" s="3" t="s">
        <v>204</v>
      </c>
      <c r="J401" s="3" t="s">
        <v>165</v>
      </c>
      <c r="K401" s="3" t="s">
        <v>644</v>
      </c>
      <c r="L401" s="3" t="n">
        <v>2</v>
      </c>
      <c r="M401" s="3" t="n">
        <v>13.7</v>
      </c>
      <c r="N401" s="3" t="s">
        <v>59</v>
      </c>
      <c r="O401" s="3"/>
      <c r="P401" s="10"/>
      <c r="Q401" s="3" t="n">
        <f aca="false">IF(F401="Disposable",1,0)</f>
        <v>0</v>
      </c>
      <c r="R401" s="3" t="n">
        <f aca="false">IF(SUMPRODUCT(--ISNUMBER(SEARCH('Spam Rules'!$A$22:$A$35,K401)))&gt;0,1,0)</f>
        <v>0</v>
      </c>
      <c r="S401" s="3" t="n">
        <f aca="false">IF(AND(F401="Free",G401=""),1,0)</f>
        <v>0</v>
      </c>
      <c r="T401" s="3" t="n">
        <f aca="false">IF(LEN(TRIM(K401))&lt;15,1,0)</f>
        <v>0</v>
      </c>
      <c r="U401" s="3" t="n">
        <f aca="false">IF(COUNTIF($E$2:$E$801,E401)&gt;1,1,0)</f>
        <v>0</v>
      </c>
      <c r="V401" s="3" t="n">
        <f aca="false">Q401*'Spam Rules'!$H$6+R401*'Spam Rules'!$H$7+S401*'Spam Rules'!$H$8+T401*'Spam Rules'!$H$9+U401*'Spam Rules'!$H$10</f>
        <v>0</v>
      </c>
      <c r="W401" s="3" t="str">
        <f aca="false">IF(V401&gt;='Spam Rules'!$B$3,"Likely Spam","Genuine")</f>
        <v>Genuine</v>
      </c>
      <c r="X401" s="3" t="n">
        <f aca="false">IFERROR(INDEX('Scoring Model'!$B$5:$B$11,MATCH(C401,'Scoring Model'!$A$5:$A$11,0)),0)</f>
        <v>25</v>
      </c>
      <c r="Y401" s="3" t="n">
        <f aca="false">IFERROR(INDEX('Scoring Model'!$E$5:$E$7,MATCH(F401,'Scoring Model'!$D$5:$D$7,0)),0)</f>
        <v>0</v>
      </c>
      <c r="Z401" s="3" t="n">
        <f aca="false">IFERROR(INDEX('Scoring Model'!$H$5:$H$13,MATCH(J401,'Scoring Model'!$G$5:$G$13,0)),0)</f>
        <v>15</v>
      </c>
      <c r="AA401" s="3" t="n">
        <f aca="false">IF(L401&gt;='Scoring Model'!$B$14,'Scoring Model'!$B$15,IF(L401&gt;='Scoring Model'!$B$16,'Scoring Model'!$B$17,0))</f>
        <v>0</v>
      </c>
      <c r="AB401" s="3" t="n">
        <f aca="false">IF(SUMPRODUCT(--ISNUMBER(SEARCH('Scoring Model'!$D$16:$D$25,K401)))&gt;0,'Scoring Model'!$B$18,0)</f>
        <v>15</v>
      </c>
      <c r="AC401" s="3" t="n">
        <f aca="false">IF(SUMPRODUCT(--ISNUMBER(SEARCH('Scoring Model'!$G$16:$G$23,K401)))&gt;0,'Scoring Model'!$B$19,0)</f>
        <v>0</v>
      </c>
      <c r="AD401" s="3" t="n">
        <f aca="false">IF(W401="Likely Spam","",SUM(X401:AC401))</f>
        <v>55</v>
      </c>
      <c r="AE401" s="3" t="str">
        <f aca="false">IF(W401="Likely Spam","Spam",IF(AD401&gt;='Scoring Model'!$B$21,"Hot",IF(AD401&gt;='Scoring Model'!$B$22,"Warm","Nurture")))</f>
        <v>Warm</v>
      </c>
      <c r="AF401" s="3" t="str">
        <f aca="false">IF(W401="Likely Spam","Flagged by spam rules",TRIM(IF(X401&gt;=20,"Strong source. ","")&amp;IF(Y401&gt;0,"Company email. ","")&amp;IF(Z401&gt;=15,"High-value product. ","")&amp;IF(AA401&gt;='Scoring Model'!$B$15,"High engagement. ","")&amp;IF(AB401&gt;0,"Buying intent in message. ","")&amp;IF(AC401&lt;0,"Negative intent in message. ","")))</f>
        <v>Strong source. High-value product. Buying intent in message.</v>
      </c>
      <c r="AG401" s="11" t="n">
        <f aca="false">IF(W401="Likely Spam","",1/(1+EXP(-('Conversion Model'!$B$5+IFERROR(INDEX('Conversion Model'!$B$8:$B$14,MATCH(C401,'Conversion Model'!$A$8:$A$14,0)),0)+IFERROR(INDEX('Conversion Model'!$E$8:$E$9,MATCH(F401,'Conversion Model'!$D$8:$D$9,0)),0)+IFERROR(INDEX('Conversion Model'!$H$8:$H$12,MATCH(IF(LEFT(J401,8)="Payments","Payments",IF(LEFT(J401,7)="Lending","Lending",J401)),'Conversion Model'!$G$8:$G$12,0)),0)+MIN(L401,15)*'Conversion Model'!$B$17+IF(SUMPRODUCT(--ISNUMBER(SEARCH('Scoring Model'!$D$16:$D$25,K401)))&gt;0,'Conversion Model'!$B$18,0)+IF(SUMPRODUCT(--ISNUMBER(SEARCH('Scoring Model'!$G$16:$G$23,K401)))&gt;0,'Conversion Model'!$B$19,0)))))</f>
        <v>0.120786843394209</v>
      </c>
      <c r="AH401" s="3" t="str">
        <f aca="false">IF(OR(O401="Qualified",O401="Won",O401="Lost"),1,IF(O401="Unqualified",0,""))</f>
        <v/>
      </c>
    </row>
    <row r="402" customFormat="false" ht="15" hidden="false" customHeight="true" outlineLevel="0" collapsed="false">
      <c r="A402" s="3" t="s">
        <v>1541</v>
      </c>
      <c r="B402" s="9" t="n">
        <v>46121.5180555556</v>
      </c>
      <c r="C402" s="3" t="s">
        <v>51</v>
      </c>
      <c r="D402" s="3" t="s">
        <v>545</v>
      </c>
      <c r="E402" s="3" t="s">
        <v>1236</v>
      </c>
      <c r="F402" s="3" t="s">
        <v>54</v>
      </c>
      <c r="G402" s="3"/>
      <c r="H402" s="3"/>
      <c r="I402" s="3" t="s">
        <v>204</v>
      </c>
      <c r="J402" s="3" t="s">
        <v>81</v>
      </c>
      <c r="K402" s="3" t="s">
        <v>95</v>
      </c>
      <c r="L402" s="3" t="n">
        <v>1</v>
      </c>
      <c r="M402" s="3" t="n">
        <v>61.2</v>
      </c>
      <c r="N402" s="3" t="s">
        <v>59</v>
      </c>
      <c r="O402" s="3"/>
      <c r="P402" s="10"/>
      <c r="Q402" s="3" t="n">
        <f aca="false">IF(F402="Disposable",1,0)</f>
        <v>0</v>
      </c>
      <c r="R402" s="3" t="n">
        <f aca="false">IF(SUMPRODUCT(--ISNUMBER(SEARCH('Spam Rules'!$A$22:$A$35,K402)))&gt;0,1,0)</f>
        <v>1</v>
      </c>
      <c r="S402" s="3" t="n">
        <f aca="false">IF(AND(F402="Free",G402=""),1,0)</f>
        <v>1</v>
      </c>
      <c r="T402" s="3" t="n">
        <f aca="false">IF(LEN(TRIM(K402))&lt;15,1,0)</f>
        <v>0</v>
      </c>
      <c r="U402" s="3" t="n">
        <f aca="false">IF(COUNTIF($E$2:$E$801,E402)&gt;1,1,0)</f>
        <v>1</v>
      </c>
      <c r="V402" s="3" t="n">
        <f aca="false">Q402*'Spam Rules'!$H$6+R402*'Spam Rules'!$H$7+S402*'Spam Rules'!$H$8+T402*'Spam Rules'!$H$9+U402*'Spam Rules'!$H$10</f>
        <v>1</v>
      </c>
      <c r="W402" s="3" t="str">
        <f aca="false">IF(V402&gt;='Spam Rules'!$B$3,"Likely Spam","Genuine")</f>
        <v>Likely Spam</v>
      </c>
      <c r="X402" s="3" t="n">
        <f aca="false">IFERROR(INDEX('Scoring Model'!$B$5:$B$11,MATCH(C402,'Scoring Model'!$A$5:$A$11,0)),0)</f>
        <v>10</v>
      </c>
      <c r="Y402" s="3" t="n">
        <f aca="false">IFERROR(INDEX('Scoring Model'!$E$5:$E$7,MATCH(F402,'Scoring Model'!$D$5:$D$7,0)),0)</f>
        <v>0</v>
      </c>
      <c r="Z402" s="3" t="n">
        <f aca="false">IFERROR(INDEX('Scoring Model'!$H$5:$H$13,MATCH(J402,'Scoring Model'!$G$5:$G$13,0)),0)</f>
        <v>5</v>
      </c>
      <c r="AA402" s="3" t="n">
        <f aca="false">IF(L402&gt;='Scoring Model'!$B$14,'Scoring Model'!$B$15,IF(L402&gt;='Scoring Model'!$B$16,'Scoring Model'!$B$17,0))</f>
        <v>0</v>
      </c>
      <c r="AB402" s="3" t="n">
        <f aca="false">IF(SUMPRODUCT(--ISNUMBER(SEARCH('Scoring Model'!$D$16:$D$25,K402)))&gt;0,'Scoring Model'!$B$18,0)</f>
        <v>0</v>
      </c>
      <c r="AC402" s="3" t="n">
        <f aca="false">IF(SUMPRODUCT(--ISNUMBER(SEARCH('Scoring Model'!$G$16:$G$23,K402)))&gt;0,'Scoring Model'!$B$19,0)</f>
        <v>0</v>
      </c>
      <c r="AD402" s="3" t="str">
        <f aca="false">IF(W402="Likely Spam","",SUM(X402:AC402))</f>
        <v/>
      </c>
      <c r="AE402" s="3" t="str">
        <f aca="false">IF(W402="Likely Spam","Spam",IF(AD402&gt;='Scoring Model'!$B$21,"Hot",IF(AD402&gt;='Scoring Model'!$B$22,"Warm","Nurture")))</f>
        <v>Spam</v>
      </c>
      <c r="AF402" s="3" t="str">
        <f aca="false">IF(W402="Likely Spam","Flagged by spam rules",TRIM(IF(X402&gt;=20,"Strong source. ","")&amp;IF(Y402&gt;0,"Company email. ","")&amp;IF(Z402&gt;=15,"High-value product. ","")&amp;IF(AA402&gt;='Scoring Model'!$B$15,"High engagement. ","")&amp;IF(AB402&gt;0,"Buying intent in message. ","")&amp;IF(AC402&lt;0,"Negative intent in message. ","")))</f>
        <v>Flagged by spam rules</v>
      </c>
      <c r="AG402" s="11" t="str">
        <f aca="false">IF(W402="Likely Spam","",1/(1+EXP(-('Conversion Model'!$B$5+IFERROR(INDEX('Conversion Model'!$B$8:$B$14,MATCH(C402,'Conversion Model'!$A$8:$A$14,0)),0)+IFERROR(INDEX('Conversion Model'!$E$8:$E$9,MATCH(F402,'Conversion Model'!$D$8:$D$9,0)),0)+IFERROR(INDEX('Conversion Model'!$H$8:$H$12,MATCH(IF(LEFT(J402,8)="Payments","Payments",IF(LEFT(J402,7)="Lending","Lending",J402)),'Conversion Model'!$G$8:$G$12,0)),0)+MIN(L402,15)*'Conversion Model'!$B$17+IF(SUMPRODUCT(--ISNUMBER(SEARCH('Scoring Model'!$D$16:$D$25,K402)))&gt;0,'Conversion Model'!$B$18,0)+IF(SUMPRODUCT(--ISNUMBER(SEARCH('Scoring Model'!$G$16:$G$23,K402)))&gt;0,'Conversion Model'!$B$19,0)))))</f>
        <v/>
      </c>
      <c r="AH402" s="3" t="str">
        <f aca="false">IF(OR(O402="Qualified",O402="Won",O402="Lost"),1,IF(O402="Unqualified",0,""))</f>
        <v/>
      </c>
    </row>
    <row r="403" customFormat="false" ht="15" hidden="false" customHeight="true" outlineLevel="0" collapsed="false">
      <c r="A403" s="3" t="s">
        <v>1542</v>
      </c>
      <c r="B403" s="9" t="n">
        <v>46122.2520833333</v>
      </c>
      <c r="C403" s="3" t="s">
        <v>135</v>
      </c>
      <c r="D403" s="3" t="s">
        <v>1543</v>
      </c>
      <c r="E403" s="3" t="s">
        <v>1544</v>
      </c>
      <c r="F403" s="3" t="s">
        <v>22</v>
      </c>
      <c r="G403" s="3" t="s">
        <v>1545</v>
      </c>
      <c r="H403" s="3" t="s">
        <v>1546</v>
      </c>
      <c r="I403" s="3" t="s">
        <v>73</v>
      </c>
      <c r="J403" s="3" t="s">
        <v>81</v>
      </c>
      <c r="K403" s="3" t="s">
        <v>213</v>
      </c>
      <c r="L403" s="3" t="n">
        <v>3</v>
      </c>
      <c r="M403" s="3" t="n">
        <v>14.3</v>
      </c>
      <c r="N403" s="3" t="s">
        <v>171</v>
      </c>
      <c r="O403" s="3" t="s">
        <v>194</v>
      </c>
      <c r="P403" s="10"/>
      <c r="Q403" s="3" t="n">
        <f aca="false">IF(F403="Disposable",1,0)</f>
        <v>0</v>
      </c>
      <c r="R403" s="3" t="n">
        <f aca="false">IF(SUMPRODUCT(--ISNUMBER(SEARCH('Spam Rules'!$A$22:$A$35,K403)))&gt;0,1,0)</f>
        <v>0</v>
      </c>
      <c r="S403" s="3" t="n">
        <f aca="false">IF(AND(F403="Free",G403=""),1,0)</f>
        <v>0</v>
      </c>
      <c r="T403" s="3" t="n">
        <f aca="false">IF(LEN(TRIM(K403))&lt;15,1,0)</f>
        <v>0</v>
      </c>
      <c r="U403" s="3" t="n">
        <f aca="false">IF(COUNTIF($E$2:$E$801,E403)&gt;1,1,0)</f>
        <v>0</v>
      </c>
      <c r="V403" s="3" t="n">
        <f aca="false">Q403*'Spam Rules'!$H$6+R403*'Spam Rules'!$H$7+S403*'Spam Rules'!$H$8+T403*'Spam Rules'!$H$9+U403*'Spam Rules'!$H$10</f>
        <v>0</v>
      </c>
      <c r="W403" s="3" t="str">
        <f aca="false">IF(V403&gt;='Spam Rules'!$B$3,"Likely Spam","Genuine")</f>
        <v>Genuine</v>
      </c>
      <c r="X403" s="3" t="n">
        <f aca="false">IFERROR(INDEX('Scoring Model'!$B$5:$B$11,MATCH(C403,'Scoring Model'!$A$5:$A$11,0)),0)</f>
        <v>20</v>
      </c>
      <c r="Y403" s="3" t="n">
        <f aca="false">IFERROR(INDEX('Scoring Model'!$E$5:$E$7,MATCH(F403,'Scoring Model'!$D$5:$D$7,0)),0)</f>
        <v>20</v>
      </c>
      <c r="Z403" s="3" t="n">
        <f aca="false">IFERROR(INDEX('Scoring Model'!$H$5:$H$13,MATCH(J403,'Scoring Model'!$G$5:$G$13,0)),0)</f>
        <v>5</v>
      </c>
      <c r="AA403" s="3" t="n">
        <f aca="false">IF(L403&gt;='Scoring Model'!$B$14,'Scoring Model'!$B$15,IF(L403&gt;='Scoring Model'!$B$16,'Scoring Model'!$B$17,0))</f>
        <v>0</v>
      </c>
      <c r="AB403" s="3" t="n">
        <f aca="false">IF(SUMPRODUCT(--ISNUMBER(SEARCH('Scoring Model'!$D$16:$D$25,K403)))&gt;0,'Scoring Model'!$B$18,0)</f>
        <v>0</v>
      </c>
      <c r="AC403" s="3" t="n">
        <f aca="false">IF(SUMPRODUCT(--ISNUMBER(SEARCH('Scoring Model'!$G$16:$G$23,K403)))&gt;0,'Scoring Model'!$B$19,0)</f>
        <v>-30</v>
      </c>
      <c r="AD403" s="3" t="n">
        <f aca="false">IF(W403="Likely Spam","",SUM(X403:AC403))</f>
        <v>15</v>
      </c>
      <c r="AE403" s="3" t="str">
        <f aca="false">IF(W403="Likely Spam","Spam",IF(AD403&gt;='Scoring Model'!$B$21,"Hot",IF(AD403&gt;='Scoring Model'!$B$22,"Warm","Nurture")))</f>
        <v>Nurture</v>
      </c>
      <c r="AF403" s="3" t="str">
        <f aca="false">IF(W403="Likely Spam","Flagged by spam rules",TRIM(IF(X403&gt;=20,"Strong source. ","")&amp;IF(Y403&gt;0,"Company email. ","")&amp;IF(Z403&gt;=15,"High-value product. ","")&amp;IF(AA403&gt;='Scoring Model'!$B$15,"High engagement. ","")&amp;IF(AB403&gt;0,"Buying intent in message. ","")&amp;IF(AC403&lt;0,"Negative intent in message. ","")))</f>
        <v>Strong source. Company email. Negative intent in message.</v>
      </c>
      <c r="AG403" s="11" t="n">
        <f aca="false">IF(W403="Likely Spam","",1/(1+EXP(-('Conversion Model'!$B$5+IFERROR(INDEX('Conversion Model'!$B$8:$B$14,MATCH(C403,'Conversion Model'!$A$8:$A$14,0)),0)+IFERROR(INDEX('Conversion Model'!$E$8:$E$9,MATCH(F403,'Conversion Model'!$D$8:$D$9,0)),0)+IFERROR(INDEX('Conversion Model'!$H$8:$H$12,MATCH(IF(LEFT(J403,8)="Payments","Payments",IF(LEFT(J403,7)="Lending","Lending",J403)),'Conversion Model'!$G$8:$G$12,0)),0)+MIN(L403,15)*'Conversion Model'!$B$17+IF(SUMPRODUCT(--ISNUMBER(SEARCH('Scoring Model'!$D$16:$D$25,K403)))&gt;0,'Conversion Model'!$B$18,0)+IF(SUMPRODUCT(--ISNUMBER(SEARCH('Scoring Model'!$G$16:$G$23,K403)))&gt;0,'Conversion Model'!$B$19,0)))))</f>
        <v>0.0210825837255482</v>
      </c>
      <c r="AH403" s="3" t="n">
        <f aca="false">IF(OR(O403="Qualified",O403="Won",O403="Lost"),1,IF(O403="Unqualified",0,""))</f>
        <v>0</v>
      </c>
    </row>
    <row r="404" customFormat="false" ht="15" hidden="false" customHeight="true" outlineLevel="0" collapsed="false">
      <c r="A404" s="3" t="s">
        <v>1547</v>
      </c>
      <c r="B404" s="9" t="n">
        <v>46122.8041666667</v>
      </c>
      <c r="C404" s="3" t="s">
        <v>112</v>
      </c>
      <c r="D404" s="3" t="s">
        <v>1548</v>
      </c>
      <c r="E404" s="3" t="s">
        <v>1549</v>
      </c>
      <c r="F404" s="3" t="s">
        <v>54</v>
      </c>
      <c r="G404" s="3" t="s">
        <v>1103</v>
      </c>
      <c r="H404" s="3"/>
      <c r="I404" s="3" t="s">
        <v>334</v>
      </c>
      <c r="J404" s="3" t="s">
        <v>165</v>
      </c>
      <c r="K404" s="3" t="s">
        <v>1550</v>
      </c>
      <c r="L404" s="3" t="n">
        <v>5</v>
      </c>
      <c r="M404" s="3" t="n">
        <v>7.7</v>
      </c>
      <c r="N404" s="3" t="s">
        <v>96</v>
      </c>
      <c r="O404" s="3"/>
      <c r="P404" s="10"/>
      <c r="Q404" s="3" t="n">
        <f aca="false">IF(F404="Disposable",1,0)</f>
        <v>0</v>
      </c>
      <c r="R404" s="3" t="n">
        <f aca="false">IF(SUMPRODUCT(--ISNUMBER(SEARCH('Spam Rules'!$A$22:$A$35,K404)))&gt;0,1,0)</f>
        <v>0</v>
      </c>
      <c r="S404" s="3" t="n">
        <f aca="false">IF(AND(F404="Free",G404=""),1,0)</f>
        <v>0</v>
      </c>
      <c r="T404" s="3" t="n">
        <f aca="false">IF(LEN(TRIM(K404))&lt;15,1,0)</f>
        <v>0</v>
      </c>
      <c r="U404" s="3" t="n">
        <f aca="false">IF(COUNTIF($E$2:$E$801,E404)&gt;1,1,0)</f>
        <v>0</v>
      </c>
      <c r="V404" s="3" t="n">
        <f aca="false">Q404*'Spam Rules'!$H$6+R404*'Spam Rules'!$H$7+S404*'Spam Rules'!$H$8+T404*'Spam Rules'!$H$9+U404*'Spam Rules'!$H$10</f>
        <v>0</v>
      </c>
      <c r="W404" s="3" t="str">
        <f aca="false">IF(V404&gt;='Spam Rules'!$B$3,"Likely Spam","Genuine")</f>
        <v>Genuine</v>
      </c>
      <c r="X404" s="3" t="n">
        <f aca="false">IFERROR(INDEX('Scoring Model'!$B$5:$B$11,MATCH(C404,'Scoring Model'!$A$5:$A$11,0)),0)</f>
        <v>15</v>
      </c>
      <c r="Y404" s="3" t="n">
        <f aca="false">IFERROR(INDEX('Scoring Model'!$E$5:$E$7,MATCH(F404,'Scoring Model'!$D$5:$D$7,0)),0)</f>
        <v>0</v>
      </c>
      <c r="Z404" s="3" t="n">
        <f aca="false">IFERROR(INDEX('Scoring Model'!$H$5:$H$13,MATCH(J404,'Scoring Model'!$G$5:$G$13,0)),0)</f>
        <v>15</v>
      </c>
      <c r="AA404" s="3" t="n">
        <f aca="false">IF(L404&gt;='Scoring Model'!$B$14,'Scoring Model'!$B$15,IF(L404&gt;='Scoring Model'!$B$16,'Scoring Model'!$B$17,0))</f>
        <v>8</v>
      </c>
      <c r="AB404" s="3" t="n">
        <f aca="false">IF(SUMPRODUCT(--ISNUMBER(SEARCH('Scoring Model'!$D$16:$D$25,K404)))&gt;0,'Scoring Model'!$B$18,0)</f>
        <v>15</v>
      </c>
      <c r="AC404" s="3" t="n">
        <f aca="false">IF(SUMPRODUCT(--ISNUMBER(SEARCH('Scoring Model'!$G$16:$G$23,K404)))&gt;0,'Scoring Model'!$B$19,0)</f>
        <v>0</v>
      </c>
      <c r="AD404" s="3" t="n">
        <f aca="false">IF(W404="Likely Spam","",SUM(X404:AC404))</f>
        <v>53</v>
      </c>
      <c r="AE404" s="3" t="str">
        <f aca="false">IF(W404="Likely Spam","Spam",IF(AD404&gt;='Scoring Model'!$B$21,"Hot",IF(AD404&gt;='Scoring Model'!$B$22,"Warm","Nurture")))</f>
        <v>Warm</v>
      </c>
      <c r="AF404" s="3" t="str">
        <f aca="false">IF(W404="Likely Spam","Flagged by spam rules",TRIM(IF(X404&gt;=20,"Strong source. ","")&amp;IF(Y404&gt;0,"Company email. ","")&amp;IF(Z404&gt;=15,"High-value product. ","")&amp;IF(AA404&gt;='Scoring Model'!$B$15,"High engagement. ","")&amp;IF(AB404&gt;0,"Buying intent in message. ","")&amp;IF(AC404&lt;0,"Negative intent in message. ","")))</f>
        <v>High-value product. Buying intent in message.</v>
      </c>
      <c r="AG404" s="11" t="n">
        <f aca="false">IF(W404="Likely Spam","",1/(1+EXP(-('Conversion Model'!$B$5+IFERROR(INDEX('Conversion Model'!$B$8:$B$14,MATCH(C404,'Conversion Model'!$A$8:$A$14,0)),0)+IFERROR(INDEX('Conversion Model'!$E$8:$E$9,MATCH(F404,'Conversion Model'!$D$8:$D$9,0)),0)+IFERROR(INDEX('Conversion Model'!$H$8:$H$12,MATCH(IF(LEFT(J404,8)="Payments","Payments",IF(LEFT(J404,7)="Lending","Lending",J404)),'Conversion Model'!$G$8:$G$12,0)),0)+MIN(L404,15)*'Conversion Model'!$B$17+IF(SUMPRODUCT(--ISNUMBER(SEARCH('Scoring Model'!$D$16:$D$25,K404)))&gt;0,'Conversion Model'!$B$18,0)+IF(SUMPRODUCT(--ISNUMBER(SEARCH('Scoring Model'!$G$16:$G$23,K404)))&gt;0,'Conversion Model'!$B$19,0)))))</f>
        <v>0.483755718937927</v>
      </c>
      <c r="AH404" s="3" t="str">
        <f aca="false">IF(OR(O404="Qualified",O404="Won",O404="Lost"),1,IF(O404="Unqualified",0,""))</f>
        <v/>
      </c>
    </row>
    <row r="405" customFormat="false" ht="15" hidden="false" customHeight="true" outlineLevel="0" collapsed="false">
      <c r="A405" s="3" t="s">
        <v>1551</v>
      </c>
      <c r="B405" s="9" t="n">
        <v>46123.0118055556</v>
      </c>
      <c r="C405" s="3" t="s">
        <v>112</v>
      </c>
      <c r="D405" s="3" t="s">
        <v>1552</v>
      </c>
      <c r="E405" s="3" t="s">
        <v>1553</v>
      </c>
      <c r="F405" s="3" t="s">
        <v>54</v>
      </c>
      <c r="G405" s="3"/>
      <c r="H405" s="3"/>
      <c r="I405" s="3" t="s">
        <v>88</v>
      </c>
      <c r="J405" s="3" t="s">
        <v>81</v>
      </c>
      <c r="K405" s="3" t="s">
        <v>349</v>
      </c>
      <c r="L405" s="3" t="n">
        <v>1</v>
      </c>
      <c r="M405" s="3" t="n">
        <v>7.7</v>
      </c>
      <c r="N405" s="3" t="s">
        <v>67</v>
      </c>
      <c r="O405" s="3"/>
      <c r="P405" s="10"/>
      <c r="Q405" s="3" t="n">
        <f aca="false">IF(F405="Disposable",1,0)</f>
        <v>0</v>
      </c>
      <c r="R405" s="3" t="n">
        <f aca="false">IF(SUMPRODUCT(--ISNUMBER(SEARCH('Spam Rules'!$A$22:$A$35,K405)))&gt;0,1,0)</f>
        <v>0</v>
      </c>
      <c r="S405" s="3" t="n">
        <f aca="false">IF(AND(F405="Free",G405=""),1,0)</f>
        <v>1</v>
      </c>
      <c r="T405" s="3" t="n">
        <f aca="false">IF(LEN(TRIM(K405))&lt;15,1,0)</f>
        <v>0</v>
      </c>
      <c r="U405" s="3" t="n">
        <f aca="false">IF(COUNTIF($E$2:$E$801,E405)&gt;1,1,0)</f>
        <v>0</v>
      </c>
      <c r="V405" s="3" t="n">
        <f aca="false">Q405*'Spam Rules'!$H$6+R405*'Spam Rules'!$H$7+S405*'Spam Rules'!$H$8+T405*'Spam Rules'!$H$9+U405*'Spam Rules'!$H$10</f>
        <v>0</v>
      </c>
      <c r="W405" s="3" t="str">
        <f aca="false">IF(V405&gt;='Spam Rules'!$B$3,"Likely Spam","Genuine")</f>
        <v>Genuine</v>
      </c>
      <c r="X405" s="3" t="n">
        <f aca="false">IFERROR(INDEX('Scoring Model'!$B$5:$B$11,MATCH(C405,'Scoring Model'!$A$5:$A$11,0)),0)</f>
        <v>15</v>
      </c>
      <c r="Y405" s="3" t="n">
        <f aca="false">IFERROR(INDEX('Scoring Model'!$E$5:$E$7,MATCH(F405,'Scoring Model'!$D$5:$D$7,0)),0)</f>
        <v>0</v>
      </c>
      <c r="Z405" s="3" t="n">
        <f aca="false">IFERROR(INDEX('Scoring Model'!$H$5:$H$13,MATCH(J405,'Scoring Model'!$G$5:$G$13,0)),0)</f>
        <v>5</v>
      </c>
      <c r="AA405" s="3" t="n">
        <f aca="false">IF(L405&gt;='Scoring Model'!$B$14,'Scoring Model'!$B$15,IF(L405&gt;='Scoring Model'!$B$16,'Scoring Model'!$B$17,0))</f>
        <v>0</v>
      </c>
      <c r="AB405" s="3" t="n">
        <f aca="false">IF(SUMPRODUCT(--ISNUMBER(SEARCH('Scoring Model'!$D$16:$D$25,K405)))&gt;0,'Scoring Model'!$B$18,0)</f>
        <v>0</v>
      </c>
      <c r="AC405" s="3" t="n">
        <f aca="false">IF(SUMPRODUCT(--ISNUMBER(SEARCH('Scoring Model'!$G$16:$G$23,K405)))&gt;0,'Scoring Model'!$B$19,0)</f>
        <v>-30</v>
      </c>
      <c r="AD405" s="3" t="n">
        <f aca="false">IF(W405="Likely Spam","",SUM(X405:AC405))</f>
        <v>-10</v>
      </c>
      <c r="AE405" s="3" t="str">
        <f aca="false">IF(W405="Likely Spam","Spam",IF(AD405&gt;='Scoring Model'!$B$21,"Hot",IF(AD405&gt;='Scoring Model'!$B$22,"Warm","Nurture")))</f>
        <v>Nurture</v>
      </c>
      <c r="AF405" s="3" t="str">
        <f aca="false">IF(W405="Likely Spam","Flagged by spam rules",TRIM(IF(X405&gt;=20,"Strong source. ","")&amp;IF(Y405&gt;0,"Company email. ","")&amp;IF(Z405&gt;=15,"High-value product. ","")&amp;IF(AA405&gt;='Scoring Model'!$B$15,"High engagement. ","")&amp;IF(AB405&gt;0,"Buying intent in message. ","")&amp;IF(AC405&lt;0,"Negative intent in message. ","")))</f>
        <v>Negative intent in message.</v>
      </c>
      <c r="AG405" s="11" t="n">
        <f aca="false">IF(W405="Likely Spam","",1/(1+EXP(-('Conversion Model'!$B$5+IFERROR(INDEX('Conversion Model'!$B$8:$B$14,MATCH(C405,'Conversion Model'!$A$8:$A$14,0)),0)+IFERROR(INDEX('Conversion Model'!$E$8:$E$9,MATCH(F405,'Conversion Model'!$D$8:$D$9,0)),0)+IFERROR(INDEX('Conversion Model'!$H$8:$H$12,MATCH(IF(LEFT(J405,8)="Payments","Payments",IF(LEFT(J405,7)="Lending","Lending",J405)),'Conversion Model'!$G$8:$G$12,0)),0)+MIN(L405,15)*'Conversion Model'!$B$17+IF(SUMPRODUCT(--ISNUMBER(SEARCH('Scoring Model'!$D$16:$D$25,K405)))&gt;0,'Conversion Model'!$B$18,0)+IF(SUMPRODUCT(--ISNUMBER(SEARCH('Scoring Model'!$G$16:$G$23,K405)))&gt;0,'Conversion Model'!$B$19,0)))))</f>
        <v>0.000770269144442226</v>
      </c>
      <c r="AH405" s="3" t="str">
        <f aca="false">IF(OR(O405="Qualified",O405="Won",O405="Lost"),1,IF(O405="Unqualified",0,""))</f>
        <v/>
      </c>
    </row>
    <row r="406" customFormat="false" ht="15" hidden="false" customHeight="true" outlineLevel="0" collapsed="false">
      <c r="A406" s="3" t="s">
        <v>1554</v>
      </c>
      <c r="B406" s="9" t="n">
        <v>46123.1305555556</v>
      </c>
      <c r="C406" s="3" t="s">
        <v>112</v>
      </c>
      <c r="D406" s="3" t="s">
        <v>939</v>
      </c>
      <c r="E406" s="3" t="s">
        <v>1555</v>
      </c>
      <c r="F406" s="3" t="s">
        <v>54</v>
      </c>
      <c r="G406" s="3" t="s">
        <v>1556</v>
      </c>
      <c r="H406" s="3"/>
      <c r="I406" s="3" t="s">
        <v>94</v>
      </c>
      <c r="J406" s="3" t="s">
        <v>145</v>
      </c>
      <c r="K406" s="3" t="s">
        <v>101</v>
      </c>
      <c r="L406" s="3" t="n">
        <v>1</v>
      </c>
      <c r="M406" s="3" t="n">
        <v>14.2</v>
      </c>
      <c r="N406" s="3" t="s">
        <v>171</v>
      </c>
      <c r="O406" s="3" t="s">
        <v>194</v>
      </c>
      <c r="P406" s="10"/>
      <c r="Q406" s="3" t="n">
        <f aca="false">IF(F406="Disposable",1,0)</f>
        <v>0</v>
      </c>
      <c r="R406" s="3" t="n">
        <f aca="false">IF(SUMPRODUCT(--ISNUMBER(SEARCH('Spam Rules'!$A$22:$A$35,K406)))&gt;0,1,0)</f>
        <v>0</v>
      </c>
      <c r="S406" s="3" t="n">
        <f aca="false">IF(AND(F406="Free",G406=""),1,0)</f>
        <v>0</v>
      </c>
      <c r="T406" s="3" t="n">
        <f aca="false">IF(LEN(TRIM(K406))&lt;15,1,0)</f>
        <v>0</v>
      </c>
      <c r="U406" s="3" t="n">
        <f aca="false">IF(COUNTIF($E$2:$E$801,E406)&gt;1,1,0)</f>
        <v>0</v>
      </c>
      <c r="V406" s="3" t="n">
        <f aca="false">Q406*'Spam Rules'!$H$6+R406*'Spam Rules'!$H$7+S406*'Spam Rules'!$H$8+T406*'Spam Rules'!$H$9+U406*'Spam Rules'!$H$10</f>
        <v>0</v>
      </c>
      <c r="W406" s="3" t="str">
        <f aca="false">IF(V406&gt;='Spam Rules'!$B$3,"Likely Spam","Genuine")</f>
        <v>Genuine</v>
      </c>
      <c r="X406" s="3" t="n">
        <f aca="false">IFERROR(INDEX('Scoring Model'!$B$5:$B$11,MATCH(C406,'Scoring Model'!$A$5:$A$11,0)),0)</f>
        <v>15</v>
      </c>
      <c r="Y406" s="3" t="n">
        <f aca="false">IFERROR(INDEX('Scoring Model'!$E$5:$E$7,MATCH(F406,'Scoring Model'!$D$5:$D$7,0)),0)</f>
        <v>0</v>
      </c>
      <c r="Z406" s="3" t="n">
        <f aca="false">IFERROR(INDEX('Scoring Model'!$H$5:$H$13,MATCH(J406,'Scoring Model'!$G$5:$G$13,0)),0)</f>
        <v>5</v>
      </c>
      <c r="AA406" s="3" t="n">
        <f aca="false">IF(L406&gt;='Scoring Model'!$B$14,'Scoring Model'!$B$15,IF(L406&gt;='Scoring Model'!$B$16,'Scoring Model'!$B$17,0))</f>
        <v>0</v>
      </c>
      <c r="AB406" s="3" t="n">
        <f aca="false">IF(SUMPRODUCT(--ISNUMBER(SEARCH('Scoring Model'!$D$16:$D$25,K406)))&gt;0,'Scoring Model'!$B$18,0)</f>
        <v>0</v>
      </c>
      <c r="AC406" s="3" t="n">
        <f aca="false">IF(SUMPRODUCT(--ISNUMBER(SEARCH('Scoring Model'!$G$16:$G$23,K406)))&gt;0,'Scoring Model'!$B$19,0)</f>
        <v>-30</v>
      </c>
      <c r="AD406" s="3" t="n">
        <f aca="false">IF(W406="Likely Spam","",SUM(X406:AC406))</f>
        <v>-10</v>
      </c>
      <c r="AE406" s="3" t="str">
        <f aca="false">IF(W406="Likely Spam","Spam",IF(AD406&gt;='Scoring Model'!$B$21,"Hot",IF(AD406&gt;='Scoring Model'!$B$22,"Warm","Nurture")))</f>
        <v>Nurture</v>
      </c>
      <c r="AF406" s="3" t="str">
        <f aca="false">IF(W406="Likely Spam","Flagged by spam rules",TRIM(IF(X406&gt;=20,"Strong source. ","")&amp;IF(Y406&gt;0,"Company email. ","")&amp;IF(Z406&gt;=15,"High-value product. ","")&amp;IF(AA406&gt;='Scoring Model'!$B$15,"High engagement. ","")&amp;IF(AB406&gt;0,"Buying intent in message. ","")&amp;IF(AC406&lt;0,"Negative intent in message. ","")))</f>
        <v>Negative intent in message.</v>
      </c>
      <c r="AG406" s="11" t="n">
        <f aca="false">IF(W406="Likely Spam","",1/(1+EXP(-('Conversion Model'!$B$5+IFERROR(INDEX('Conversion Model'!$B$8:$B$14,MATCH(C406,'Conversion Model'!$A$8:$A$14,0)),0)+IFERROR(INDEX('Conversion Model'!$E$8:$E$9,MATCH(F406,'Conversion Model'!$D$8:$D$9,0)),0)+IFERROR(INDEX('Conversion Model'!$H$8:$H$12,MATCH(IF(LEFT(J406,8)="Payments","Payments",IF(LEFT(J406,7)="Lending","Lending",J406)),'Conversion Model'!$G$8:$G$12,0)),0)+MIN(L406,15)*'Conversion Model'!$B$17+IF(SUMPRODUCT(--ISNUMBER(SEARCH('Scoring Model'!$D$16:$D$25,K406)))&gt;0,'Conversion Model'!$B$18,0)+IF(SUMPRODUCT(--ISNUMBER(SEARCH('Scoring Model'!$G$16:$G$23,K406)))&gt;0,'Conversion Model'!$B$19,0)))))</f>
        <v>0.0013329858206199</v>
      </c>
      <c r="AH406" s="3" t="n">
        <f aca="false">IF(OR(O406="Qualified",O406="Won",O406="Lost"),1,IF(O406="Unqualified",0,""))</f>
        <v>0</v>
      </c>
    </row>
    <row r="407" customFormat="false" ht="15" hidden="false" customHeight="true" outlineLevel="0" collapsed="false">
      <c r="A407" s="3" t="s">
        <v>1557</v>
      </c>
      <c r="B407" s="9" t="n">
        <v>46124.5006944445</v>
      </c>
      <c r="C407" s="3" t="s">
        <v>135</v>
      </c>
      <c r="D407" s="3" t="s">
        <v>1473</v>
      </c>
      <c r="E407" s="3" t="s">
        <v>1558</v>
      </c>
      <c r="F407" s="3" t="s">
        <v>22</v>
      </c>
      <c r="G407" s="3" t="s">
        <v>877</v>
      </c>
      <c r="H407" s="3" t="s">
        <v>1559</v>
      </c>
      <c r="I407" s="3" t="s">
        <v>80</v>
      </c>
      <c r="J407" s="3" t="s">
        <v>122</v>
      </c>
      <c r="K407" s="3" t="s">
        <v>458</v>
      </c>
      <c r="L407" s="3" t="n">
        <v>4</v>
      </c>
      <c r="M407" s="3" t="n">
        <v>35.7</v>
      </c>
      <c r="N407" s="3" t="s">
        <v>67</v>
      </c>
      <c r="O407" s="3"/>
      <c r="P407" s="10"/>
      <c r="Q407" s="3" t="n">
        <f aca="false">IF(F407="Disposable",1,0)</f>
        <v>0</v>
      </c>
      <c r="R407" s="3" t="n">
        <f aca="false">IF(SUMPRODUCT(--ISNUMBER(SEARCH('Spam Rules'!$A$22:$A$35,K407)))&gt;0,1,0)</f>
        <v>0</v>
      </c>
      <c r="S407" s="3" t="n">
        <f aca="false">IF(AND(F407="Free",G407=""),1,0)</f>
        <v>0</v>
      </c>
      <c r="T407" s="3" t="n">
        <f aca="false">IF(LEN(TRIM(K407))&lt;15,1,0)</f>
        <v>0</v>
      </c>
      <c r="U407" s="3" t="n">
        <f aca="false">IF(COUNTIF($E$2:$E$801,E407)&gt;1,1,0)</f>
        <v>0</v>
      </c>
      <c r="V407" s="3" t="n">
        <f aca="false">Q407*'Spam Rules'!$H$6+R407*'Spam Rules'!$H$7+S407*'Spam Rules'!$H$8+T407*'Spam Rules'!$H$9+U407*'Spam Rules'!$H$10</f>
        <v>0</v>
      </c>
      <c r="W407" s="3" t="str">
        <f aca="false">IF(V407&gt;='Spam Rules'!$B$3,"Likely Spam","Genuine")</f>
        <v>Genuine</v>
      </c>
      <c r="X407" s="3" t="n">
        <f aca="false">IFERROR(INDEX('Scoring Model'!$B$5:$B$11,MATCH(C407,'Scoring Model'!$A$5:$A$11,0)),0)</f>
        <v>20</v>
      </c>
      <c r="Y407" s="3" t="n">
        <f aca="false">IFERROR(INDEX('Scoring Model'!$E$5:$E$7,MATCH(F407,'Scoring Model'!$D$5:$D$7,0)),0)</f>
        <v>20</v>
      </c>
      <c r="Z407" s="3" t="n">
        <f aca="false">IFERROR(INDEX('Scoring Model'!$H$5:$H$13,MATCH(J407,'Scoring Model'!$G$5:$G$13,0)),0)</f>
        <v>15</v>
      </c>
      <c r="AA407" s="3" t="n">
        <f aca="false">IF(L407&gt;='Scoring Model'!$B$14,'Scoring Model'!$B$15,IF(L407&gt;='Scoring Model'!$B$16,'Scoring Model'!$B$17,0))</f>
        <v>8</v>
      </c>
      <c r="AB407" s="3" t="n">
        <f aca="false">IF(SUMPRODUCT(--ISNUMBER(SEARCH('Scoring Model'!$D$16:$D$25,K407)))&gt;0,'Scoring Model'!$B$18,0)</f>
        <v>15</v>
      </c>
      <c r="AC407" s="3" t="n">
        <f aca="false">IF(SUMPRODUCT(--ISNUMBER(SEARCH('Scoring Model'!$G$16:$G$23,K407)))&gt;0,'Scoring Model'!$B$19,0)</f>
        <v>0</v>
      </c>
      <c r="AD407" s="3" t="n">
        <f aca="false">IF(W407="Likely Spam","",SUM(X407:AC407))</f>
        <v>78</v>
      </c>
      <c r="AE407" s="3" t="str">
        <f aca="false">IF(W407="Likely Spam","Spam",IF(AD407&gt;='Scoring Model'!$B$21,"Hot",IF(AD407&gt;='Scoring Model'!$B$22,"Warm","Nurture")))</f>
        <v>Hot</v>
      </c>
      <c r="AF407" s="3" t="str">
        <f aca="false">IF(W407="Likely Spam","Flagged by spam rules",TRIM(IF(X407&gt;=20,"Strong source. ","")&amp;IF(Y407&gt;0,"Company email. ","")&amp;IF(Z407&gt;=15,"High-value product. ","")&amp;IF(AA407&gt;='Scoring Model'!$B$15,"High engagement. ","")&amp;IF(AB407&gt;0,"Buying intent in message. ","")&amp;IF(AC407&lt;0,"Negative intent in message. ","")))</f>
        <v>Strong source. Company email. High-value product. Buying intent in message.</v>
      </c>
      <c r="AG407" s="11" t="n">
        <f aca="false">IF(W407="Likely Spam","",1/(1+EXP(-('Conversion Model'!$B$5+IFERROR(INDEX('Conversion Model'!$B$8:$B$14,MATCH(C407,'Conversion Model'!$A$8:$A$14,0)),0)+IFERROR(INDEX('Conversion Model'!$E$8:$E$9,MATCH(F407,'Conversion Model'!$D$8:$D$9,0)),0)+IFERROR(INDEX('Conversion Model'!$H$8:$H$12,MATCH(IF(LEFT(J407,8)="Payments","Payments",IF(LEFT(J407,7)="Lending","Lending",J407)),'Conversion Model'!$G$8:$G$12,0)),0)+MIN(L407,15)*'Conversion Model'!$B$17+IF(SUMPRODUCT(--ISNUMBER(SEARCH('Scoring Model'!$D$16:$D$25,K407)))&gt;0,'Conversion Model'!$B$18,0)+IF(SUMPRODUCT(--ISNUMBER(SEARCH('Scoring Model'!$G$16:$G$23,K407)))&gt;0,'Conversion Model'!$B$19,0)))))</f>
        <v>0.702451683352767</v>
      </c>
      <c r="AH407" s="3" t="str">
        <f aca="false">IF(OR(O407="Qualified",O407="Won",O407="Lost"),1,IF(O407="Unqualified",0,""))</f>
        <v/>
      </c>
    </row>
    <row r="408" customFormat="false" ht="15" hidden="false" customHeight="true" outlineLevel="0" collapsed="false">
      <c r="A408" s="3" t="s">
        <v>1560</v>
      </c>
      <c r="B408" s="9" t="n">
        <v>46124.5520833333</v>
      </c>
      <c r="C408" s="3" t="s">
        <v>160</v>
      </c>
      <c r="D408" s="3" t="s">
        <v>869</v>
      </c>
      <c r="E408" s="3" t="s">
        <v>1561</v>
      </c>
      <c r="F408" s="3" t="s">
        <v>54</v>
      </c>
      <c r="G408" s="3" t="s">
        <v>877</v>
      </c>
      <c r="H408" s="3"/>
      <c r="I408" s="3" t="s">
        <v>188</v>
      </c>
      <c r="J408" s="3" t="s">
        <v>245</v>
      </c>
      <c r="K408" s="3" t="s">
        <v>685</v>
      </c>
      <c r="L408" s="3" t="n">
        <v>4</v>
      </c>
      <c r="M408" s="3" t="n">
        <v>2.5</v>
      </c>
      <c r="N408" s="3" t="s">
        <v>59</v>
      </c>
      <c r="O408" s="3" t="s">
        <v>147</v>
      </c>
      <c r="P408" s="10" t="n">
        <v>120000</v>
      </c>
      <c r="Q408" s="3" t="n">
        <f aca="false">IF(F408="Disposable",1,0)</f>
        <v>0</v>
      </c>
      <c r="R408" s="3" t="n">
        <f aca="false">IF(SUMPRODUCT(--ISNUMBER(SEARCH('Spam Rules'!$A$22:$A$35,K408)))&gt;0,1,0)</f>
        <v>0</v>
      </c>
      <c r="S408" s="3" t="n">
        <f aca="false">IF(AND(F408="Free",G408=""),1,0)</f>
        <v>0</v>
      </c>
      <c r="T408" s="3" t="n">
        <f aca="false">IF(LEN(TRIM(K408))&lt;15,1,0)</f>
        <v>0</v>
      </c>
      <c r="U408" s="3" t="n">
        <f aca="false">IF(COUNTIF($E$2:$E$801,E408)&gt;1,1,0)</f>
        <v>0</v>
      </c>
      <c r="V408" s="3" t="n">
        <f aca="false">Q408*'Spam Rules'!$H$6+R408*'Spam Rules'!$H$7+S408*'Spam Rules'!$H$8+T408*'Spam Rules'!$H$9+U408*'Spam Rules'!$H$10</f>
        <v>0</v>
      </c>
      <c r="W408" s="3" t="str">
        <f aca="false">IF(V408&gt;='Spam Rules'!$B$3,"Likely Spam","Genuine")</f>
        <v>Genuine</v>
      </c>
      <c r="X408" s="3" t="n">
        <f aca="false">IFERROR(INDEX('Scoring Model'!$B$5:$B$11,MATCH(C408,'Scoring Model'!$A$5:$A$11,0)),0)</f>
        <v>25</v>
      </c>
      <c r="Y408" s="3" t="n">
        <f aca="false">IFERROR(INDEX('Scoring Model'!$E$5:$E$7,MATCH(F408,'Scoring Model'!$D$5:$D$7,0)),0)</f>
        <v>0</v>
      </c>
      <c r="Z408" s="3" t="n">
        <f aca="false">IFERROR(INDEX('Scoring Model'!$H$5:$H$13,MATCH(J408,'Scoring Model'!$G$5:$G$13,0)),0)</f>
        <v>15</v>
      </c>
      <c r="AA408" s="3" t="n">
        <f aca="false">IF(L408&gt;='Scoring Model'!$B$14,'Scoring Model'!$B$15,IF(L408&gt;='Scoring Model'!$B$16,'Scoring Model'!$B$17,0))</f>
        <v>8</v>
      </c>
      <c r="AB408" s="3" t="n">
        <f aca="false">IF(SUMPRODUCT(--ISNUMBER(SEARCH('Scoring Model'!$D$16:$D$25,K408)))&gt;0,'Scoring Model'!$B$18,0)</f>
        <v>15</v>
      </c>
      <c r="AC408" s="3" t="n">
        <f aca="false">IF(SUMPRODUCT(--ISNUMBER(SEARCH('Scoring Model'!$G$16:$G$23,K408)))&gt;0,'Scoring Model'!$B$19,0)</f>
        <v>0</v>
      </c>
      <c r="AD408" s="3" t="n">
        <f aca="false">IF(W408="Likely Spam","",SUM(X408:AC408))</f>
        <v>63</v>
      </c>
      <c r="AE408" s="3" t="str">
        <f aca="false">IF(W408="Likely Spam","Spam",IF(AD408&gt;='Scoring Model'!$B$21,"Hot",IF(AD408&gt;='Scoring Model'!$B$22,"Warm","Nurture")))</f>
        <v>Warm</v>
      </c>
      <c r="AF408" s="3" t="str">
        <f aca="false">IF(W408="Likely Spam","Flagged by spam rules",TRIM(IF(X408&gt;=20,"Strong source. ","")&amp;IF(Y408&gt;0,"Company email. ","")&amp;IF(Z408&gt;=15,"High-value product. ","")&amp;IF(AA408&gt;='Scoring Model'!$B$15,"High engagement. ","")&amp;IF(AB408&gt;0,"Buying intent in message. ","")&amp;IF(AC408&lt;0,"Negative intent in message. ","")))</f>
        <v>Strong source. High-value product. Buying intent in message.</v>
      </c>
      <c r="AG408" s="11" t="n">
        <f aca="false">IF(W408="Likely Spam","",1/(1+EXP(-('Conversion Model'!$B$5+IFERROR(INDEX('Conversion Model'!$B$8:$B$14,MATCH(C408,'Conversion Model'!$A$8:$A$14,0)),0)+IFERROR(INDEX('Conversion Model'!$E$8:$E$9,MATCH(F408,'Conversion Model'!$D$8:$D$9,0)),0)+IFERROR(INDEX('Conversion Model'!$H$8:$H$12,MATCH(IF(LEFT(J408,8)="Payments","Payments",IF(LEFT(J408,7)="Lending","Lending",J408)),'Conversion Model'!$G$8:$G$12,0)),0)+MIN(L408,15)*'Conversion Model'!$B$17+IF(SUMPRODUCT(--ISNUMBER(SEARCH('Scoring Model'!$D$16:$D$25,K408)))&gt;0,'Conversion Model'!$B$18,0)+IF(SUMPRODUCT(--ISNUMBER(SEARCH('Scoring Model'!$G$16:$G$23,K408)))&gt;0,'Conversion Model'!$B$19,0)))))</f>
        <v>0.63506312268695</v>
      </c>
      <c r="AH408" s="3" t="n">
        <f aca="false">IF(OR(O408="Qualified",O408="Won",O408="Lost"),1,IF(O408="Unqualified",0,""))</f>
        <v>1</v>
      </c>
    </row>
    <row r="409" customFormat="false" ht="15" hidden="false" customHeight="true" outlineLevel="0" collapsed="false">
      <c r="A409" s="3" t="s">
        <v>1562</v>
      </c>
      <c r="B409" s="9" t="n">
        <v>46124.5923611111</v>
      </c>
      <c r="C409" s="3" t="s">
        <v>160</v>
      </c>
      <c r="D409" s="3" t="s">
        <v>1563</v>
      </c>
      <c r="E409" s="3" t="s">
        <v>1564</v>
      </c>
      <c r="F409" s="3" t="s">
        <v>54</v>
      </c>
      <c r="G409" s="3"/>
      <c r="H409" s="3"/>
      <c r="I409" s="3" t="s">
        <v>107</v>
      </c>
      <c r="J409" s="3" t="s">
        <v>122</v>
      </c>
      <c r="K409" s="3" t="s">
        <v>363</v>
      </c>
      <c r="L409" s="3" t="n">
        <v>1</v>
      </c>
      <c r="M409" s="3"/>
      <c r="N409" s="3" t="s">
        <v>96</v>
      </c>
      <c r="O409" s="3" t="s">
        <v>68</v>
      </c>
      <c r="P409" s="10"/>
      <c r="Q409" s="3" t="n">
        <f aca="false">IF(F409="Disposable",1,0)</f>
        <v>0</v>
      </c>
      <c r="R409" s="3" t="n">
        <f aca="false">IF(SUMPRODUCT(--ISNUMBER(SEARCH('Spam Rules'!$A$22:$A$35,K409)))&gt;0,1,0)</f>
        <v>1</v>
      </c>
      <c r="S409" s="3" t="n">
        <f aca="false">IF(AND(F409="Free",G409=""),1,0)</f>
        <v>1</v>
      </c>
      <c r="T409" s="3" t="n">
        <f aca="false">IF(LEN(TRIM(K409))&lt;15,1,0)</f>
        <v>0</v>
      </c>
      <c r="U409" s="3" t="n">
        <f aca="false">IF(COUNTIF($E$2:$E$801,E409)&gt;1,1,0)</f>
        <v>0</v>
      </c>
      <c r="V409" s="3" t="n">
        <f aca="false">Q409*'Spam Rules'!$H$6+R409*'Spam Rules'!$H$7+S409*'Spam Rules'!$H$8+T409*'Spam Rules'!$H$9+U409*'Spam Rules'!$H$10</f>
        <v>1</v>
      </c>
      <c r="W409" s="3" t="str">
        <f aca="false">IF(V409&gt;='Spam Rules'!$B$3,"Likely Spam","Genuine")</f>
        <v>Likely Spam</v>
      </c>
      <c r="X409" s="3" t="n">
        <f aca="false">IFERROR(INDEX('Scoring Model'!$B$5:$B$11,MATCH(C409,'Scoring Model'!$A$5:$A$11,0)),0)</f>
        <v>25</v>
      </c>
      <c r="Y409" s="3" t="n">
        <f aca="false">IFERROR(INDEX('Scoring Model'!$E$5:$E$7,MATCH(F409,'Scoring Model'!$D$5:$D$7,0)),0)</f>
        <v>0</v>
      </c>
      <c r="Z409" s="3" t="n">
        <f aca="false">IFERROR(INDEX('Scoring Model'!$H$5:$H$13,MATCH(J409,'Scoring Model'!$G$5:$G$13,0)),0)</f>
        <v>15</v>
      </c>
      <c r="AA409" s="3" t="n">
        <f aca="false">IF(L409&gt;='Scoring Model'!$B$14,'Scoring Model'!$B$15,IF(L409&gt;='Scoring Model'!$B$16,'Scoring Model'!$B$17,0))</f>
        <v>0</v>
      </c>
      <c r="AB409" s="3" t="n">
        <f aca="false">IF(SUMPRODUCT(--ISNUMBER(SEARCH('Scoring Model'!$D$16:$D$25,K409)))&gt;0,'Scoring Model'!$B$18,0)</f>
        <v>0</v>
      </c>
      <c r="AC409" s="3" t="n">
        <f aca="false">IF(SUMPRODUCT(--ISNUMBER(SEARCH('Scoring Model'!$G$16:$G$23,K409)))&gt;0,'Scoring Model'!$B$19,0)</f>
        <v>0</v>
      </c>
      <c r="AD409" s="3" t="str">
        <f aca="false">IF(W409="Likely Spam","",SUM(X409:AC409))</f>
        <v/>
      </c>
      <c r="AE409" s="3" t="str">
        <f aca="false">IF(W409="Likely Spam","Spam",IF(AD409&gt;='Scoring Model'!$B$21,"Hot",IF(AD409&gt;='Scoring Model'!$B$22,"Warm","Nurture")))</f>
        <v>Spam</v>
      </c>
      <c r="AF409" s="3" t="str">
        <f aca="false">IF(W409="Likely Spam","Flagged by spam rules",TRIM(IF(X409&gt;=20,"Strong source. ","")&amp;IF(Y409&gt;0,"Company email. ","")&amp;IF(Z409&gt;=15,"High-value product. ","")&amp;IF(AA409&gt;='Scoring Model'!$B$15,"High engagement. ","")&amp;IF(AB409&gt;0,"Buying intent in message. ","")&amp;IF(AC409&lt;0,"Negative intent in message. ","")))</f>
        <v>Flagged by spam rules</v>
      </c>
      <c r="AG409" s="11" t="str">
        <f aca="false">IF(W409="Likely Spam","",1/(1+EXP(-('Conversion Model'!$B$5+IFERROR(INDEX('Conversion Model'!$B$8:$B$14,MATCH(C409,'Conversion Model'!$A$8:$A$14,0)),0)+IFERROR(INDEX('Conversion Model'!$E$8:$E$9,MATCH(F409,'Conversion Model'!$D$8:$D$9,0)),0)+IFERROR(INDEX('Conversion Model'!$H$8:$H$12,MATCH(IF(LEFT(J409,8)="Payments","Payments",IF(LEFT(J409,7)="Lending","Lending",J409)),'Conversion Model'!$G$8:$G$12,0)),0)+MIN(L409,15)*'Conversion Model'!$B$17+IF(SUMPRODUCT(--ISNUMBER(SEARCH('Scoring Model'!$D$16:$D$25,K409)))&gt;0,'Conversion Model'!$B$18,0)+IF(SUMPRODUCT(--ISNUMBER(SEARCH('Scoring Model'!$G$16:$G$23,K409)))&gt;0,'Conversion Model'!$B$19,0)))))</f>
        <v/>
      </c>
      <c r="AH409" s="3" t="str">
        <f aca="false">IF(OR(O409="Qualified",O409="Won",O409="Lost"),1,IF(O409="Unqualified",0,""))</f>
        <v/>
      </c>
    </row>
    <row r="410" customFormat="false" ht="15" hidden="false" customHeight="true" outlineLevel="0" collapsed="false">
      <c r="A410" s="3" t="s">
        <v>1565</v>
      </c>
      <c r="B410" s="9" t="n">
        <v>46124.6055555556</v>
      </c>
      <c r="C410" s="3" t="s">
        <v>160</v>
      </c>
      <c r="D410" s="3" t="s">
        <v>1566</v>
      </c>
      <c r="E410" s="3" t="s">
        <v>1567</v>
      </c>
      <c r="F410" s="3" t="s">
        <v>22</v>
      </c>
      <c r="G410" s="3" t="s">
        <v>977</v>
      </c>
      <c r="H410" s="3" t="s">
        <v>978</v>
      </c>
      <c r="I410" s="3" t="s">
        <v>139</v>
      </c>
      <c r="J410" s="3" t="s">
        <v>122</v>
      </c>
      <c r="K410" s="3" t="s">
        <v>58</v>
      </c>
      <c r="L410" s="3" t="n">
        <v>8</v>
      </c>
      <c r="M410" s="3" t="n">
        <v>40</v>
      </c>
      <c r="N410" s="3" t="s">
        <v>59</v>
      </c>
      <c r="O410" s="3" t="s">
        <v>331</v>
      </c>
      <c r="P410" s="10"/>
      <c r="Q410" s="3" t="n">
        <f aca="false">IF(F410="Disposable",1,0)</f>
        <v>0</v>
      </c>
      <c r="R410" s="3" t="n">
        <f aca="false">IF(SUMPRODUCT(--ISNUMBER(SEARCH('Spam Rules'!$A$22:$A$35,K410)))&gt;0,1,0)</f>
        <v>0</v>
      </c>
      <c r="S410" s="3" t="n">
        <f aca="false">IF(AND(F410="Free",G410=""),1,0)</f>
        <v>0</v>
      </c>
      <c r="T410" s="3" t="n">
        <f aca="false">IF(LEN(TRIM(K410))&lt;15,1,0)</f>
        <v>0</v>
      </c>
      <c r="U410" s="3" t="n">
        <f aca="false">IF(COUNTIF($E$2:$E$801,E410)&gt;1,1,0)</f>
        <v>0</v>
      </c>
      <c r="V410" s="3" t="n">
        <f aca="false">Q410*'Spam Rules'!$H$6+R410*'Spam Rules'!$H$7+S410*'Spam Rules'!$H$8+T410*'Spam Rules'!$H$9+U410*'Spam Rules'!$H$10</f>
        <v>0</v>
      </c>
      <c r="W410" s="3" t="str">
        <f aca="false">IF(V410&gt;='Spam Rules'!$B$3,"Likely Spam","Genuine")</f>
        <v>Genuine</v>
      </c>
      <c r="X410" s="3" t="n">
        <f aca="false">IFERROR(INDEX('Scoring Model'!$B$5:$B$11,MATCH(C410,'Scoring Model'!$A$5:$A$11,0)),0)</f>
        <v>25</v>
      </c>
      <c r="Y410" s="3" t="n">
        <f aca="false">IFERROR(INDEX('Scoring Model'!$E$5:$E$7,MATCH(F410,'Scoring Model'!$D$5:$D$7,0)),0)</f>
        <v>20</v>
      </c>
      <c r="Z410" s="3" t="n">
        <f aca="false">IFERROR(INDEX('Scoring Model'!$H$5:$H$13,MATCH(J410,'Scoring Model'!$G$5:$G$13,0)),0)</f>
        <v>15</v>
      </c>
      <c r="AA410" s="3" t="n">
        <f aca="false">IF(L410&gt;='Scoring Model'!$B$14,'Scoring Model'!$B$15,IF(L410&gt;='Scoring Model'!$B$16,'Scoring Model'!$B$17,0))</f>
        <v>15</v>
      </c>
      <c r="AB410" s="3" t="n">
        <f aca="false">IF(SUMPRODUCT(--ISNUMBER(SEARCH('Scoring Model'!$D$16:$D$25,K410)))&gt;0,'Scoring Model'!$B$18,0)</f>
        <v>15</v>
      </c>
      <c r="AC410" s="3" t="n">
        <f aca="false">IF(SUMPRODUCT(--ISNUMBER(SEARCH('Scoring Model'!$G$16:$G$23,K410)))&gt;0,'Scoring Model'!$B$19,0)</f>
        <v>0</v>
      </c>
      <c r="AD410" s="3" t="n">
        <f aca="false">IF(W410="Likely Spam","",SUM(X410:AC410))</f>
        <v>90</v>
      </c>
      <c r="AE410" s="3" t="str">
        <f aca="false">IF(W410="Likely Spam","Spam",IF(AD410&gt;='Scoring Model'!$B$21,"Hot",IF(AD410&gt;='Scoring Model'!$B$22,"Warm","Nurture")))</f>
        <v>Hot</v>
      </c>
      <c r="AF410" s="3" t="str">
        <f aca="false">IF(W410="Likely Spam","Flagged by spam rules",TRIM(IF(X410&gt;=20,"Strong source. ","")&amp;IF(Y410&gt;0,"Company email. ","")&amp;IF(Z410&gt;=15,"High-value product. ","")&amp;IF(AA410&gt;='Scoring Model'!$B$15,"High engagement. ","")&amp;IF(AB410&gt;0,"Buying intent in message. ","")&amp;IF(AC410&lt;0,"Negative intent in message. ","")))</f>
        <v>Strong source. Company email. High-value product. High engagement. Buying intent in message.</v>
      </c>
      <c r="AG410" s="11" t="n">
        <f aca="false">IF(W410="Likely Spam","",1/(1+EXP(-('Conversion Model'!$B$5+IFERROR(INDEX('Conversion Model'!$B$8:$B$14,MATCH(C410,'Conversion Model'!$A$8:$A$14,0)),0)+IFERROR(INDEX('Conversion Model'!$E$8:$E$9,MATCH(F410,'Conversion Model'!$D$8:$D$9,0)),0)+IFERROR(INDEX('Conversion Model'!$H$8:$H$12,MATCH(IF(LEFT(J410,8)="Payments","Payments",IF(LEFT(J410,7)="Lending","Lending",J410)),'Conversion Model'!$G$8:$G$12,0)),0)+MIN(L410,15)*'Conversion Model'!$B$17+IF(SUMPRODUCT(--ISNUMBER(SEARCH('Scoring Model'!$D$16:$D$25,K410)))&gt;0,'Conversion Model'!$B$18,0)+IF(SUMPRODUCT(--ISNUMBER(SEARCH('Scoring Model'!$G$16:$G$23,K410)))&gt;0,'Conversion Model'!$B$19,0)))))</f>
        <v>0.976060622490283</v>
      </c>
      <c r="AH410" s="3" t="n">
        <f aca="false">IF(OR(O410="Qualified",O410="Won",O410="Lost"),1,IF(O410="Unqualified",0,""))</f>
        <v>1</v>
      </c>
    </row>
    <row r="411" customFormat="false" ht="15" hidden="false" customHeight="true" outlineLevel="0" collapsed="false">
      <c r="A411" s="3" t="s">
        <v>1568</v>
      </c>
      <c r="B411" s="9" t="n">
        <v>46124.8347222222</v>
      </c>
      <c r="C411" s="3" t="s">
        <v>135</v>
      </c>
      <c r="D411" s="3" t="s">
        <v>1569</v>
      </c>
      <c r="E411" s="3" t="s">
        <v>1570</v>
      </c>
      <c r="F411" s="3" t="s">
        <v>22</v>
      </c>
      <c r="G411" s="3" t="s">
        <v>683</v>
      </c>
      <c r="H411" s="3" t="s">
        <v>684</v>
      </c>
      <c r="I411" s="3" t="s">
        <v>80</v>
      </c>
      <c r="J411" s="3" t="s">
        <v>81</v>
      </c>
      <c r="K411" s="3" t="s">
        <v>1571</v>
      </c>
      <c r="L411" s="3" t="n">
        <v>5</v>
      </c>
      <c r="M411" s="3" t="n">
        <v>8.4</v>
      </c>
      <c r="N411" s="3" t="s">
        <v>67</v>
      </c>
      <c r="O411" s="3"/>
      <c r="P411" s="10"/>
      <c r="Q411" s="3" t="n">
        <f aca="false">IF(F411="Disposable",1,0)</f>
        <v>0</v>
      </c>
      <c r="R411" s="3" t="n">
        <f aca="false">IF(SUMPRODUCT(--ISNUMBER(SEARCH('Spam Rules'!$A$22:$A$35,K411)))&gt;0,1,0)</f>
        <v>0</v>
      </c>
      <c r="S411" s="3" t="n">
        <f aca="false">IF(AND(F411="Free",G411=""),1,0)</f>
        <v>0</v>
      </c>
      <c r="T411" s="3" t="n">
        <f aca="false">IF(LEN(TRIM(K411))&lt;15,1,0)</f>
        <v>0</v>
      </c>
      <c r="U411" s="3" t="n">
        <f aca="false">IF(COUNTIF($E$2:$E$801,E411)&gt;1,1,0)</f>
        <v>0</v>
      </c>
      <c r="V411" s="3" t="n">
        <f aca="false">Q411*'Spam Rules'!$H$6+R411*'Spam Rules'!$H$7+S411*'Spam Rules'!$H$8+T411*'Spam Rules'!$H$9+U411*'Spam Rules'!$H$10</f>
        <v>0</v>
      </c>
      <c r="W411" s="3" t="str">
        <f aca="false">IF(V411&gt;='Spam Rules'!$B$3,"Likely Spam","Genuine")</f>
        <v>Genuine</v>
      </c>
      <c r="X411" s="3" t="n">
        <f aca="false">IFERROR(INDEX('Scoring Model'!$B$5:$B$11,MATCH(C411,'Scoring Model'!$A$5:$A$11,0)),0)</f>
        <v>20</v>
      </c>
      <c r="Y411" s="3" t="n">
        <f aca="false">IFERROR(INDEX('Scoring Model'!$E$5:$E$7,MATCH(F411,'Scoring Model'!$D$5:$D$7,0)),0)</f>
        <v>20</v>
      </c>
      <c r="Z411" s="3" t="n">
        <f aca="false">IFERROR(INDEX('Scoring Model'!$H$5:$H$13,MATCH(J411,'Scoring Model'!$G$5:$G$13,0)),0)</f>
        <v>5</v>
      </c>
      <c r="AA411" s="3" t="n">
        <f aca="false">IF(L411&gt;='Scoring Model'!$B$14,'Scoring Model'!$B$15,IF(L411&gt;='Scoring Model'!$B$16,'Scoring Model'!$B$17,0))</f>
        <v>8</v>
      </c>
      <c r="AB411" s="3" t="n">
        <f aca="false">IF(SUMPRODUCT(--ISNUMBER(SEARCH('Scoring Model'!$D$16:$D$25,K411)))&gt;0,'Scoring Model'!$B$18,0)</f>
        <v>15</v>
      </c>
      <c r="AC411" s="3" t="n">
        <f aca="false">IF(SUMPRODUCT(--ISNUMBER(SEARCH('Scoring Model'!$G$16:$G$23,K411)))&gt;0,'Scoring Model'!$B$19,0)</f>
        <v>0</v>
      </c>
      <c r="AD411" s="3" t="n">
        <f aca="false">IF(W411="Likely Spam","",SUM(X411:AC411))</f>
        <v>68</v>
      </c>
      <c r="AE411" s="3" t="str">
        <f aca="false">IF(W411="Likely Spam","Spam",IF(AD411&gt;='Scoring Model'!$B$21,"Hot",IF(AD411&gt;='Scoring Model'!$B$22,"Warm","Nurture")))</f>
        <v>Warm</v>
      </c>
      <c r="AF411" s="3" t="str">
        <f aca="false">IF(W411="Likely Spam","Flagged by spam rules",TRIM(IF(X411&gt;=20,"Strong source. ","")&amp;IF(Y411&gt;0,"Company email. ","")&amp;IF(Z411&gt;=15,"High-value product. ","")&amp;IF(AA411&gt;='Scoring Model'!$B$15,"High engagement. ","")&amp;IF(AB411&gt;0,"Buying intent in message. ","")&amp;IF(AC411&lt;0,"Negative intent in message. ","")))</f>
        <v>Strong source. Company email. Buying intent in message.</v>
      </c>
      <c r="AG411" s="11" t="n">
        <f aca="false">IF(W411="Likely Spam","",1/(1+EXP(-('Conversion Model'!$B$5+IFERROR(INDEX('Conversion Model'!$B$8:$B$14,MATCH(C411,'Conversion Model'!$A$8:$A$14,0)),0)+IFERROR(INDEX('Conversion Model'!$E$8:$E$9,MATCH(F411,'Conversion Model'!$D$8:$D$9,0)),0)+IFERROR(INDEX('Conversion Model'!$H$8:$H$12,MATCH(IF(LEFT(J411,8)="Payments","Payments",IF(LEFT(J411,7)="Lending","Lending",J411)),'Conversion Model'!$G$8:$G$12,0)),0)+MIN(L411,15)*'Conversion Model'!$B$17+IF(SUMPRODUCT(--ISNUMBER(SEARCH('Scoring Model'!$D$16:$D$25,K411)))&gt;0,'Conversion Model'!$B$18,0)+IF(SUMPRODUCT(--ISNUMBER(SEARCH('Scoring Model'!$G$16:$G$23,K411)))&gt;0,'Conversion Model'!$B$19,0)))))</f>
        <v>0.781597463902365</v>
      </c>
      <c r="AH411" s="3" t="str">
        <f aca="false">IF(OR(O411="Qualified",O411="Won",O411="Lost"),1,IF(O411="Unqualified",0,""))</f>
        <v/>
      </c>
    </row>
    <row r="412" customFormat="false" ht="15" hidden="false" customHeight="true" outlineLevel="0" collapsed="false">
      <c r="A412" s="3" t="s">
        <v>1572</v>
      </c>
      <c r="B412" s="9" t="n">
        <v>46124.8951388889</v>
      </c>
      <c r="C412" s="3" t="s">
        <v>135</v>
      </c>
      <c r="D412" s="3" t="s">
        <v>991</v>
      </c>
      <c r="E412" s="3" t="s">
        <v>1573</v>
      </c>
      <c r="F412" s="3" t="s">
        <v>54</v>
      </c>
      <c r="G412" s="3"/>
      <c r="H412" s="3"/>
      <c r="I412" s="3" t="s">
        <v>139</v>
      </c>
      <c r="J412" s="3" t="s">
        <v>122</v>
      </c>
      <c r="K412" s="3" t="s">
        <v>170</v>
      </c>
      <c r="L412" s="3" t="n">
        <v>1</v>
      </c>
      <c r="M412" s="3" t="n">
        <v>22.4</v>
      </c>
      <c r="N412" s="3" t="s">
        <v>96</v>
      </c>
      <c r="O412" s="3" t="s">
        <v>68</v>
      </c>
      <c r="P412" s="10"/>
      <c r="Q412" s="3" t="n">
        <f aca="false">IF(F412="Disposable",1,0)</f>
        <v>0</v>
      </c>
      <c r="R412" s="3" t="n">
        <f aca="false">IF(SUMPRODUCT(--ISNUMBER(SEARCH('Spam Rules'!$A$22:$A$35,K412)))&gt;0,1,0)</f>
        <v>0</v>
      </c>
      <c r="S412" s="3" t="n">
        <f aca="false">IF(AND(F412="Free",G412=""),1,0)</f>
        <v>1</v>
      </c>
      <c r="T412" s="3" t="n">
        <f aca="false">IF(LEN(TRIM(K412))&lt;15,1,0)</f>
        <v>1</v>
      </c>
      <c r="U412" s="3" t="n">
        <f aca="false">IF(COUNTIF($E$2:$E$801,E412)&gt;1,1,0)</f>
        <v>1</v>
      </c>
      <c r="V412" s="3" t="n">
        <f aca="false">Q412*'Spam Rules'!$H$6+R412*'Spam Rules'!$H$7+S412*'Spam Rules'!$H$8+T412*'Spam Rules'!$H$9+U412*'Spam Rules'!$H$10</f>
        <v>1</v>
      </c>
      <c r="W412" s="3" t="str">
        <f aca="false">IF(V412&gt;='Spam Rules'!$B$3,"Likely Spam","Genuine")</f>
        <v>Likely Spam</v>
      </c>
      <c r="X412" s="3" t="n">
        <f aca="false">IFERROR(INDEX('Scoring Model'!$B$5:$B$11,MATCH(C412,'Scoring Model'!$A$5:$A$11,0)),0)</f>
        <v>20</v>
      </c>
      <c r="Y412" s="3" t="n">
        <f aca="false">IFERROR(INDEX('Scoring Model'!$E$5:$E$7,MATCH(F412,'Scoring Model'!$D$5:$D$7,0)),0)</f>
        <v>0</v>
      </c>
      <c r="Z412" s="3" t="n">
        <f aca="false">IFERROR(INDEX('Scoring Model'!$H$5:$H$13,MATCH(J412,'Scoring Model'!$G$5:$G$13,0)),0)</f>
        <v>15</v>
      </c>
      <c r="AA412" s="3" t="n">
        <f aca="false">IF(L412&gt;='Scoring Model'!$B$14,'Scoring Model'!$B$15,IF(L412&gt;='Scoring Model'!$B$16,'Scoring Model'!$B$17,0))</f>
        <v>0</v>
      </c>
      <c r="AB412" s="3" t="n">
        <f aca="false">IF(SUMPRODUCT(--ISNUMBER(SEARCH('Scoring Model'!$D$16:$D$25,K412)))&gt;0,'Scoring Model'!$B$18,0)</f>
        <v>0</v>
      </c>
      <c r="AC412" s="3" t="n">
        <f aca="false">IF(SUMPRODUCT(--ISNUMBER(SEARCH('Scoring Model'!$G$16:$G$23,K412)))&gt;0,'Scoring Model'!$B$19,0)</f>
        <v>0</v>
      </c>
      <c r="AD412" s="3" t="str">
        <f aca="false">IF(W412="Likely Spam","",SUM(X412:AC412))</f>
        <v/>
      </c>
      <c r="AE412" s="3" t="str">
        <f aca="false">IF(W412="Likely Spam","Spam",IF(AD412&gt;='Scoring Model'!$B$21,"Hot",IF(AD412&gt;='Scoring Model'!$B$22,"Warm","Nurture")))</f>
        <v>Spam</v>
      </c>
      <c r="AF412" s="3" t="str">
        <f aca="false">IF(W412="Likely Spam","Flagged by spam rules",TRIM(IF(X412&gt;=20,"Strong source. ","")&amp;IF(Y412&gt;0,"Company email. ","")&amp;IF(Z412&gt;=15,"High-value product. ","")&amp;IF(AA412&gt;='Scoring Model'!$B$15,"High engagement. ","")&amp;IF(AB412&gt;0,"Buying intent in message. ","")&amp;IF(AC412&lt;0,"Negative intent in message. ","")))</f>
        <v>Flagged by spam rules</v>
      </c>
      <c r="AG412" s="11" t="str">
        <f aca="false">IF(W412="Likely Spam","",1/(1+EXP(-('Conversion Model'!$B$5+IFERROR(INDEX('Conversion Model'!$B$8:$B$14,MATCH(C412,'Conversion Model'!$A$8:$A$14,0)),0)+IFERROR(INDEX('Conversion Model'!$E$8:$E$9,MATCH(F412,'Conversion Model'!$D$8:$D$9,0)),0)+IFERROR(INDEX('Conversion Model'!$H$8:$H$12,MATCH(IF(LEFT(J412,8)="Payments","Payments",IF(LEFT(J412,7)="Lending","Lending",J412)),'Conversion Model'!$G$8:$G$12,0)),0)+MIN(L412,15)*'Conversion Model'!$B$17+IF(SUMPRODUCT(--ISNUMBER(SEARCH('Scoring Model'!$D$16:$D$25,K412)))&gt;0,'Conversion Model'!$B$18,0)+IF(SUMPRODUCT(--ISNUMBER(SEARCH('Scoring Model'!$G$16:$G$23,K412)))&gt;0,'Conversion Model'!$B$19,0)))))</f>
        <v/>
      </c>
      <c r="AH412" s="3" t="str">
        <f aca="false">IF(OR(O412="Qualified",O412="Won",O412="Lost"),1,IF(O412="Unqualified",0,""))</f>
        <v/>
      </c>
    </row>
    <row r="413" customFormat="false" ht="15" hidden="false" customHeight="true" outlineLevel="0" collapsed="false">
      <c r="A413" s="3" t="s">
        <v>1574</v>
      </c>
      <c r="B413" s="9" t="n">
        <v>46125.6284722222</v>
      </c>
      <c r="C413" s="3" t="s">
        <v>91</v>
      </c>
      <c r="D413" s="3" t="s">
        <v>369</v>
      </c>
      <c r="E413" s="3" t="s">
        <v>1575</v>
      </c>
      <c r="F413" s="3" t="s">
        <v>22</v>
      </c>
      <c r="G413" s="3" t="s">
        <v>603</v>
      </c>
      <c r="H413" s="3" t="s">
        <v>1576</v>
      </c>
      <c r="I413" s="3" t="s">
        <v>188</v>
      </c>
      <c r="J413" s="3" t="s">
        <v>145</v>
      </c>
      <c r="K413" s="3" t="s">
        <v>213</v>
      </c>
      <c r="L413" s="3" t="n">
        <v>2</v>
      </c>
      <c r="M413" s="3" t="n">
        <v>3.4</v>
      </c>
      <c r="N413" s="3" t="s">
        <v>67</v>
      </c>
      <c r="O413" s="3" t="s">
        <v>194</v>
      </c>
      <c r="P413" s="10"/>
      <c r="Q413" s="3" t="n">
        <f aca="false">IF(F413="Disposable",1,0)</f>
        <v>0</v>
      </c>
      <c r="R413" s="3" t="n">
        <f aca="false">IF(SUMPRODUCT(--ISNUMBER(SEARCH('Spam Rules'!$A$22:$A$35,K413)))&gt;0,1,0)</f>
        <v>0</v>
      </c>
      <c r="S413" s="3" t="n">
        <f aca="false">IF(AND(F413="Free",G413=""),1,0)</f>
        <v>0</v>
      </c>
      <c r="T413" s="3" t="n">
        <f aca="false">IF(LEN(TRIM(K413))&lt;15,1,0)</f>
        <v>0</v>
      </c>
      <c r="U413" s="3" t="n">
        <f aca="false">IF(COUNTIF($E$2:$E$801,E413)&gt;1,1,0)</f>
        <v>0</v>
      </c>
      <c r="V413" s="3" t="n">
        <f aca="false">Q413*'Spam Rules'!$H$6+R413*'Spam Rules'!$H$7+S413*'Spam Rules'!$H$8+T413*'Spam Rules'!$H$9+U413*'Spam Rules'!$H$10</f>
        <v>0</v>
      </c>
      <c r="W413" s="3" t="str">
        <f aca="false">IF(V413&gt;='Spam Rules'!$B$3,"Likely Spam","Genuine")</f>
        <v>Genuine</v>
      </c>
      <c r="X413" s="3" t="n">
        <f aca="false">IFERROR(INDEX('Scoring Model'!$B$5:$B$11,MATCH(C413,'Scoring Model'!$A$5:$A$11,0)),0)</f>
        <v>5</v>
      </c>
      <c r="Y413" s="3" t="n">
        <f aca="false">IFERROR(INDEX('Scoring Model'!$E$5:$E$7,MATCH(F413,'Scoring Model'!$D$5:$D$7,0)),0)</f>
        <v>20</v>
      </c>
      <c r="Z413" s="3" t="n">
        <f aca="false">IFERROR(INDEX('Scoring Model'!$H$5:$H$13,MATCH(J413,'Scoring Model'!$G$5:$G$13,0)),0)</f>
        <v>5</v>
      </c>
      <c r="AA413" s="3" t="n">
        <f aca="false">IF(L413&gt;='Scoring Model'!$B$14,'Scoring Model'!$B$15,IF(L413&gt;='Scoring Model'!$B$16,'Scoring Model'!$B$17,0))</f>
        <v>0</v>
      </c>
      <c r="AB413" s="3" t="n">
        <f aca="false">IF(SUMPRODUCT(--ISNUMBER(SEARCH('Scoring Model'!$D$16:$D$25,K413)))&gt;0,'Scoring Model'!$B$18,0)</f>
        <v>0</v>
      </c>
      <c r="AC413" s="3" t="n">
        <f aca="false">IF(SUMPRODUCT(--ISNUMBER(SEARCH('Scoring Model'!$G$16:$G$23,K413)))&gt;0,'Scoring Model'!$B$19,0)</f>
        <v>-30</v>
      </c>
      <c r="AD413" s="3" t="n">
        <f aca="false">IF(W413="Likely Spam","",SUM(X413:AC413))</f>
        <v>0</v>
      </c>
      <c r="AE413" s="3" t="str">
        <f aca="false">IF(W413="Likely Spam","Spam",IF(AD413&gt;='Scoring Model'!$B$21,"Hot",IF(AD413&gt;='Scoring Model'!$B$22,"Warm","Nurture")))</f>
        <v>Nurture</v>
      </c>
      <c r="AF413" s="3" t="str">
        <f aca="false">IF(W413="Likely Spam","Flagged by spam rules",TRIM(IF(X413&gt;=20,"Strong source. ","")&amp;IF(Y413&gt;0,"Company email. ","")&amp;IF(Z413&gt;=15,"High-value product. ","")&amp;IF(AA413&gt;='Scoring Model'!$B$15,"High engagement. ","")&amp;IF(AB413&gt;0,"Buying intent in message. ","")&amp;IF(AC413&lt;0,"Negative intent in message. ","")))</f>
        <v>Company email. Negative intent in message.</v>
      </c>
      <c r="AG413" s="11" t="n">
        <f aca="false">IF(W413="Likely Spam","",1/(1+EXP(-('Conversion Model'!$B$5+IFERROR(INDEX('Conversion Model'!$B$8:$B$14,MATCH(C413,'Conversion Model'!$A$8:$A$14,0)),0)+IFERROR(INDEX('Conversion Model'!$E$8:$E$9,MATCH(F413,'Conversion Model'!$D$8:$D$9,0)),0)+IFERROR(INDEX('Conversion Model'!$H$8:$H$12,MATCH(IF(LEFT(J413,8)="Payments","Payments",IF(LEFT(J413,7)="Lending","Lending",J413)),'Conversion Model'!$G$8:$G$12,0)),0)+MIN(L413,15)*'Conversion Model'!$B$17+IF(SUMPRODUCT(--ISNUMBER(SEARCH('Scoring Model'!$D$16:$D$25,K413)))&gt;0,'Conversion Model'!$B$18,0)+IF(SUMPRODUCT(--ISNUMBER(SEARCH('Scoring Model'!$G$16:$G$23,K413)))&gt;0,'Conversion Model'!$B$19,0)))))</f>
        <v>0.0050716727878205</v>
      </c>
      <c r="AH413" s="3" t="n">
        <f aca="false">IF(OR(O413="Qualified",O413="Won",O413="Lost"),1,IF(O413="Unqualified",0,""))</f>
        <v>0</v>
      </c>
    </row>
    <row r="414" customFormat="false" ht="15" hidden="false" customHeight="true" outlineLevel="0" collapsed="false">
      <c r="A414" s="3" t="s">
        <v>1577</v>
      </c>
      <c r="B414" s="9" t="n">
        <v>46126.1541666667</v>
      </c>
      <c r="C414" s="3" t="s">
        <v>76</v>
      </c>
      <c r="D414" s="3" t="s">
        <v>281</v>
      </c>
      <c r="E414" s="3" t="s">
        <v>1578</v>
      </c>
      <c r="F414" s="3" t="s">
        <v>54</v>
      </c>
      <c r="G414" s="3" t="s">
        <v>79</v>
      </c>
      <c r="H414" s="3"/>
      <c r="I414" s="3" t="s">
        <v>80</v>
      </c>
      <c r="J414" s="3" t="s">
        <v>122</v>
      </c>
      <c r="K414" s="3" t="s">
        <v>239</v>
      </c>
      <c r="L414" s="3" t="n">
        <v>1</v>
      </c>
      <c r="M414" s="3" t="n">
        <v>135.2</v>
      </c>
      <c r="N414" s="3" t="s">
        <v>96</v>
      </c>
      <c r="O414" s="3" t="s">
        <v>68</v>
      </c>
      <c r="P414" s="10"/>
      <c r="Q414" s="3" t="n">
        <f aca="false">IF(F414="Disposable",1,0)</f>
        <v>0</v>
      </c>
      <c r="R414" s="3" t="n">
        <f aca="false">IF(SUMPRODUCT(--ISNUMBER(SEARCH('Spam Rules'!$A$22:$A$35,K414)))&gt;0,1,0)</f>
        <v>1</v>
      </c>
      <c r="S414" s="3" t="n">
        <f aca="false">IF(AND(F414="Free",G414=""),1,0)</f>
        <v>0</v>
      </c>
      <c r="T414" s="3" t="n">
        <f aca="false">IF(LEN(TRIM(K414))&lt;15,1,0)</f>
        <v>0</v>
      </c>
      <c r="U414" s="3" t="n">
        <f aca="false">IF(COUNTIF($E$2:$E$801,E414)&gt;1,1,0)</f>
        <v>1</v>
      </c>
      <c r="V414" s="3" t="n">
        <f aca="false">Q414*'Spam Rules'!$H$6+R414*'Spam Rules'!$H$7+S414*'Spam Rules'!$H$8+T414*'Spam Rules'!$H$9+U414*'Spam Rules'!$H$10</f>
        <v>1</v>
      </c>
      <c r="W414" s="3" t="str">
        <f aca="false">IF(V414&gt;='Spam Rules'!$B$3,"Likely Spam","Genuine")</f>
        <v>Likely Spam</v>
      </c>
      <c r="X414" s="3" t="n">
        <f aca="false">IFERROR(INDEX('Scoring Model'!$B$5:$B$11,MATCH(C414,'Scoring Model'!$A$5:$A$11,0)),0)</f>
        <v>0</v>
      </c>
      <c r="Y414" s="3" t="n">
        <f aca="false">IFERROR(INDEX('Scoring Model'!$E$5:$E$7,MATCH(F414,'Scoring Model'!$D$5:$D$7,0)),0)</f>
        <v>0</v>
      </c>
      <c r="Z414" s="3" t="n">
        <f aca="false">IFERROR(INDEX('Scoring Model'!$H$5:$H$13,MATCH(J414,'Scoring Model'!$G$5:$G$13,0)),0)</f>
        <v>15</v>
      </c>
      <c r="AA414" s="3" t="n">
        <f aca="false">IF(L414&gt;='Scoring Model'!$B$14,'Scoring Model'!$B$15,IF(L414&gt;='Scoring Model'!$B$16,'Scoring Model'!$B$17,0))</f>
        <v>0</v>
      </c>
      <c r="AB414" s="3" t="n">
        <f aca="false">IF(SUMPRODUCT(--ISNUMBER(SEARCH('Scoring Model'!$D$16:$D$25,K414)))&gt;0,'Scoring Model'!$B$18,0)</f>
        <v>0</v>
      </c>
      <c r="AC414" s="3" t="n">
        <f aca="false">IF(SUMPRODUCT(--ISNUMBER(SEARCH('Scoring Model'!$G$16:$G$23,K414)))&gt;0,'Scoring Model'!$B$19,0)</f>
        <v>0</v>
      </c>
      <c r="AD414" s="3" t="str">
        <f aca="false">IF(W414="Likely Spam","",SUM(X414:AC414))</f>
        <v/>
      </c>
      <c r="AE414" s="3" t="str">
        <f aca="false">IF(W414="Likely Spam","Spam",IF(AD414&gt;='Scoring Model'!$B$21,"Hot",IF(AD414&gt;='Scoring Model'!$B$22,"Warm","Nurture")))</f>
        <v>Spam</v>
      </c>
      <c r="AF414" s="3" t="str">
        <f aca="false">IF(W414="Likely Spam","Flagged by spam rules",TRIM(IF(X414&gt;=20,"Strong source. ","")&amp;IF(Y414&gt;0,"Company email. ","")&amp;IF(Z414&gt;=15,"High-value product. ","")&amp;IF(AA414&gt;='Scoring Model'!$B$15,"High engagement. ","")&amp;IF(AB414&gt;0,"Buying intent in message. ","")&amp;IF(AC414&lt;0,"Negative intent in message. ","")))</f>
        <v>Flagged by spam rules</v>
      </c>
      <c r="AG414" s="11" t="str">
        <f aca="false">IF(W414="Likely Spam","",1/(1+EXP(-('Conversion Model'!$B$5+IFERROR(INDEX('Conversion Model'!$B$8:$B$14,MATCH(C414,'Conversion Model'!$A$8:$A$14,0)),0)+IFERROR(INDEX('Conversion Model'!$E$8:$E$9,MATCH(F414,'Conversion Model'!$D$8:$D$9,0)),0)+IFERROR(INDEX('Conversion Model'!$H$8:$H$12,MATCH(IF(LEFT(J414,8)="Payments","Payments",IF(LEFT(J414,7)="Lending","Lending",J414)),'Conversion Model'!$G$8:$G$12,0)),0)+MIN(L414,15)*'Conversion Model'!$B$17+IF(SUMPRODUCT(--ISNUMBER(SEARCH('Scoring Model'!$D$16:$D$25,K414)))&gt;0,'Conversion Model'!$B$18,0)+IF(SUMPRODUCT(--ISNUMBER(SEARCH('Scoring Model'!$G$16:$G$23,K414)))&gt;0,'Conversion Model'!$B$19,0)))))</f>
        <v/>
      </c>
      <c r="AH414" s="3" t="str">
        <f aca="false">IF(OR(O414="Qualified",O414="Won",O414="Lost"),1,IF(O414="Unqualified",0,""))</f>
        <v/>
      </c>
    </row>
    <row r="415" customFormat="false" ht="15" hidden="false" customHeight="true" outlineLevel="0" collapsed="false">
      <c r="A415" s="3" t="s">
        <v>1579</v>
      </c>
      <c r="B415" s="9" t="n">
        <v>46127.0027777778</v>
      </c>
      <c r="C415" s="3" t="s">
        <v>51</v>
      </c>
      <c r="D415" s="3" t="s">
        <v>311</v>
      </c>
      <c r="E415" s="3" t="s">
        <v>1580</v>
      </c>
      <c r="F415" s="3" t="s">
        <v>54</v>
      </c>
      <c r="G415" s="3" t="s">
        <v>1581</v>
      </c>
      <c r="H415" s="3"/>
      <c r="I415" s="3" t="s">
        <v>260</v>
      </c>
      <c r="J415" s="3" t="s">
        <v>145</v>
      </c>
      <c r="K415" s="3" t="s">
        <v>189</v>
      </c>
      <c r="L415" s="3" t="n">
        <v>6</v>
      </c>
      <c r="M415" s="3" t="n">
        <v>5.8</v>
      </c>
      <c r="N415" s="3" t="s">
        <v>171</v>
      </c>
      <c r="O415" s="3" t="s">
        <v>133</v>
      </c>
      <c r="P415" s="10"/>
      <c r="Q415" s="3" t="n">
        <f aca="false">IF(F415="Disposable",1,0)</f>
        <v>0</v>
      </c>
      <c r="R415" s="3" t="n">
        <f aca="false">IF(SUMPRODUCT(--ISNUMBER(SEARCH('Spam Rules'!$A$22:$A$35,K415)))&gt;0,1,0)</f>
        <v>0</v>
      </c>
      <c r="S415" s="3" t="n">
        <f aca="false">IF(AND(F415="Free",G415=""),1,0)</f>
        <v>0</v>
      </c>
      <c r="T415" s="3" t="n">
        <f aca="false">IF(LEN(TRIM(K415))&lt;15,1,0)</f>
        <v>0</v>
      </c>
      <c r="U415" s="3" t="n">
        <f aca="false">IF(COUNTIF($E$2:$E$801,E415)&gt;1,1,0)</f>
        <v>0</v>
      </c>
      <c r="V415" s="3" t="n">
        <f aca="false">Q415*'Spam Rules'!$H$6+R415*'Spam Rules'!$H$7+S415*'Spam Rules'!$H$8+T415*'Spam Rules'!$H$9+U415*'Spam Rules'!$H$10</f>
        <v>0</v>
      </c>
      <c r="W415" s="3" t="str">
        <f aca="false">IF(V415&gt;='Spam Rules'!$B$3,"Likely Spam","Genuine")</f>
        <v>Genuine</v>
      </c>
      <c r="X415" s="3" t="n">
        <f aca="false">IFERROR(INDEX('Scoring Model'!$B$5:$B$11,MATCH(C415,'Scoring Model'!$A$5:$A$11,0)),0)</f>
        <v>10</v>
      </c>
      <c r="Y415" s="3" t="n">
        <f aca="false">IFERROR(INDEX('Scoring Model'!$E$5:$E$7,MATCH(F415,'Scoring Model'!$D$5:$D$7,0)),0)</f>
        <v>0</v>
      </c>
      <c r="Z415" s="3" t="n">
        <f aca="false">IFERROR(INDEX('Scoring Model'!$H$5:$H$13,MATCH(J415,'Scoring Model'!$G$5:$G$13,0)),0)</f>
        <v>5</v>
      </c>
      <c r="AA415" s="3" t="n">
        <f aca="false">IF(L415&gt;='Scoring Model'!$B$14,'Scoring Model'!$B$15,IF(L415&gt;='Scoring Model'!$B$16,'Scoring Model'!$B$17,0))</f>
        <v>8</v>
      </c>
      <c r="AB415" s="3" t="n">
        <f aca="false">IF(SUMPRODUCT(--ISNUMBER(SEARCH('Scoring Model'!$D$16:$D$25,K415)))&gt;0,'Scoring Model'!$B$18,0)</f>
        <v>15</v>
      </c>
      <c r="AC415" s="3" t="n">
        <f aca="false">IF(SUMPRODUCT(--ISNUMBER(SEARCH('Scoring Model'!$G$16:$G$23,K415)))&gt;0,'Scoring Model'!$B$19,0)</f>
        <v>0</v>
      </c>
      <c r="AD415" s="3" t="n">
        <f aca="false">IF(W415="Likely Spam","",SUM(X415:AC415))</f>
        <v>38</v>
      </c>
      <c r="AE415" s="3" t="str">
        <f aca="false">IF(W415="Likely Spam","Spam",IF(AD415&gt;='Scoring Model'!$B$21,"Hot",IF(AD415&gt;='Scoring Model'!$B$22,"Warm","Nurture")))</f>
        <v>Nurture</v>
      </c>
      <c r="AF415" s="3" t="str">
        <f aca="false">IF(W415="Likely Spam","Flagged by spam rules",TRIM(IF(X415&gt;=20,"Strong source. ","")&amp;IF(Y415&gt;0,"Company email. ","")&amp;IF(Z415&gt;=15,"High-value product. ","")&amp;IF(AA415&gt;='Scoring Model'!$B$15,"High engagement. ","")&amp;IF(AB415&gt;0,"Buying intent in message. ","")&amp;IF(AC415&lt;0,"Negative intent in message. ","")))</f>
        <v>Buying intent in message.</v>
      </c>
      <c r="AG415" s="11" t="n">
        <f aca="false">IF(W415="Likely Spam","",1/(1+EXP(-('Conversion Model'!$B$5+IFERROR(INDEX('Conversion Model'!$B$8:$B$14,MATCH(C415,'Conversion Model'!$A$8:$A$14,0)),0)+IFERROR(INDEX('Conversion Model'!$E$8:$E$9,MATCH(F415,'Conversion Model'!$D$8:$D$9,0)),0)+IFERROR(INDEX('Conversion Model'!$H$8:$H$12,MATCH(IF(LEFT(J415,8)="Payments","Payments",IF(LEFT(J415,7)="Lending","Lending",J415)),'Conversion Model'!$G$8:$G$12,0)),0)+MIN(L415,15)*'Conversion Model'!$B$17+IF(SUMPRODUCT(--ISNUMBER(SEARCH('Scoring Model'!$D$16:$D$25,K415)))&gt;0,'Conversion Model'!$B$18,0)+IF(SUMPRODUCT(--ISNUMBER(SEARCH('Scoring Model'!$G$16:$G$23,K415)))&gt;0,'Conversion Model'!$B$19,0)))))</f>
        <v>0.704537576204241</v>
      </c>
      <c r="AH415" s="3" t="str">
        <f aca="false">IF(OR(O415="Qualified",O415="Won",O415="Lost"),1,IF(O415="Unqualified",0,""))</f>
        <v/>
      </c>
    </row>
    <row r="416" customFormat="false" ht="15" hidden="false" customHeight="true" outlineLevel="0" collapsed="false">
      <c r="A416" s="3" t="s">
        <v>1582</v>
      </c>
      <c r="B416" s="9" t="n">
        <v>46128.0409722222</v>
      </c>
      <c r="C416" s="3" t="s">
        <v>51</v>
      </c>
      <c r="D416" s="3" t="s">
        <v>1097</v>
      </c>
      <c r="E416" s="3" t="s">
        <v>1583</v>
      </c>
      <c r="F416" s="3" t="s">
        <v>54</v>
      </c>
      <c r="G416" s="3" t="s">
        <v>321</v>
      </c>
      <c r="H416" s="3"/>
      <c r="I416" s="3" t="s">
        <v>260</v>
      </c>
      <c r="J416" s="3" t="s">
        <v>122</v>
      </c>
      <c r="K416" s="3" t="s">
        <v>322</v>
      </c>
      <c r="L416" s="3" t="n">
        <v>1</v>
      </c>
      <c r="M416" s="3"/>
      <c r="N416" s="3" t="s">
        <v>67</v>
      </c>
      <c r="O416" s="3" t="s">
        <v>68</v>
      </c>
      <c r="P416" s="10"/>
      <c r="Q416" s="3" t="n">
        <f aca="false">IF(F416="Disposable",1,0)</f>
        <v>0</v>
      </c>
      <c r="R416" s="3" t="n">
        <f aca="false">IF(SUMPRODUCT(--ISNUMBER(SEARCH('Spam Rules'!$A$22:$A$35,K416)))&gt;0,1,0)</f>
        <v>0</v>
      </c>
      <c r="S416" s="3" t="n">
        <f aca="false">IF(AND(F416="Free",G416=""),1,0)</f>
        <v>0</v>
      </c>
      <c r="T416" s="3" t="n">
        <f aca="false">IF(LEN(TRIM(K416))&lt;15,1,0)</f>
        <v>1</v>
      </c>
      <c r="U416" s="3" t="n">
        <f aca="false">IF(COUNTIF($E$2:$E$801,E416)&gt;1,1,0)</f>
        <v>1</v>
      </c>
      <c r="V416" s="3" t="n">
        <f aca="false">Q416*'Spam Rules'!$H$6+R416*'Spam Rules'!$H$7+S416*'Spam Rules'!$H$8+T416*'Spam Rules'!$H$9+U416*'Spam Rules'!$H$10</f>
        <v>1</v>
      </c>
      <c r="W416" s="3" t="str">
        <f aca="false">IF(V416&gt;='Spam Rules'!$B$3,"Likely Spam","Genuine")</f>
        <v>Likely Spam</v>
      </c>
      <c r="X416" s="3" t="n">
        <f aca="false">IFERROR(INDEX('Scoring Model'!$B$5:$B$11,MATCH(C416,'Scoring Model'!$A$5:$A$11,0)),0)</f>
        <v>10</v>
      </c>
      <c r="Y416" s="3" t="n">
        <f aca="false">IFERROR(INDEX('Scoring Model'!$E$5:$E$7,MATCH(F416,'Scoring Model'!$D$5:$D$7,0)),0)</f>
        <v>0</v>
      </c>
      <c r="Z416" s="3" t="n">
        <f aca="false">IFERROR(INDEX('Scoring Model'!$H$5:$H$13,MATCH(J416,'Scoring Model'!$G$5:$G$13,0)),0)</f>
        <v>15</v>
      </c>
      <c r="AA416" s="3" t="n">
        <f aca="false">IF(L416&gt;='Scoring Model'!$B$14,'Scoring Model'!$B$15,IF(L416&gt;='Scoring Model'!$B$16,'Scoring Model'!$B$17,0))</f>
        <v>0</v>
      </c>
      <c r="AB416" s="3" t="n">
        <f aca="false">IF(SUMPRODUCT(--ISNUMBER(SEARCH('Scoring Model'!$D$16:$D$25,K416)))&gt;0,'Scoring Model'!$B$18,0)</f>
        <v>0</v>
      </c>
      <c r="AC416" s="3" t="n">
        <f aca="false">IF(SUMPRODUCT(--ISNUMBER(SEARCH('Scoring Model'!$G$16:$G$23,K416)))&gt;0,'Scoring Model'!$B$19,0)</f>
        <v>0</v>
      </c>
      <c r="AD416" s="3" t="str">
        <f aca="false">IF(W416="Likely Spam","",SUM(X416:AC416))</f>
        <v/>
      </c>
      <c r="AE416" s="3" t="str">
        <f aca="false">IF(W416="Likely Spam","Spam",IF(AD416&gt;='Scoring Model'!$B$21,"Hot",IF(AD416&gt;='Scoring Model'!$B$22,"Warm","Nurture")))</f>
        <v>Spam</v>
      </c>
      <c r="AF416" s="3" t="str">
        <f aca="false">IF(W416="Likely Spam","Flagged by spam rules",TRIM(IF(X416&gt;=20,"Strong source. ","")&amp;IF(Y416&gt;0,"Company email. ","")&amp;IF(Z416&gt;=15,"High-value product. ","")&amp;IF(AA416&gt;='Scoring Model'!$B$15,"High engagement. ","")&amp;IF(AB416&gt;0,"Buying intent in message. ","")&amp;IF(AC416&lt;0,"Negative intent in message. ","")))</f>
        <v>Flagged by spam rules</v>
      </c>
      <c r="AG416" s="11" t="str">
        <f aca="false">IF(W416="Likely Spam","",1/(1+EXP(-('Conversion Model'!$B$5+IFERROR(INDEX('Conversion Model'!$B$8:$B$14,MATCH(C416,'Conversion Model'!$A$8:$A$14,0)),0)+IFERROR(INDEX('Conversion Model'!$E$8:$E$9,MATCH(F416,'Conversion Model'!$D$8:$D$9,0)),0)+IFERROR(INDEX('Conversion Model'!$H$8:$H$12,MATCH(IF(LEFT(J416,8)="Payments","Payments",IF(LEFT(J416,7)="Lending","Lending",J416)),'Conversion Model'!$G$8:$G$12,0)),0)+MIN(L416,15)*'Conversion Model'!$B$17+IF(SUMPRODUCT(--ISNUMBER(SEARCH('Scoring Model'!$D$16:$D$25,K416)))&gt;0,'Conversion Model'!$B$18,0)+IF(SUMPRODUCT(--ISNUMBER(SEARCH('Scoring Model'!$G$16:$G$23,K416)))&gt;0,'Conversion Model'!$B$19,0)))))</f>
        <v/>
      </c>
      <c r="AH416" s="3" t="str">
        <f aca="false">IF(OR(O416="Qualified",O416="Won",O416="Lost"),1,IF(O416="Unqualified",0,""))</f>
        <v/>
      </c>
    </row>
    <row r="417" customFormat="false" ht="15" hidden="false" customHeight="true" outlineLevel="0" collapsed="false">
      <c r="A417" s="3" t="s">
        <v>1584</v>
      </c>
      <c r="B417" s="9" t="n">
        <v>46128.0486111111</v>
      </c>
      <c r="C417" s="3" t="s">
        <v>51</v>
      </c>
      <c r="D417" s="3" t="s">
        <v>124</v>
      </c>
      <c r="E417" s="3" t="s">
        <v>1585</v>
      </c>
      <c r="F417" s="3" t="s">
        <v>54</v>
      </c>
      <c r="G417" s="3"/>
      <c r="H417" s="3"/>
      <c r="I417" s="3" t="s">
        <v>139</v>
      </c>
      <c r="J417" s="3" t="s">
        <v>122</v>
      </c>
      <c r="K417" s="3" t="s">
        <v>101</v>
      </c>
      <c r="L417" s="3" t="n">
        <v>4</v>
      </c>
      <c r="M417" s="3" t="n">
        <v>11.2</v>
      </c>
      <c r="N417" s="3" t="s">
        <v>96</v>
      </c>
      <c r="O417" s="3" t="s">
        <v>194</v>
      </c>
      <c r="P417" s="10"/>
      <c r="Q417" s="3" t="n">
        <f aca="false">IF(F417="Disposable",1,0)</f>
        <v>0</v>
      </c>
      <c r="R417" s="3" t="n">
        <f aca="false">IF(SUMPRODUCT(--ISNUMBER(SEARCH('Spam Rules'!$A$22:$A$35,K417)))&gt;0,1,0)</f>
        <v>0</v>
      </c>
      <c r="S417" s="3" t="n">
        <f aca="false">IF(AND(F417="Free",G417=""),1,0)</f>
        <v>1</v>
      </c>
      <c r="T417" s="3" t="n">
        <f aca="false">IF(LEN(TRIM(K417))&lt;15,1,0)</f>
        <v>0</v>
      </c>
      <c r="U417" s="3" t="n">
        <f aca="false">IF(COUNTIF($E$2:$E$801,E417)&gt;1,1,0)</f>
        <v>0</v>
      </c>
      <c r="V417" s="3" t="n">
        <f aca="false">Q417*'Spam Rules'!$H$6+R417*'Spam Rules'!$H$7+S417*'Spam Rules'!$H$8+T417*'Spam Rules'!$H$9+U417*'Spam Rules'!$H$10</f>
        <v>0</v>
      </c>
      <c r="W417" s="3" t="str">
        <f aca="false">IF(V417&gt;='Spam Rules'!$B$3,"Likely Spam","Genuine")</f>
        <v>Genuine</v>
      </c>
      <c r="X417" s="3" t="n">
        <f aca="false">IFERROR(INDEX('Scoring Model'!$B$5:$B$11,MATCH(C417,'Scoring Model'!$A$5:$A$11,0)),0)</f>
        <v>10</v>
      </c>
      <c r="Y417" s="3" t="n">
        <f aca="false">IFERROR(INDEX('Scoring Model'!$E$5:$E$7,MATCH(F417,'Scoring Model'!$D$5:$D$7,0)),0)</f>
        <v>0</v>
      </c>
      <c r="Z417" s="3" t="n">
        <f aca="false">IFERROR(INDEX('Scoring Model'!$H$5:$H$13,MATCH(J417,'Scoring Model'!$G$5:$G$13,0)),0)</f>
        <v>15</v>
      </c>
      <c r="AA417" s="3" t="n">
        <f aca="false">IF(L417&gt;='Scoring Model'!$B$14,'Scoring Model'!$B$15,IF(L417&gt;='Scoring Model'!$B$16,'Scoring Model'!$B$17,0))</f>
        <v>8</v>
      </c>
      <c r="AB417" s="3" t="n">
        <f aca="false">IF(SUMPRODUCT(--ISNUMBER(SEARCH('Scoring Model'!$D$16:$D$25,K417)))&gt;0,'Scoring Model'!$B$18,0)</f>
        <v>0</v>
      </c>
      <c r="AC417" s="3" t="n">
        <f aca="false">IF(SUMPRODUCT(--ISNUMBER(SEARCH('Scoring Model'!$G$16:$G$23,K417)))&gt;0,'Scoring Model'!$B$19,0)</f>
        <v>-30</v>
      </c>
      <c r="AD417" s="3" t="n">
        <f aca="false">IF(W417="Likely Spam","",SUM(X417:AC417))</f>
        <v>3</v>
      </c>
      <c r="AE417" s="3" t="str">
        <f aca="false">IF(W417="Likely Spam","Spam",IF(AD417&gt;='Scoring Model'!$B$21,"Hot",IF(AD417&gt;='Scoring Model'!$B$22,"Warm","Nurture")))</f>
        <v>Nurture</v>
      </c>
      <c r="AF417" s="3" t="str">
        <f aca="false">IF(W417="Likely Spam","Flagged by spam rules",TRIM(IF(X417&gt;=20,"Strong source. ","")&amp;IF(Y417&gt;0,"Company email. ","")&amp;IF(Z417&gt;=15,"High-value product. ","")&amp;IF(AA417&gt;='Scoring Model'!$B$15,"High engagement. ","")&amp;IF(AB417&gt;0,"Buying intent in message. ","")&amp;IF(AC417&lt;0,"Negative intent in message. ","")))</f>
        <v>High-value product. Negative intent in message.</v>
      </c>
      <c r="AG417" s="11" t="n">
        <f aca="false">IF(W417="Likely Spam","",1/(1+EXP(-('Conversion Model'!$B$5+IFERROR(INDEX('Conversion Model'!$B$8:$B$14,MATCH(C417,'Conversion Model'!$A$8:$A$14,0)),0)+IFERROR(INDEX('Conversion Model'!$E$8:$E$9,MATCH(F417,'Conversion Model'!$D$8:$D$9,0)),0)+IFERROR(INDEX('Conversion Model'!$H$8:$H$12,MATCH(IF(LEFT(J417,8)="Payments","Payments",IF(LEFT(J417,7)="Lending","Lending",J417)),'Conversion Model'!$G$8:$G$12,0)),0)+MIN(L417,15)*'Conversion Model'!$B$17+IF(SUMPRODUCT(--ISNUMBER(SEARCH('Scoring Model'!$D$16:$D$25,K417)))&gt;0,'Conversion Model'!$B$18,0)+IF(SUMPRODUCT(--ISNUMBER(SEARCH('Scoring Model'!$G$16:$G$23,K417)))&gt;0,'Conversion Model'!$B$19,0)))))</f>
        <v>0.0120448514195415</v>
      </c>
      <c r="AH417" s="3" t="n">
        <f aca="false">IF(OR(O417="Qualified",O417="Won",O417="Lost"),1,IF(O417="Unqualified",0,""))</f>
        <v>0</v>
      </c>
    </row>
    <row r="418" customFormat="false" ht="15" hidden="false" customHeight="true" outlineLevel="0" collapsed="false">
      <c r="A418" s="3" t="s">
        <v>1586</v>
      </c>
      <c r="B418" s="9" t="n">
        <v>46128.8847222222</v>
      </c>
      <c r="C418" s="3" t="s">
        <v>160</v>
      </c>
      <c r="D418" s="3" t="s">
        <v>341</v>
      </c>
      <c r="E418" s="3" t="s">
        <v>1587</v>
      </c>
      <c r="F418" s="3" t="s">
        <v>54</v>
      </c>
      <c r="G418" s="3" t="s">
        <v>237</v>
      </c>
      <c r="H418" s="3"/>
      <c r="I418" s="3" t="s">
        <v>88</v>
      </c>
      <c r="J418" s="3" t="s">
        <v>81</v>
      </c>
      <c r="K418" s="3" t="s">
        <v>66</v>
      </c>
      <c r="L418" s="3" t="n">
        <v>2</v>
      </c>
      <c r="M418" s="3" t="n">
        <v>20.9</v>
      </c>
      <c r="N418" s="3" t="s">
        <v>171</v>
      </c>
      <c r="O418" s="3"/>
      <c r="P418" s="10"/>
      <c r="Q418" s="3" t="n">
        <f aca="false">IF(F418="Disposable",1,0)</f>
        <v>0</v>
      </c>
      <c r="R418" s="3" t="n">
        <f aca="false">IF(SUMPRODUCT(--ISNUMBER(SEARCH('Spam Rules'!$A$22:$A$35,K418)))&gt;0,1,0)</f>
        <v>1</v>
      </c>
      <c r="S418" s="3" t="n">
        <f aca="false">IF(AND(F418="Free",G418=""),1,0)</f>
        <v>0</v>
      </c>
      <c r="T418" s="3" t="n">
        <f aca="false">IF(LEN(TRIM(K418))&lt;15,1,0)</f>
        <v>0</v>
      </c>
      <c r="U418" s="3" t="n">
        <f aca="false">IF(COUNTIF($E$2:$E$801,E418)&gt;1,1,0)</f>
        <v>0</v>
      </c>
      <c r="V418" s="3" t="n">
        <f aca="false">Q418*'Spam Rules'!$H$6+R418*'Spam Rules'!$H$7+S418*'Spam Rules'!$H$8+T418*'Spam Rules'!$H$9+U418*'Spam Rules'!$H$10</f>
        <v>1</v>
      </c>
      <c r="W418" s="3" t="str">
        <f aca="false">IF(V418&gt;='Spam Rules'!$B$3,"Likely Spam","Genuine")</f>
        <v>Likely Spam</v>
      </c>
      <c r="X418" s="3" t="n">
        <f aca="false">IFERROR(INDEX('Scoring Model'!$B$5:$B$11,MATCH(C418,'Scoring Model'!$A$5:$A$11,0)),0)</f>
        <v>25</v>
      </c>
      <c r="Y418" s="3" t="n">
        <f aca="false">IFERROR(INDEX('Scoring Model'!$E$5:$E$7,MATCH(F418,'Scoring Model'!$D$5:$D$7,0)),0)</f>
        <v>0</v>
      </c>
      <c r="Z418" s="3" t="n">
        <f aca="false">IFERROR(INDEX('Scoring Model'!$H$5:$H$13,MATCH(J418,'Scoring Model'!$G$5:$G$13,0)),0)</f>
        <v>5</v>
      </c>
      <c r="AA418" s="3" t="n">
        <f aca="false">IF(L418&gt;='Scoring Model'!$B$14,'Scoring Model'!$B$15,IF(L418&gt;='Scoring Model'!$B$16,'Scoring Model'!$B$17,0))</f>
        <v>0</v>
      </c>
      <c r="AB418" s="3" t="n">
        <f aca="false">IF(SUMPRODUCT(--ISNUMBER(SEARCH('Scoring Model'!$D$16:$D$25,K418)))&gt;0,'Scoring Model'!$B$18,0)</f>
        <v>0</v>
      </c>
      <c r="AC418" s="3" t="n">
        <f aca="false">IF(SUMPRODUCT(--ISNUMBER(SEARCH('Scoring Model'!$G$16:$G$23,K418)))&gt;0,'Scoring Model'!$B$19,0)</f>
        <v>0</v>
      </c>
      <c r="AD418" s="3" t="str">
        <f aca="false">IF(W418="Likely Spam","",SUM(X418:AC418))</f>
        <v/>
      </c>
      <c r="AE418" s="3" t="str">
        <f aca="false">IF(W418="Likely Spam","Spam",IF(AD418&gt;='Scoring Model'!$B$21,"Hot",IF(AD418&gt;='Scoring Model'!$B$22,"Warm","Nurture")))</f>
        <v>Spam</v>
      </c>
      <c r="AF418" s="3" t="str">
        <f aca="false">IF(W418="Likely Spam","Flagged by spam rules",TRIM(IF(X418&gt;=20,"Strong source. ","")&amp;IF(Y418&gt;0,"Company email. ","")&amp;IF(Z418&gt;=15,"High-value product. ","")&amp;IF(AA418&gt;='Scoring Model'!$B$15,"High engagement. ","")&amp;IF(AB418&gt;0,"Buying intent in message. ","")&amp;IF(AC418&lt;0,"Negative intent in message. ","")))</f>
        <v>Flagged by spam rules</v>
      </c>
      <c r="AG418" s="11" t="str">
        <f aca="false">IF(W418="Likely Spam","",1/(1+EXP(-('Conversion Model'!$B$5+IFERROR(INDEX('Conversion Model'!$B$8:$B$14,MATCH(C418,'Conversion Model'!$A$8:$A$14,0)),0)+IFERROR(INDEX('Conversion Model'!$E$8:$E$9,MATCH(F418,'Conversion Model'!$D$8:$D$9,0)),0)+IFERROR(INDEX('Conversion Model'!$H$8:$H$12,MATCH(IF(LEFT(J418,8)="Payments","Payments",IF(LEFT(J418,7)="Lending","Lending",J418)),'Conversion Model'!$G$8:$G$12,0)),0)+MIN(L418,15)*'Conversion Model'!$B$17+IF(SUMPRODUCT(--ISNUMBER(SEARCH('Scoring Model'!$D$16:$D$25,K418)))&gt;0,'Conversion Model'!$B$18,0)+IF(SUMPRODUCT(--ISNUMBER(SEARCH('Scoring Model'!$G$16:$G$23,K418)))&gt;0,'Conversion Model'!$B$19,0)))))</f>
        <v/>
      </c>
      <c r="AH418" s="3" t="str">
        <f aca="false">IF(OR(O418="Qualified",O418="Won",O418="Lost"),1,IF(O418="Unqualified",0,""))</f>
        <v/>
      </c>
    </row>
    <row r="419" customFormat="false" ht="15" hidden="false" customHeight="true" outlineLevel="0" collapsed="false">
      <c r="A419" s="3" t="s">
        <v>1588</v>
      </c>
      <c r="B419" s="9" t="n">
        <v>46129.3743055556</v>
      </c>
      <c r="C419" s="3" t="s">
        <v>76</v>
      </c>
      <c r="D419" s="3" t="s">
        <v>1589</v>
      </c>
      <c r="E419" s="3" t="s">
        <v>1590</v>
      </c>
      <c r="F419" s="3" t="s">
        <v>54</v>
      </c>
      <c r="G419" s="3"/>
      <c r="H419" s="3"/>
      <c r="I419" s="3" t="s">
        <v>88</v>
      </c>
      <c r="J419" s="3" t="s">
        <v>122</v>
      </c>
      <c r="K419" s="3" t="s">
        <v>349</v>
      </c>
      <c r="L419" s="3" t="n">
        <v>2</v>
      </c>
      <c r="M419" s="3" t="n">
        <v>5.9</v>
      </c>
      <c r="N419" s="3" t="s">
        <v>59</v>
      </c>
      <c r="O419" s="3" t="s">
        <v>194</v>
      </c>
      <c r="P419" s="10"/>
      <c r="Q419" s="3" t="n">
        <f aca="false">IF(F419="Disposable",1,0)</f>
        <v>0</v>
      </c>
      <c r="R419" s="3" t="n">
        <f aca="false">IF(SUMPRODUCT(--ISNUMBER(SEARCH('Spam Rules'!$A$22:$A$35,K419)))&gt;0,1,0)</f>
        <v>0</v>
      </c>
      <c r="S419" s="3" t="n">
        <f aca="false">IF(AND(F419="Free",G419=""),1,0)</f>
        <v>1</v>
      </c>
      <c r="T419" s="3" t="n">
        <f aca="false">IF(LEN(TRIM(K419))&lt;15,1,0)</f>
        <v>0</v>
      </c>
      <c r="U419" s="3" t="n">
        <f aca="false">IF(COUNTIF($E$2:$E$801,E419)&gt;1,1,0)</f>
        <v>0</v>
      </c>
      <c r="V419" s="3" t="n">
        <f aca="false">Q419*'Spam Rules'!$H$6+R419*'Spam Rules'!$H$7+S419*'Spam Rules'!$H$8+T419*'Spam Rules'!$H$9+U419*'Spam Rules'!$H$10</f>
        <v>0</v>
      </c>
      <c r="W419" s="3" t="str">
        <f aca="false">IF(V419&gt;='Spam Rules'!$B$3,"Likely Spam","Genuine")</f>
        <v>Genuine</v>
      </c>
      <c r="X419" s="3" t="n">
        <f aca="false">IFERROR(INDEX('Scoring Model'!$B$5:$B$11,MATCH(C419,'Scoring Model'!$A$5:$A$11,0)),0)</f>
        <v>0</v>
      </c>
      <c r="Y419" s="3" t="n">
        <f aca="false">IFERROR(INDEX('Scoring Model'!$E$5:$E$7,MATCH(F419,'Scoring Model'!$D$5:$D$7,0)),0)</f>
        <v>0</v>
      </c>
      <c r="Z419" s="3" t="n">
        <f aca="false">IFERROR(INDEX('Scoring Model'!$H$5:$H$13,MATCH(J419,'Scoring Model'!$G$5:$G$13,0)),0)</f>
        <v>15</v>
      </c>
      <c r="AA419" s="3" t="n">
        <f aca="false">IF(L419&gt;='Scoring Model'!$B$14,'Scoring Model'!$B$15,IF(L419&gt;='Scoring Model'!$B$16,'Scoring Model'!$B$17,0))</f>
        <v>0</v>
      </c>
      <c r="AB419" s="3" t="n">
        <f aca="false">IF(SUMPRODUCT(--ISNUMBER(SEARCH('Scoring Model'!$D$16:$D$25,K419)))&gt;0,'Scoring Model'!$B$18,0)</f>
        <v>0</v>
      </c>
      <c r="AC419" s="3" t="n">
        <f aca="false">IF(SUMPRODUCT(--ISNUMBER(SEARCH('Scoring Model'!$G$16:$G$23,K419)))&gt;0,'Scoring Model'!$B$19,0)</f>
        <v>-30</v>
      </c>
      <c r="AD419" s="3" t="n">
        <f aca="false">IF(W419="Likely Spam","",SUM(X419:AC419))</f>
        <v>-15</v>
      </c>
      <c r="AE419" s="3" t="str">
        <f aca="false">IF(W419="Likely Spam","Spam",IF(AD419&gt;='Scoring Model'!$B$21,"Hot",IF(AD419&gt;='Scoring Model'!$B$22,"Warm","Nurture")))</f>
        <v>Nurture</v>
      </c>
      <c r="AF419" s="3" t="str">
        <f aca="false">IF(W419="Likely Spam","Flagged by spam rules",TRIM(IF(X419&gt;=20,"Strong source. ","")&amp;IF(Y419&gt;0,"Company email. ","")&amp;IF(Z419&gt;=15,"High-value product. ","")&amp;IF(AA419&gt;='Scoring Model'!$B$15,"High engagement. ","")&amp;IF(AB419&gt;0,"Buying intent in message. ","")&amp;IF(AC419&lt;0,"Negative intent in message. ","")))</f>
        <v>High-value product. Negative intent in message.</v>
      </c>
      <c r="AG419" s="11" t="n">
        <f aca="false">IF(W419="Likely Spam","",1/(1+EXP(-('Conversion Model'!$B$5+IFERROR(INDEX('Conversion Model'!$B$8:$B$14,MATCH(C419,'Conversion Model'!$A$8:$A$14,0)),0)+IFERROR(INDEX('Conversion Model'!$E$8:$E$9,MATCH(F419,'Conversion Model'!$D$8:$D$9,0)),0)+IFERROR(INDEX('Conversion Model'!$H$8:$H$12,MATCH(IF(LEFT(J419,8)="Payments","Payments",IF(LEFT(J419,7)="Lending","Lending",J419)),'Conversion Model'!$G$8:$G$12,0)),0)+MIN(L419,15)*'Conversion Model'!$B$17+IF(SUMPRODUCT(--ISNUMBER(SEARCH('Scoring Model'!$D$16:$D$25,K419)))&gt;0,'Conversion Model'!$B$18,0)+IF(SUMPRODUCT(--ISNUMBER(SEARCH('Scoring Model'!$G$16:$G$23,K419)))&gt;0,'Conversion Model'!$B$19,0)))))</f>
        <v>0.00179312613955642</v>
      </c>
      <c r="AH419" s="3" t="n">
        <f aca="false">IF(OR(O419="Qualified",O419="Won",O419="Lost"),1,IF(O419="Unqualified",0,""))</f>
        <v>0</v>
      </c>
    </row>
    <row r="420" customFormat="false" ht="15" hidden="false" customHeight="true" outlineLevel="0" collapsed="false">
      <c r="A420" s="3" t="s">
        <v>1591</v>
      </c>
      <c r="B420" s="9" t="n">
        <v>46129.6048611111</v>
      </c>
      <c r="C420" s="3" t="s">
        <v>128</v>
      </c>
      <c r="D420" s="3" t="s">
        <v>1286</v>
      </c>
      <c r="E420" s="3" t="s">
        <v>1592</v>
      </c>
      <c r="F420" s="3" t="s">
        <v>54</v>
      </c>
      <c r="G420" s="3"/>
      <c r="H420" s="3"/>
      <c r="I420" s="3" t="s">
        <v>56</v>
      </c>
      <c r="J420" s="3" t="s">
        <v>122</v>
      </c>
      <c r="K420" s="3" t="s">
        <v>193</v>
      </c>
      <c r="L420" s="3" t="n">
        <v>2</v>
      </c>
      <c r="M420" s="3" t="n">
        <v>16.4</v>
      </c>
      <c r="N420" s="3" t="s">
        <v>59</v>
      </c>
      <c r="O420" s="3" t="s">
        <v>194</v>
      </c>
      <c r="P420" s="10"/>
      <c r="Q420" s="3" t="n">
        <f aca="false">IF(F420="Disposable",1,0)</f>
        <v>0</v>
      </c>
      <c r="R420" s="3" t="n">
        <f aca="false">IF(SUMPRODUCT(--ISNUMBER(SEARCH('Spam Rules'!$A$22:$A$35,K420)))&gt;0,1,0)</f>
        <v>0</v>
      </c>
      <c r="S420" s="3" t="n">
        <f aca="false">IF(AND(F420="Free",G420=""),1,0)</f>
        <v>1</v>
      </c>
      <c r="T420" s="3" t="n">
        <f aca="false">IF(LEN(TRIM(K420))&lt;15,1,0)</f>
        <v>0</v>
      </c>
      <c r="U420" s="3" t="n">
        <f aca="false">IF(COUNTIF($E$2:$E$801,E420)&gt;1,1,0)</f>
        <v>0</v>
      </c>
      <c r="V420" s="3" t="n">
        <f aca="false">Q420*'Spam Rules'!$H$6+R420*'Spam Rules'!$H$7+S420*'Spam Rules'!$H$8+T420*'Spam Rules'!$H$9+U420*'Spam Rules'!$H$10</f>
        <v>0</v>
      </c>
      <c r="W420" s="3" t="str">
        <f aca="false">IF(V420&gt;='Spam Rules'!$B$3,"Likely Spam","Genuine")</f>
        <v>Genuine</v>
      </c>
      <c r="X420" s="3" t="n">
        <f aca="false">IFERROR(INDEX('Scoring Model'!$B$5:$B$11,MATCH(C420,'Scoring Model'!$A$5:$A$11,0)),0)</f>
        <v>30</v>
      </c>
      <c r="Y420" s="3" t="n">
        <f aca="false">IFERROR(INDEX('Scoring Model'!$E$5:$E$7,MATCH(F420,'Scoring Model'!$D$5:$D$7,0)),0)</f>
        <v>0</v>
      </c>
      <c r="Z420" s="3" t="n">
        <f aca="false">IFERROR(INDEX('Scoring Model'!$H$5:$H$13,MATCH(J420,'Scoring Model'!$G$5:$G$13,0)),0)</f>
        <v>15</v>
      </c>
      <c r="AA420" s="3" t="n">
        <f aca="false">IF(L420&gt;='Scoring Model'!$B$14,'Scoring Model'!$B$15,IF(L420&gt;='Scoring Model'!$B$16,'Scoring Model'!$B$17,0))</f>
        <v>0</v>
      </c>
      <c r="AB420" s="3" t="n">
        <f aca="false">IF(SUMPRODUCT(--ISNUMBER(SEARCH('Scoring Model'!$D$16:$D$25,K420)))&gt;0,'Scoring Model'!$B$18,0)</f>
        <v>0</v>
      </c>
      <c r="AC420" s="3" t="n">
        <f aca="false">IF(SUMPRODUCT(--ISNUMBER(SEARCH('Scoring Model'!$G$16:$G$23,K420)))&gt;0,'Scoring Model'!$B$19,0)</f>
        <v>-30</v>
      </c>
      <c r="AD420" s="3" t="n">
        <f aca="false">IF(W420="Likely Spam","",SUM(X420:AC420))</f>
        <v>15</v>
      </c>
      <c r="AE420" s="3" t="str">
        <f aca="false">IF(W420="Likely Spam","Spam",IF(AD420&gt;='Scoring Model'!$B$21,"Hot",IF(AD420&gt;='Scoring Model'!$B$22,"Warm","Nurture")))</f>
        <v>Nurture</v>
      </c>
      <c r="AF420" s="3" t="str">
        <f aca="false">IF(W420="Likely Spam","Flagged by spam rules",TRIM(IF(X420&gt;=20,"Strong source. ","")&amp;IF(Y420&gt;0,"Company email. ","")&amp;IF(Z420&gt;=15,"High-value product. ","")&amp;IF(AA420&gt;='Scoring Model'!$B$15,"High engagement. ","")&amp;IF(AB420&gt;0,"Buying intent in message. ","")&amp;IF(AC420&lt;0,"Negative intent in message. ","")))</f>
        <v>Strong source. High-value product. Negative intent in message.</v>
      </c>
      <c r="AG420" s="11" t="n">
        <f aca="false">IF(W420="Likely Spam","",1/(1+EXP(-('Conversion Model'!$B$5+IFERROR(INDEX('Conversion Model'!$B$8:$B$14,MATCH(C420,'Conversion Model'!$A$8:$A$14,0)),0)+IFERROR(INDEX('Conversion Model'!$E$8:$E$9,MATCH(F420,'Conversion Model'!$D$8:$D$9,0)),0)+IFERROR(INDEX('Conversion Model'!$H$8:$H$12,MATCH(IF(LEFT(J420,8)="Payments","Payments",IF(LEFT(J420,7)="Lending","Lending",J420)),'Conversion Model'!$G$8:$G$12,0)),0)+MIN(L420,15)*'Conversion Model'!$B$17+IF(SUMPRODUCT(--ISNUMBER(SEARCH('Scoring Model'!$D$16:$D$25,K420)))&gt;0,'Conversion Model'!$B$18,0)+IF(SUMPRODUCT(--ISNUMBER(SEARCH('Scoring Model'!$G$16:$G$23,K420)))&gt;0,'Conversion Model'!$B$19,0)))))</f>
        <v>0.00804202360656851</v>
      </c>
      <c r="AH420" s="3" t="n">
        <f aca="false">IF(OR(O420="Qualified",O420="Won",O420="Lost"),1,IF(O420="Unqualified",0,""))</f>
        <v>0</v>
      </c>
    </row>
    <row r="421" customFormat="false" ht="15" hidden="false" customHeight="true" outlineLevel="0" collapsed="false">
      <c r="A421" s="3" t="s">
        <v>1593</v>
      </c>
      <c r="B421" s="9" t="n">
        <v>46129.8291666667</v>
      </c>
      <c r="C421" s="3" t="s">
        <v>135</v>
      </c>
      <c r="D421" s="3" t="s">
        <v>911</v>
      </c>
      <c r="E421" s="3" t="s">
        <v>1594</v>
      </c>
      <c r="F421" s="3" t="s">
        <v>54</v>
      </c>
      <c r="G421" s="3" t="s">
        <v>725</v>
      </c>
      <c r="H421" s="3"/>
      <c r="I421" s="3" t="s">
        <v>188</v>
      </c>
      <c r="J421" s="3" t="s">
        <v>145</v>
      </c>
      <c r="K421" s="3" t="s">
        <v>349</v>
      </c>
      <c r="L421" s="3" t="n">
        <v>4</v>
      </c>
      <c r="M421" s="3" t="n">
        <v>14.4</v>
      </c>
      <c r="N421" s="3" t="s">
        <v>96</v>
      </c>
      <c r="O421" s="3" t="s">
        <v>194</v>
      </c>
      <c r="P421" s="10"/>
      <c r="Q421" s="3" t="n">
        <f aca="false">IF(F421="Disposable",1,0)</f>
        <v>0</v>
      </c>
      <c r="R421" s="3" t="n">
        <f aca="false">IF(SUMPRODUCT(--ISNUMBER(SEARCH('Spam Rules'!$A$22:$A$35,K421)))&gt;0,1,0)</f>
        <v>0</v>
      </c>
      <c r="S421" s="3" t="n">
        <f aca="false">IF(AND(F421="Free",G421=""),1,0)</f>
        <v>0</v>
      </c>
      <c r="T421" s="3" t="n">
        <f aca="false">IF(LEN(TRIM(K421))&lt;15,1,0)</f>
        <v>0</v>
      </c>
      <c r="U421" s="3" t="n">
        <f aca="false">IF(COUNTIF($E$2:$E$801,E421)&gt;1,1,0)</f>
        <v>0</v>
      </c>
      <c r="V421" s="3" t="n">
        <f aca="false">Q421*'Spam Rules'!$H$6+R421*'Spam Rules'!$H$7+S421*'Spam Rules'!$H$8+T421*'Spam Rules'!$H$9+U421*'Spam Rules'!$H$10</f>
        <v>0</v>
      </c>
      <c r="W421" s="3" t="str">
        <f aca="false">IF(V421&gt;='Spam Rules'!$B$3,"Likely Spam","Genuine")</f>
        <v>Genuine</v>
      </c>
      <c r="X421" s="3" t="n">
        <f aca="false">IFERROR(INDEX('Scoring Model'!$B$5:$B$11,MATCH(C421,'Scoring Model'!$A$5:$A$11,0)),0)</f>
        <v>20</v>
      </c>
      <c r="Y421" s="3" t="n">
        <f aca="false">IFERROR(INDEX('Scoring Model'!$E$5:$E$7,MATCH(F421,'Scoring Model'!$D$5:$D$7,0)),0)</f>
        <v>0</v>
      </c>
      <c r="Z421" s="3" t="n">
        <f aca="false">IFERROR(INDEX('Scoring Model'!$H$5:$H$13,MATCH(J421,'Scoring Model'!$G$5:$G$13,0)),0)</f>
        <v>5</v>
      </c>
      <c r="AA421" s="3" t="n">
        <f aca="false">IF(L421&gt;='Scoring Model'!$B$14,'Scoring Model'!$B$15,IF(L421&gt;='Scoring Model'!$B$16,'Scoring Model'!$B$17,0))</f>
        <v>8</v>
      </c>
      <c r="AB421" s="3" t="n">
        <f aca="false">IF(SUMPRODUCT(--ISNUMBER(SEARCH('Scoring Model'!$D$16:$D$25,K421)))&gt;0,'Scoring Model'!$B$18,0)</f>
        <v>0</v>
      </c>
      <c r="AC421" s="3" t="n">
        <f aca="false">IF(SUMPRODUCT(--ISNUMBER(SEARCH('Scoring Model'!$G$16:$G$23,K421)))&gt;0,'Scoring Model'!$B$19,0)</f>
        <v>-30</v>
      </c>
      <c r="AD421" s="3" t="n">
        <f aca="false">IF(W421="Likely Spam","",SUM(X421:AC421))</f>
        <v>3</v>
      </c>
      <c r="AE421" s="3" t="str">
        <f aca="false">IF(W421="Likely Spam","Spam",IF(AD421&gt;='Scoring Model'!$B$21,"Hot",IF(AD421&gt;='Scoring Model'!$B$22,"Warm","Nurture")))</f>
        <v>Nurture</v>
      </c>
      <c r="AF421" s="3" t="str">
        <f aca="false">IF(W421="Likely Spam","Flagged by spam rules",TRIM(IF(X421&gt;=20,"Strong source. ","")&amp;IF(Y421&gt;0,"Company email. ","")&amp;IF(Z421&gt;=15,"High-value product. ","")&amp;IF(AA421&gt;='Scoring Model'!$B$15,"High engagement. ","")&amp;IF(AB421&gt;0,"Buying intent in message. ","")&amp;IF(AC421&lt;0,"Negative intent in message. ","")))</f>
        <v>Strong source. Negative intent in message.</v>
      </c>
      <c r="AG421" s="11" t="n">
        <f aca="false">IF(W421="Likely Spam","",1/(1+EXP(-('Conversion Model'!$B$5+IFERROR(INDEX('Conversion Model'!$B$8:$B$14,MATCH(C421,'Conversion Model'!$A$8:$A$14,0)),0)+IFERROR(INDEX('Conversion Model'!$E$8:$E$9,MATCH(F421,'Conversion Model'!$D$8:$D$9,0)),0)+IFERROR(INDEX('Conversion Model'!$H$8:$H$12,MATCH(IF(LEFT(J421,8)="Payments","Payments",IF(LEFT(J421,7)="Lending","Lending",J421)),'Conversion Model'!$G$8:$G$12,0)),0)+MIN(L421,15)*'Conversion Model'!$B$17+IF(SUMPRODUCT(--ISNUMBER(SEARCH('Scoring Model'!$D$16:$D$25,K421)))&gt;0,'Conversion Model'!$B$18,0)+IF(SUMPRODUCT(--ISNUMBER(SEARCH('Scoring Model'!$G$16:$G$23,K421)))&gt;0,'Conversion Model'!$B$19,0)))))</f>
        <v>0.033310650865359</v>
      </c>
      <c r="AH421" s="3" t="n">
        <f aca="false">IF(OR(O421="Qualified",O421="Won",O421="Lost"),1,IF(O421="Unqualified",0,""))</f>
        <v>0</v>
      </c>
    </row>
    <row r="422" customFormat="false" ht="15" hidden="false" customHeight="true" outlineLevel="0" collapsed="false">
      <c r="A422" s="3" t="s">
        <v>1595</v>
      </c>
      <c r="B422" s="9" t="n">
        <v>46130.2222222222</v>
      </c>
      <c r="C422" s="3" t="s">
        <v>76</v>
      </c>
      <c r="D422" s="3" t="s">
        <v>591</v>
      </c>
      <c r="E422" s="3" t="s">
        <v>1529</v>
      </c>
      <c r="F422" s="3" t="s">
        <v>63</v>
      </c>
      <c r="G422" s="3"/>
      <c r="H422" s="3"/>
      <c r="I422" s="3" t="s">
        <v>116</v>
      </c>
      <c r="J422" s="3" t="s">
        <v>65</v>
      </c>
      <c r="K422" s="3" t="s">
        <v>66</v>
      </c>
      <c r="L422" s="3" t="n">
        <v>2</v>
      </c>
      <c r="M422" s="3" t="n">
        <v>12.6</v>
      </c>
      <c r="N422" s="3" t="s">
        <v>59</v>
      </c>
      <c r="O422" s="3"/>
      <c r="P422" s="10"/>
      <c r="Q422" s="3" t="n">
        <f aca="false">IF(F422="Disposable",1,0)</f>
        <v>1</v>
      </c>
      <c r="R422" s="3" t="n">
        <f aca="false">IF(SUMPRODUCT(--ISNUMBER(SEARCH('Spam Rules'!$A$22:$A$35,K422)))&gt;0,1,0)</f>
        <v>1</v>
      </c>
      <c r="S422" s="3" t="n">
        <f aca="false">IF(AND(F422="Free",G422=""),1,0)</f>
        <v>0</v>
      </c>
      <c r="T422" s="3" t="n">
        <f aca="false">IF(LEN(TRIM(K422))&lt;15,1,0)</f>
        <v>0</v>
      </c>
      <c r="U422" s="3" t="n">
        <f aca="false">IF(COUNTIF($E$2:$E$801,E422)&gt;1,1,0)</f>
        <v>1</v>
      </c>
      <c r="V422" s="3" t="n">
        <f aca="false">Q422*'Spam Rules'!$H$6+R422*'Spam Rules'!$H$7+S422*'Spam Rules'!$H$8+T422*'Spam Rules'!$H$9+U422*'Spam Rules'!$H$10</f>
        <v>2</v>
      </c>
      <c r="W422" s="3" t="str">
        <f aca="false">IF(V422&gt;='Spam Rules'!$B$3,"Likely Spam","Genuine")</f>
        <v>Likely Spam</v>
      </c>
      <c r="X422" s="3" t="n">
        <f aca="false">IFERROR(INDEX('Scoring Model'!$B$5:$B$11,MATCH(C422,'Scoring Model'!$A$5:$A$11,0)),0)</f>
        <v>0</v>
      </c>
      <c r="Y422" s="3" t="n">
        <f aca="false">IFERROR(INDEX('Scoring Model'!$E$5:$E$7,MATCH(F422,'Scoring Model'!$D$5:$D$7,0)),0)</f>
        <v>0</v>
      </c>
      <c r="Z422" s="3" t="n">
        <f aca="false">IFERROR(INDEX('Scoring Model'!$H$5:$H$13,MATCH(J422,'Scoring Model'!$G$5:$G$13,0)),0)</f>
        <v>0</v>
      </c>
      <c r="AA422" s="3" t="n">
        <f aca="false">IF(L422&gt;='Scoring Model'!$B$14,'Scoring Model'!$B$15,IF(L422&gt;='Scoring Model'!$B$16,'Scoring Model'!$B$17,0))</f>
        <v>0</v>
      </c>
      <c r="AB422" s="3" t="n">
        <f aca="false">IF(SUMPRODUCT(--ISNUMBER(SEARCH('Scoring Model'!$D$16:$D$25,K422)))&gt;0,'Scoring Model'!$B$18,0)</f>
        <v>0</v>
      </c>
      <c r="AC422" s="3" t="n">
        <f aca="false">IF(SUMPRODUCT(--ISNUMBER(SEARCH('Scoring Model'!$G$16:$G$23,K422)))&gt;0,'Scoring Model'!$B$19,0)</f>
        <v>0</v>
      </c>
      <c r="AD422" s="3" t="str">
        <f aca="false">IF(W422="Likely Spam","",SUM(X422:AC422))</f>
        <v/>
      </c>
      <c r="AE422" s="3" t="str">
        <f aca="false">IF(W422="Likely Spam","Spam",IF(AD422&gt;='Scoring Model'!$B$21,"Hot",IF(AD422&gt;='Scoring Model'!$B$22,"Warm","Nurture")))</f>
        <v>Spam</v>
      </c>
      <c r="AF422" s="3" t="str">
        <f aca="false">IF(W422="Likely Spam","Flagged by spam rules",TRIM(IF(X422&gt;=20,"Strong source. ","")&amp;IF(Y422&gt;0,"Company email. ","")&amp;IF(Z422&gt;=15,"High-value product. ","")&amp;IF(AA422&gt;='Scoring Model'!$B$15,"High engagement. ","")&amp;IF(AB422&gt;0,"Buying intent in message. ","")&amp;IF(AC422&lt;0,"Negative intent in message. ","")))</f>
        <v>Flagged by spam rules</v>
      </c>
      <c r="AG422" s="11" t="str">
        <f aca="false">IF(W422="Likely Spam","",1/(1+EXP(-('Conversion Model'!$B$5+IFERROR(INDEX('Conversion Model'!$B$8:$B$14,MATCH(C422,'Conversion Model'!$A$8:$A$14,0)),0)+IFERROR(INDEX('Conversion Model'!$E$8:$E$9,MATCH(F422,'Conversion Model'!$D$8:$D$9,0)),0)+IFERROR(INDEX('Conversion Model'!$H$8:$H$12,MATCH(IF(LEFT(J422,8)="Payments","Payments",IF(LEFT(J422,7)="Lending","Lending",J422)),'Conversion Model'!$G$8:$G$12,0)),0)+MIN(L422,15)*'Conversion Model'!$B$17+IF(SUMPRODUCT(--ISNUMBER(SEARCH('Scoring Model'!$D$16:$D$25,K422)))&gt;0,'Conversion Model'!$B$18,0)+IF(SUMPRODUCT(--ISNUMBER(SEARCH('Scoring Model'!$G$16:$G$23,K422)))&gt;0,'Conversion Model'!$B$19,0)))))</f>
        <v/>
      </c>
      <c r="AH422" s="3" t="str">
        <f aca="false">IF(OR(O422="Qualified",O422="Won",O422="Lost"),1,IF(O422="Unqualified",0,""))</f>
        <v/>
      </c>
    </row>
    <row r="423" customFormat="false" ht="15" hidden="false" customHeight="true" outlineLevel="0" collapsed="false">
      <c r="A423" s="3" t="s">
        <v>1596</v>
      </c>
      <c r="B423" s="9" t="n">
        <v>46130.7270833333</v>
      </c>
      <c r="C423" s="3" t="s">
        <v>91</v>
      </c>
      <c r="D423" s="3" t="s">
        <v>294</v>
      </c>
      <c r="E423" s="3" t="s">
        <v>1597</v>
      </c>
      <c r="F423" s="3" t="s">
        <v>22</v>
      </c>
      <c r="G423" s="3" t="s">
        <v>786</v>
      </c>
      <c r="H423" s="3" t="s">
        <v>787</v>
      </c>
      <c r="I423" s="3" t="s">
        <v>139</v>
      </c>
      <c r="J423" s="3" t="s">
        <v>57</v>
      </c>
      <c r="K423" s="3" t="s">
        <v>1598</v>
      </c>
      <c r="L423" s="3" t="n">
        <v>10</v>
      </c>
      <c r="M423" s="3" t="n">
        <v>29.1</v>
      </c>
      <c r="N423" s="3" t="s">
        <v>59</v>
      </c>
      <c r="O423" s="3" t="s">
        <v>331</v>
      </c>
      <c r="P423" s="10"/>
      <c r="Q423" s="3" t="n">
        <f aca="false">IF(F423="Disposable",1,0)</f>
        <v>0</v>
      </c>
      <c r="R423" s="3" t="n">
        <f aca="false">IF(SUMPRODUCT(--ISNUMBER(SEARCH('Spam Rules'!$A$22:$A$35,K423)))&gt;0,1,0)</f>
        <v>0</v>
      </c>
      <c r="S423" s="3" t="n">
        <f aca="false">IF(AND(F423="Free",G423=""),1,0)</f>
        <v>0</v>
      </c>
      <c r="T423" s="3" t="n">
        <f aca="false">IF(LEN(TRIM(K423))&lt;15,1,0)</f>
        <v>0</v>
      </c>
      <c r="U423" s="3" t="n">
        <f aca="false">IF(COUNTIF($E$2:$E$801,E423)&gt;1,1,0)</f>
        <v>0</v>
      </c>
      <c r="V423" s="3" t="n">
        <f aca="false">Q423*'Spam Rules'!$H$6+R423*'Spam Rules'!$H$7+S423*'Spam Rules'!$H$8+T423*'Spam Rules'!$H$9+U423*'Spam Rules'!$H$10</f>
        <v>0</v>
      </c>
      <c r="W423" s="3" t="str">
        <f aca="false">IF(V423&gt;='Spam Rules'!$B$3,"Likely Spam","Genuine")</f>
        <v>Genuine</v>
      </c>
      <c r="X423" s="3" t="n">
        <f aca="false">IFERROR(INDEX('Scoring Model'!$B$5:$B$11,MATCH(C423,'Scoring Model'!$A$5:$A$11,0)),0)</f>
        <v>5</v>
      </c>
      <c r="Y423" s="3" t="n">
        <f aca="false">IFERROR(INDEX('Scoring Model'!$E$5:$E$7,MATCH(F423,'Scoring Model'!$D$5:$D$7,0)),0)</f>
        <v>20</v>
      </c>
      <c r="Z423" s="3" t="n">
        <f aca="false">IFERROR(INDEX('Scoring Model'!$H$5:$H$13,MATCH(J423,'Scoring Model'!$G$5:$G$13,0)),0)</f>
        <v>15</v>
      </c>
      <c r="AA423" s="3" t="n">
        <f aca="false">IF(L423&gt;='Scoring Model'!$B$14,'Scoring Model'!$B$15,IF(L423&gt;='Scoring Model'!$B$16,'Scoring Model'!$B$17,0))</f>
        <v>15</v>
      </c>
      <c r="AB423" s="3" t="n">
        <f aca="false">IF(SUMPRODUCT(--ISNUMBER(SEARCH('Scoring Model'!$D$16:$D$25,K423)))&gt;0,'Scoring Model'!$B$18,0)</f>
        <v>15</v>
      </c>
      <c r="AC423" s="3" t="n">
        <f aca="false">IF(SUMPRODUCT(--ISNUMBER(SEARCH('Scoring Model'!$G$16:$G$23,K423)))&gt;0,'Scoring Model'!$B$19,0)</f>
        <v>0</v>
      </c>
      <c r="AD423" s="3" t="n">
        <f aca="false">IF(W423="Likely Spam","",SUM(X423:AC423))</f>
        <v>70</v>
      </c>
      <c r="AE423" s="3" t="str">
        <f aca="false">IF(W423="Likely Spam","Spam",IF(AD423&gt;='Scoring Model'!$B$21,"Hot",IF(AD423&gt;='Scoring Model'!$B$22,"Warm","Nurture")))</f>
        <v>Hot</v>
      </c>
      <c r="AF423" s="3" t="str">
        <f aca="false">IF(W423="Likely Spam","Flagged by spam rules",TRIM(IF(X423&gt;=20,"Strong source. ","")&amp;IF(Y423&gt;0,"Company email. ","")&amp;IF(Z423&gt;=15,"High-value product. ","")&amp;IF(AA423&gt;='Scoring Model'!$B$15,"High engagement. ","")&amp;IF(AB423&gt;0,"Buying intent in message. ","")&amp;IF(AC423&lt;0,"Negative intent in message. ","")))</f>
        <v>Company email. High-value product. High engagement. Buying intent in message.</v>
      </c>
      <c r="AG423" s="11" t="n">
        <f aca="false">IF(W423="Likely Spam","",1/(1+EXP(-('Conversion Model'!$B$5+IFERROR(INDEX('Conversion Model'!$B$8:$B$14,MATCH(C423,'Conversion Model'!$A$8:$A$14,0)),0)+IFERROR(INDEX('Conversion Model'!$E$8:$E$9,MATCH(F423,'Conversion Model'!$D$8:$D$9,0)),0)+IFERROR(INDEX('Conversion Model'!$H$8:$H$12,MATCH(IF(LEFT(J423,8)="Payments","Payments",IF(LEFT(J423,7)="Lending","Lending",J423)),'Conversion Model'!$G$8:$G$12,0)),0)+MIN(L423,15)*'Conversion Model'!$B$17+IF(SUMPRODUCT(--ISNUMBER(SEARCH('Scoring Model'!$D$16:$D$25,K423)))&gt;0,'Conversion Model'!$B$18,0)+IF(SUMPRODUCT(--ISNUMBER(SEARCH('Scoring Model'!$G$16:$G$23,K423)))&gt;0,'Conversion Model'!$B$19,0)))))</f>
        <v>0.988826787446895</v>
      </c>
      <c r="AH423" s="3" t="n">
        <f aca="false">IF(OR(O423="Qualified",O423="Won",O423="Lost"),1,IF(O423="Unqualified",0,""))</f>
        <v>1</v>
      </c>
    </row>
    <row r="424" customFormat="false" ht="15" hidden="false" customHeight="true" outlineLevel="0" collapsed="false">
      <c r="A424" s="3" t="s">
        <v>1599</v>
      </c>
      <c r="B424" s="9" t="n">
        <v>46131.1458333333</v>
      </c>
      <c r="C424" s="3" t="s">
        <v>51</v>
      </c>
      <c r="D424" s="3" t="s">
        <v>1548</v>
      </c>
      <c r="E424" s="3" t="s">
        <v>1600</v>
      </c>
      <c r="F424" s="3" t="s">
        <v>63</v>
      </c>
      <c r="G424" s="3"/>
      <c r="H424" s="3"/>
      <c r="I424" s="3" t="s">
        <v>227</v>
      </c>
      <c r="J424" s="3" t="s">
        <v>65</v>
      </c>
      <c r="K424" s="3" t="s">
        <v>239</v>
      </c>
      <c r="L424" s="3" t="n">
        <v>1</v>
      </c>
      <c r="M424" s="3" t="n">
        <v>13.2</v>
      </c>
      <c r="N424" s="3" t="s">
        <v>59</v>
      </c>
      <c r="O424" s="3"/>
      <c r="P424" s="10"/>
      <c r="Q424" s="3" t="n">
        <f aca="false">IF(F424="Disposable",1,0)</f>
        <v>1</v>
      </c>
      <c r="R424" s="3" t="n">
        <f aca="false">IF(SUMPRODUCT(--ISNUMBER(SEARCH('Spam Rules'!$A$22:$A$35,K424)))&gt;0,1,0)</f>
        <v>1</v>
      </c>
      <c r="S424" s="3" t="n">
        <f aca="false">IF(AND(F424="Free",G424=""),1,0)</f>
        <v>0</v>
      </c>
      <c r="T424" s="3" t="n">
        <f aca="false">IF(LEN(TRIM(K424))&lt;15,1,0)</f>
        <v>0</v>
      </c>
      <c r="U424" s="3" t="n">
        <f aca="false">IF(COUNTIF($E$2:$E$801,E424)&gt;1,1,0)</f>
        <v>0</v>
      </c>
      <c r="V424" s="3" t="n">
        <f aca="false">Q424*'Spam Rules'!$H$6+R424*'Spam Rules'!$H$7+S424*'Spam Rules'!$H$8+T424*'Spam Rules'!$H$9+U424*'Spam Rules'!$H$10</f>
        <v>2</v>
      </c>
      <c r="W424" s="3" t="str">
        <f aca="false">IF(V424&gt;='Spam Rules'!$B$3,"Likely Spam","Genuine")</f>
        <v>Likely Spam</v>
      </c>
      <c r="X424" s="3" t="n">
        <f aca="false">IFERROR(INDEX('Scoring Model'!$B$5:$B$11,MATCH(C424,'Scoring Model'!$A$5:$A$11,0)),0)</f>
        <v>10</v>
      </c>
      <c r="Y424" s="3" t="n">
        <f aca="false">IFERROR(INDEX('Scoring Model'!$E$5:$E$7,MATCH(F424,'Scoring Model'!$D$5:$D$7,0)),0)</f>
        <v>0</v>
      </c>
      <c r="Z424" s="3" t="n">
        <f aca="false">IFERROR(INDEX('Scoring Model'!$H$5:$H$13,MATCH(J424,'Scoring Model'!$G$5:$G$13,0)),0)</f>
        <v>0</v>
      </c>
      <c r="AA424" s="3" t="n">
        <f aca="false">IF(L424&gt;='Scoring Model'!$B$14,'Scoring Model'!$B$15,IF(L424&gt;='Scoring Model'!$B$16,'Scoring Model'!$B$17,0))</f>
        <v>0</v>
      </c>
      <c r="AB424" s="3" t="n">
        <f aca="false">IF(SUMPRODUCT(--ISNUMBER(SEARCH('Scoring Model'!$D$16:$D$25,K424)))&gt;0,'Scoring Model'!$B$18,0)</f>
        <v>0</v>
      </c>
      <c r="AC424" s="3" t="n">
        <f aca="false">IF(SUMPRODUCT(--ISNUMBER(SEARCH('Scoring Model'!$G$16:$G$23,K424)))&gt;0,'Scoring Model'!$B$19,0)</f>
        <v>0</v>
      </c>
      <c r="AD424" s="3" t="str">
        <f aca="false">IF(W424="Likely Spam","",SUM(X424:AC424))</f>
        <v/>
      </c>
      <c r="AE424" s="3" t="str">
        <f aca="false">IF(W424="Likely Spam","Spam",IF(AD424&gt;='Scoring Model'!$B$21,"Hot",IF(AD424&gt;='Scoring Model'!$B$22,"Warm","Nurture")))</f>
        <v>Spam</v>
      </c>
      <c r="AF424" s="3" t="str">
        <f aca="false">IF(W424="Likely Spam","Flagged by spam rules",TRIM(IF(X424&gt;=20,"Strong source. ","")&amp;IF(Y424&gt;0,"Company email. ","")&amp;IF(Z424&gt;=15,"High-value product. ","")&amp;IF(AA424&gt;='Scoring Model'!$B$15,"High engagement. ","")&amp;IF(AB424&gt;0,"Buying intent in message. ","")&amp;IF(AC424&lt;0,"Negative intent in message. ","")))</f>
        <v>Flagged by spam rules</v>
      </c>
      <c r="AG424" s="11" t="str">
        <f aca="false">IF(W424="Likely Spam","",1/(1+EXP(-('Conversion Model'!$B$5+IFERROR(INDEX('Conversion Model'!$B$8:$B$14,MATCH(C424,'Conversion Model'!$A$8:$A$14,0)),0)+IFERROR(INDEX('Conversion Model'!$E$8:$E$9,MATCH(F424,'Conversion Model'!$D$8:$D$9,0)),0)+IFERROR(INDEX('Conversion Model'!$H$8:$H$12,MATCH(IF(LEFT(J424,8)="Payments","Payments",IF(LEFT(J424,7)="Lending","Lending",J424)),'Conversion Model'!$G$8:$G$12,0)),0)+MIN(L424,15)*'Conversion Model'!$B$17+IF(SUMPRODUCT(--ISNUMBER(SEARCH('Scoring Model'!$D$16:$D$25,K424)))&gt;0,'Conversion Model'!$B$18,0)+IF(SUMPRODUCT(--ISNUMBER(SEARCH('Scoring Model'!$G$16:$G$23,K424)))&gt;0,'Conversion Model'!$B$19,0)))))</f>
        <v/>
      </c>
      <c r="AH424" s="3" t="str">
        <f aca="false">IF(OR(O424="Qualified",O424="Won",O424="Lost"),1,IF(O424="Unqualified",0,""))</f>
        <v/>
      </c>
    </row>
    <row r="425" customFormat="false" ht="15" hidden="false" customHeight="true" outlineLevel="0" collapsed="false">
      <c r="A425" s="3" t="s">
        <v>1601</v>
      </c>
      <c r="B425" s="9" t="n">
        <v>46132.5722222222</v>
      </c>
      <c r="C425" s="3" t="s">
        <v>112</v>
      </c>
      <c r="D425" s="3" t="s">
        <v>1296</v>
      </c>
      <c r="E425" s="3" t="s">
        <v>1602</v>
      </c>
      <c r="F425" s="3" t="s">
        <v>54</v>
      </c>
      <c r="G425" s="3" t="s">
        <v>1603</v>
      </c>
      <c r="H425" s="3"/>
      <c r="I425" s="3" t="s">
        <v>334</v>
      </c>
      <c r="J425" s="3" t="s">
        <v>81</v>
      </c>
      <c r="K425" s="3" t="s">
        <v>193</v>
      </c>
      <c r="L425" s="3" t="n">
        <v>3</v>
      </c>
      <c r="M425" s="3" t="n">
        <v>4.5</v>
      </c>
      <c r="N425" s="3" t="s">
        <v>67</v>
      </c>
      <c r="O425" s="3" t="s">
        <v>194</v>
      </c>
      <c r="P425" s="10"/>
      <c r="Q425" s="3" t="n">
        <f aca="false">IF(F425="Disposable",1,0)</f>
        <v>0</v>
      </c>
      <c r="R425" s="3" t="n">
        <f aca="false">IF(SUMPRODUCT(--ISNUMBER(SEARCH('Spam Rules'!$A$22:$A$35,K425)))&gt;0,1,0)</f>
        <v>0</v>
      </c>
      <c r="S425" s="3" t="n">
        <f aca="false">IF(AND(F425="Free",G425=""),1,0)</f>
        <v>0</v>
      </c>
      <c r="T425" s="3" t="n">
        <f aca="false">IF(LEN(TRIM(K425))&lt;15,1,0)</f>
        <v>0</v>
      </c>
      <c r="U425" s="3" t="n">
        <f aca="false">IF(COUNTIF($E$2:$E$801,E425)&gt;1,1,0)</f>
        <v>0</v>
      </c>
      <c r="V425" s="3" t="n">
        <f aca="false">Q425*'Spam Rules'!$H$6+R425*'Spam Rules'!$H$7+S425*'Spam Rules'!$H$8+T425*'Spam Rules'!$H$9+U425*'Spam Rules'!$H$10</f>
        <v>0</v>
      </c>
      <c r="W425" s="3" t="str">
        <f aca="false">IF(V425&gt;='Spam Rules'!$B$3,"Likely Spam","Genuine")</f>
        <v>Genuine</v>
      </c>
      <c r="X425" s="3" t="n">
        <f aca="false">IFERROR(INDEX('Scoring Model'!$B$5:$B$11,MATCH(C425,'Scoring Model'!$A$5:$A$11,0)),0)</f>
        <v>15</v>
      </c>
      <c r="Y425" s="3" t="n">
        <f aca="false">IFERROR(INDEX('Scoring Model'!$E$5:$E$7,MATCH(F425,'Scoring Model'!$D$5:$D$7,0)),0)</f>
        <v>0</v>
      </c>
      <c r="Z425" s="3" t="n">
        <f aca="false">IFERROR(INDEX('Scoring Model'!$H$5:$H$13,MATCH(J425,'Scoring Model'!$G$5:$G$13,0)),0)</f>
        <v>5</v>
      </c>
      <c r="AA425" s="3" t="n">
        <f aca="false">IF(L425&gt;='Scoring Model'!$B$14,'Scoring Model'!$B$15,IF(L425&gt;='Scoring Model'!$B$16,'Scoring Model'!$B$17,0))</f>
        <v>0</v>
      </c>
      <c r="AB425" s="3" t="n">
        <f aca="false">IF(SUMPRODUCT(--ISNUMBER(SEARCH('Scoring Model'!$D$16:$D$25,K425)))&gt;0,'Scoring Model'!$B$18,0)</f>
        <v>0</v>
      </c>
      <c r="AC425" s="3" t="n">
        <f aca="false">IF(SUMPRODUCT(--ISNUMBER(SEARCH('Scoring Model'!$G$16:$G$23,K425)))&gt;0,'Scoring Model'!$B$19,0)</f>
        <v>-30</v>
      </c>
      <c r="AD425" s="3" t="n">
        <f aca="false">IF(W425="Likely Spam","",SUM(X425:AC425))</f>
        <v>-10</v>
      </c>
      <c r="AE425" s="3" t="str">
        <f aca="false">IF(W425="Likely Spam","Spam",IF(AD425&gt;='Scoring Model'!$B$21,"Hot",IF(AD425&gt;='Scoring Model'!$B$22,"Warm","Nurture")))</f>
        <v>Nurture</v>
      </c>
      <c r="AF425" s="3" t="str">
        <f aca="false">IF(W425="Likely Spam","Flagged by spam rules",TRIM(IF(X425&gt;=20,"Strong source. ","")&amp;IF(Y425&gt;0,"Company email. ","")&amp;IF(Z425&gt;=15,"High-value product. ","")&amp;IF(AA425&gt;='Scoring Model'!$B$15,"High engagement. ","")&amp;IF(AB425&gt;0,"Buying intent in message. ","")&amp;IF(AC425&lt;0,"Negative intent in message. ","")))</f>
        <v>Negative intent in message.</v>
      </c>
      <c r="AG425" s="11" t="n">
        <f aca="false">IF(W425="Likely Spam","",1/(1+EXP(-('Conversion Model'!$B$5+IFERROR(INDEX('Conversion Model'!$B$8:$B$14,MATCH(C425,'Conversion Model'!$A$8:$A$14,0)),0)+IFERROR(INDEX('Conversion Model'!$E$8:$E$9,MATCH(F425,'Conversion Model'!$D$8:$D$9,0)),0)+IFERROR(INDEX('Conversion Model'!$H$8:$H$12,MATCH(IF(LEFT(J425,8)="Payments","Payments",IF(LEFT(J425,7)="Lending","Lending",J425)),'Conversion Model'!$G$8:$G$12,0)),0)+MIN(L425,15)*'Conversion Model'!$B$17+IF(SUMPRODUCT(--ISNUMBER(SEARCH('Scoring Model'!$D$16:$D$25,K425)))&gt;0,'Conversion Model'!$B$18,0)+IF(SUMPRODUCT(--ISNUMBER(SEARCH('Scoring Model'!$G$16:$G$23,K425)))&gt;0,'Conversion Model'!$B$19,0)))))</f>
        <v>0.00381877311039462</v>
      </c>
      <c r="AH425" s="3" t="n">
        <f aca="false">IF(OR(O425="Qualified",O425="Won",O425="Lost"),1,IF(O425="Unqualified",0,""))</f>
        <v>0</v>
      </c>
    </row>
    <row r="426" customFormat="false" ht="15" hidden="false" customHeight="true" outlineLevel="0" collapsed="false">
      <c r="A426" s="3" t="s">
        <v>1604</v>
      </c>
      <c r="B426" s="9" t="n">
        <v>46132.6583333333</v>
      </c>
      <c r="C426" s="3" t="s">
        <v>76</v>
      </c>
      <c r="D426" s="3" t="s">
        <v>476</v>
      </c>
      <c r="E426" s="3" t="s">
        <v>1605</v>
      </c>
      <c r="F426" s="3" t="s">
        <v>63</v>
      </c>
      <c r="G426" s="3"/>
      <c r="H426" s="3"/>
      <c r="I426" s="3" t="s">
        <v>260</v>
      </c>
      <c r="J426" s="3" t="s">
        <v>65</v>
      </c>
      <c r="K426" s="3" t="s">
        <v>322</v>
      </c>
      <c r="L426" s="3" t="n">
        <v>2</v>
      </c>
      <c r="M426" s="3"/>
      <c r="N426" s="3" t="s">
        <v>59</v>
      </c>
      <c r="O426" s="3"/>
      <c r="P426" s="10"/>
      <c r="Q426" s="3" t="n">
        <f aca="false">IF(F426="Disposable",1,0)</f>
        <v>1</v>
      </c>
      <c r="R426" s="3" t="n">
        <f aca="false">IF(SUMPRODUCT(--ISNUMBER(SEARCH('Spam Rules'!$A$22:$A$35,K426)))&gt;0,1,0)</f>
        <v>0</v>
      </c>
      <c r="S426" s="3" t="n">
        <f aca="false">IF(AND(F426="Free",G426=""),1,0)</f>
        <v>0</v>
      </c>
      <c r="T426" s="3" t="n">
        <f aca="false">IF(LEN(TRIM(K426))&lt;15,1,0)</f>
        <v>1</v>
      </c>
      <c r="U426" s="3" t="n">
        <f aca="false">IF(COUNTIF($E$2:$E$801,E426)&gt;1,1,0)</f>
        <v>0</v>
      </c>
      <c r="V426" s="3" t="n">
        <f aca="false">Q426*'Spam Rules'!$H$6+R426*'Spam Rules'!$H$7+S426*'Spam Rules'!$H$8+T426*'Spam Rules'!$H$9+U426*'Spam Rules'!$H$10</f>
        <v>2</v>
      </c>
      <c r="W426" s="3" t="str">
        <f aca="false">IF(V426&gt;='Spam Rules'!$B$3,"Likely Spam","Genuine")</f>
        <v>Likely Spam</v>
      </c>
      <c r="X426" s="3" t="n">
        <f aca="false">IFERROR(INDEX('Scoring Model'!$B$5:$B$11,MATCH(C426,'Scoring Model'!$A$5:$A$11,0)),0)</f>
        <v>0</v>
      </c>
      <c r="Y426" s="3" t="n">
        <f aca="false">IFERROR(INDEX('Scoring Model'!$E$5:$E$7,MATCH(F426,'Scoring Model'!$D$5:$D$7,0)),0)</f>
        <v>0</v>
      </c>
      <c r="Z426" s="3" t="n">
        <f aca="false">IFERROR(INDEX('Scoring Model'!$H$5:$H$13,MATCH(J426,'Scoring Model'!$G$5:$G$13,0)),0)</f>
        <v>0</v>
      </c>
      <c r="AA426" s="3" t="n">
        <f aca="false">IF(L426&gt;='Scoring Model'!$B$14,'Scoring Model'!$B$15,IF(L426&gt;='Scoring Model'!$B$16,'Scoring Model'!$B$17,0))</f>
        <v>0</v>
      </c>
      <c r="AB426" s="3" t="n">
        <f aca="false">IF(SUMPRODUCT(--ISNUMBER(SEARCH('Scoring Model'!$D$16:$D$25,K426)))&gt;0,'Scoring Model'!$B$18,0)</f>
        <v>0</v>
      </c>
      <c r="AC426" s="3" t="n">
        <f aca="false">IF(SUMPRODUCT(--ISNUMBER(SEARCH('Scoring Model'!$G$16:$G$23,K426)))&gt;0,'Scoring Model'!$B$19,0)</f>
        <v>0</v>
      </c>
      <c r="AD426" s="3" t="str">
        <f aca="false">IF(W426="Likely Spam","",SUM(X426:AC426))</f>
        <v/>
      </c>
      <c r="AE426" s="3" t="str">
        <f aca="false">IF(W426="Likely Spam","Spam",IF(AD426&gt;='Scoring Model'!$B$21,"Hot",IF(AD426&gt;='Scoring Model'!$B$22,"Warm","Nurture")))</f>
        <v>Spam</v>
      </c>
      <c r="AF426" s="3" t="str">
        <f aca="false">IF(W426="Likely Spam","Flagged by spam rules",TRIM(IF(X426&gt;=20,"Strong source. ","")&amp;IF(Y426&gt;0,"Company email. ","")&amp;IF(Z426&gt;=15,"High-value product. ","")&amp;IF(AA426&gt;='Scoring Model'!$B$15,"High engagement. ","")&amp;IF(AB426&gt;0,"Buying intent in message. ","")&amp;IF(AC426&lt;0,"Negative intent in message. ","")))</f>
        <v>Flagged by spam rules</v>
      </c>
      <c r="AG426" s="11" t="str">
        <f aca="false">IF(W426="Likely Spam","",1/(1+EXP(-('Conversion Model'!$B$5+IFERROR(INDEX('Conversion Model'!$B$8:$B$14,MATCH(C426,'Conversion Model'!$A$8:$A$14,0)),0)+IFERROR(INDEX('Conversion Model'!$E$8:$E$9,MATCH(F426,'Conversion Model'!$D$8:$D$9,0)),0)+IFERROR(INDEX('Conversion Model'!$H$8:$H$12,MATCH(IF(LEFT(J426,8)="Payments","Payments",IF(LEFT(J426,7)="Lending","Lending",J426)),'Conversion Model'!$G$8:$G$12,0)),0)+MIN(L426,15)*'Conversion Model'!$B$17+IF(SUMPRODUCT(--ISNUMBER(SEARCH('Scoring Model'!$D$16:$D$25,K426)))&gt;0,'Conversion Model'!$B$18,0)+IF(SUMPRODUCT(--ISNUMBER(SEARCH('Scoring Model'!$G$16:$G$23,K426)))&gt;0,'Conversion Model'!$B$19,0)))))</f>
        <v/>
      </c>
      <c r="AH426" s="3" t="str">
        <f aca="false">IF(OR(O426="Qualified",O426="Won",O426="Lost"),1,IF(O426="Unqualified",0,""))</f>
        <v/>
      </c>
    </row>
    <row r="427" customFormat="false" ht="15" hidden="false" customHeight="true" outlineLevel="0" collapsed="false">
      <c r="A427" s="3" t="s">
        <v>1606</v>
      </c>
      <c r="B427" s="9" t="n">
        <v>46133.9138888889</v>
      </c>
      <c r="C427" s="3" t="s">
        <v>128</v>
      </c>
      <c r="D427" s="3" t="s">
        <v>1607</v>
      </c>
      <c r="E427" s="3" t="s">
        <v>1608</v>
      </c>
      <c r="F427" s="3" t="s">
        <v>54</v>
      </c>
      <c r="G427" s="3"/>
      <c r="H427" s="3"/>
      <c r="I427" s="3" t="s">
        <v>64</v>
      </c>
      <c r="J427" s="3" t="s">
        <v>81</v>
      </c>
      <c r="K427" s="3" t="s">
        <v>101</v>
      </c>
      <c r="L427" s="3" t="n">
        <v>1</v>
      </c>
      <c r="M427" s="3" t="n">
        <v>40.1</v>
      </c>
      <c r="N427" s="3" t="s">
        <v>96</v>
      </c>
      <c r="O427" s="3" t="s">
        <v>194</v>
      </c>
      <c r="P427" s="10"/>
      <c r="Q427" s="3" t="n">
        <f aca="false">IF(F427="Disposable",1,0)</f>
        <v>0</v>
      </c>
      <c r="R427" s="3" t="n">
        <f aca="false">IF(SUMPRODUCT(--ISNUMBER(SEARCH('Spam Rules'!$A$22:$A$35,K427)))&gt;0,1,0)</f>
        <v>0</v>
      </c>
      <c r="S427" s="3" t="n">
        <f aca="false">IF(AND(F427="Free",G427=""),1,0)</f>
        <v>1</v>
      </c>
      <c r="T427" s="3" t="n">
        <f aca="false">IF(LEN(TRIM(K427))&lt;15,1,0)</f>
        <v>0</v>
      </c>
      <c r="U427" s="3" t="n">
        <f aca="false">IF(COUNTIF($E$2:$E$801,E427)&gt;1,1,0)</f>
        <v>0</v>
      </c>
      <c r="V427" s="3" t="n">
        <f aca="false">Q427*'Spam Rules'!$H$6+R427*'Spam Rules'!$H$7+S427*'Spam Rules'!$H$8+T427*'Spam Rules'!$H$9+U427*'Spam Rules'!$H$10</f>
        <v>0</v>
      </c>
      <c r="W427" s="3" t="str">
        <f aca="false">IF(V427&gt;='Spam Rules'!$B$3,"Likely Spam","Genuine")</f>
        <v>Genuine</v>
      </c>
      <c r="X427" s="3" t="n">
        <f aca="false">IFERROR(INDEX('Scoring Model'!$B$5:$B$11,MATCH(C427,'Scoring Model'!$A$5:$A$11,0)),0)</f>
        <v>30</v>
      </c>
      <c r="Y427" s="3" t="n">
        <f aca="false">IFERROR(INDEX('Scoring Model'!$E$5:$E$7,MATCH(F427,'Scoring Model'!$D$5:$D$7,0)),0)</f>
        <v>0</v>
      </c>
      <c r="Z427" s="3" t="n">
        <f aca="false">IFERROR(INDEX('Scoring Model'!$H$5:$H$13,MATCH(J427,'Scoring Model'!$G$5:$G$13,0)),0)</f>
        <v>5</v>
      </c>
      <c r="AA427" s="3" t="n">
        <f aca="false">IF(L427&gt;='Scoring Model'!$B$14,'Scoring Model'!$B$15,IF(L427&gt;='Scoring Model'!$B$16,'Scoring Model'!$B$17,0))</f>
        <v>0</v>
      </c>
      <c r="AB427" s="3" t="n">
        <f aca="false">IF(SUMPRODUCT(--ISNUMBER(SEARCH('Scoring Model'!$D$16:$D$25,K427)))&gt;0,'Scoring Model'!$B$18,0)</f>
        <v>0</v>
      </c>
      <c r="AC427" s="3" t="n">
        <f aca="false">IF(SUMPRODUCT(--ISNUMBER(SEARCH('Scoring Model'!$G$16:$G$23,K427)))&gt;0,'Scoring Model'!$B$19,0)</f>
        <v>-30</v>
      </c>
      <c r="AD427" s="3" t="n">
        <f aca="false">IF(W427="Likely Spam","",SUM(X427:AC427))</f>
        <v>5</v>
      </c>
      <c r="AE427" s="3" t="str">
        <f aca="false">IF(W427="Likely Spam","Spam",IF(AD427&gt;='Scoring Model'!$B$21,"Hot",IF(AD427&gt;='Scoring Model'!$B$22,"Warm","Nurture")))</f>
        <v>Nurture</v>
      </c>
      <c r="AF427" s="3" t="str">
        <f aca="false">IF(W427="Likely Spam","Flagged by spam rules",TRIM(IF(X427&gt;=20,"Strong source. ","")&amp;IF(Y427&gt;0,"Company email. ","")&amp;IF(Z427&gt;=15,"High-value product. ","")&amp;IF(AA427&gt;='Scoring Model'!$B$15,"High engagement. ","")&amp;IF(AB427&gt;0,"Buying intent in message. ","")&amp;IF(AC427&lt;0,"Negative intent in message. ","")))</f>
        <v>Strong source. Negative intent in message.</v>
      </c>
      <c r="AG427" s="11" t="n">
        <f aca="false">IF(W427="Likely Spam","",1/(1+EXP(-('Conversion Model'!$B$5+IFERROR(INDEX('Conversion Model'!$B$8:$B$14,MATCH(C427,'Conversion Model'!$A$8:$A$14,0)),0)+IFERROR(INDEX('Conversion Model'!$E$8:$E$9,MATCH(F427,'Conversion Model'!$D$8:$D$9,0)),0)+IFERROR(INDEX('Conversion Model'!$H$8:$H$12,MATCH(IF(LEFT(J427,8)="Payments","Payments",IF(LEFT(J427,7)="Lending","Lending",J427)),'Conversion Model'!$G$8:$G$12,0)),0)+MIN(L427,15)*'Conversion Model'!$B$17+IF(SUMPRODUCT(--ISNUMBER(SEARCH('Scoring Model'!$D$16:$D$25,K427)))&gt;0,'Conversion Model'!$B$18,0)+IF(SUMPRODUCT(--ISNUMBER(SEARCH('Scoring Model'!$G$16:$G$23,K427)))&gt;0,'Conversion Model'!$B$19,0)))))</f>
        <v>0.00246523466223677</v>
      </c>
      <c r="AH427" s="3" t="n">
        <f aca="false">IF(OR(O427="Qualified",O427="Won",O427="Lost"),1,IF(O427="Unqualified",0,""))</f>
        <v>0</v>
      </c>
    </row>
    <row r="428" customFormat="false" ht="15" hidden="false" customHeight="true" outlineLevel="0" collapsed="false">
      <c r="A428" s="3" t="s">
        <v>1609</v>
      </c>
      <c r="B428" s="9" t="n">
        <v>46134.0416666667</v>
      </c>
      <c r="C428" s="3" t="s">
        <v>51</v>
      </c>
      <c r="D428" s="3" t="s">
        <v>537</v>
      </c>
      <c r="E428" s="3" t="s">
        <v>1610</v>
      </c>
      <c r="F428" s="3" t="s">
        <v>54</v>
      </c>
      <c r="G428" s="3" t="s">
        <v>1611</v>
      </c>
      <c r="H428" s="3"/>
      <c r="I428" s="3" t="s">
        <v>80</v>
      </c>
      <c r="J428" s="3" t="s">
        <v>145</v>
      </c>
      <c r="K428" s="3" t="s">
        <v>213</v>
      </c>
      <c r="L428" s="3" t="n">
        <v>3</v>
      </c>
      <c r="M428" s="3" t="n">
        <v>31.7</v>
      </c>
      <c r="N428" s="3" t="s">
        <v>171</v>
      </c>
      <c r="O428" s="3" t="s">
        <v>194</v>
      </c>
      <c r="P428" s="10"/>
      <c r="Q428" s="3" t="n">
        <f aca="false">IF(F428="Disposable",1,0)</f>
        <v>0</v>
      </c>
      <c r="R428" s="3" t="n">
        <f aca="false">IF(SUMPRODUCT(--ISNUMBER(SEARCH('Spam Rules'!$A$22:$A$35,K428)))&gt;0,1,0)</f>
        <v>0</v>
      </c>
      <c r="S428" s="3" t="n">
        <f aca="false">IF(AND(F428="Free",G428=""),1,0)</f>
        <v>0</v>
      </c>
      <c r="T428" s="3" t="n">
        <f aca="false">IF(LEN(TRIM(K428))&lt;15,1,0)</f>
        <v>0</v>
      </c>
      <c r="U428" s="3" t="n">
        <f aca="false">IF(COUNTIF($E$2:$E$801,E428)&gt;1,1,0)</f>
        <v>0</v>
      </c>
      <c r="V428" s="3" t="n">
        <f aca="false">Q428*'Spam Rules'!$H$6+R428*'Spam Rules'!$H$7+S428*'Spam Rules'!$H$8+T428*'Spam Rules'!$H$9+U428*'Spam Rules'!$H$10</f>
        <v>0</v>
      </c>
      <c r="W428" s="3" t="str">
        <f aca="false">IF(V428&gt;='Spam Rules'!$B$3,"Likely Spam","Genuine")</f>
        <v>Genuine</v>
      </c>
      <c r="X428" s="3" t="n">
        <f aca="false">IFERROR(INDEX('Scoring Model'!$B$5:$B$11,MATCH(C428,'Scoring Model'!$A$5:$A$11,0)),0)</f>
        <v>10</v>
      </c>
      <c r="Y428" s="3" t="n">
        <f aca="false">IFERROR(INDEX('Scoring Model'!$E$5:$E$7,MATCH(F428,'Scoring Model'!$D$5:$D$7,0)),0)</f>
        <v>0</v>
      </c>
      <c r="Z428" s="3" t="n">
        <f aca="false">IFERROR(INDEX('Scoring Model'!$H$5:$H$13,MATCH(J428,'Scoring Model'!$G$5:$G$13,0)),0)</f>
        <v>5</v>
      </c>
      <c r="AA428" s="3" t="n">
        <f aca="false">IF(L428&gt;='Scoring Model'!$B$14,'Scoring Model'!$B$15,IF(L428&gt;='Scoring Model'!$B$16,'Scoring Model'!$B$17,0))</f>
        <v>0</v>
      </c>
      <c r="AB428" s="3" t="n">
        <f aca="false">IF(SUMPRODUCT(--ISNUMBER(SEARCH('Scoring Model'!$D$16:$D$25,K428)))&gt;0,'Scoring Model'!$B$18,0)</f>
        <v>0</v>
      </c>
      <c r="AC428" s="3" t="n">
        <f aca="false">IF(SUMPRODUCT(--ISNUMBER(SEARCH('Scoring Model'!$G$16:$G$23,K428)))&gt;0,'Scoring Model'!$B$19,0)</f>
        <v>-30</v>
      </c>
      <c r="AD428" s="3" t="n">
        <f aca="false">IF(W428="Likely Spam","",SUM(X428:AC428))</f>
        <v>-15</v>
      </c>
      <c r="AE428" s="3" t="str">
        <f aca="false">IF(W428="Likely Spam","Spam",IF(AD428&gt;='Scoring Model'!$B$21,"Hot",IF(AD428&gt;='Scoring Model'!$B$22,"Warm","Nurture")))</f>
        <v>Nurture</v>
      </c>
      <c r="AF428" s="3" t="str">
        <f aca="false">IF(W428="Likely Spam","Flagged by spam rules",TRIM(IF(X428&gt;=20,"Strong source. ","")&amp;IF(Y428&gt;0,"Company email. ","")&amp;IF(Z428&gt;=15,"High-value product. ","")&amp;IF(AA428&gt;='Scoring Model'!$B$15,"High engagement. ","")&amp;IF(AB428&gt;0,"Buying intent in message. ","")&amp;IF(AC428&lt;0,"Negative intent in message. ","")))</f>
        <v>Negative intent in message.</v>
      </c>
      <c r="AG428" s="11" t="n">
        <f aca="false">IF(W428="Likely Spam","",1/(1+EXP(-('Conversion Model'!$B$5+IFERROR(INDEX('Conversion Model'!$B$8:$B$14,MATCH(C428,'Conversion Model'!$A$8:$A$14,0)),0)+IFERROR(INDEX('Conversion Model'!$E$8:$E$9,MATCH(F428,'Conversion Model'!$D$8:$D$9,0)),0)+IFERROR(INDEX('Conversion Model'!$H$8:$H$12,MATCH(IF(LEFT(J428,8)="Payments","Payments",IF(LEFT(J428,7)="Lending","Lending",J428)),'Conversion Model'!$G$8:$G$12,0)),0)+MIN(L428,15)*'Conversion Model'!$B$17+IF(SUMPRODUCT(--ISNUMBER(SEARCH('Scoring Model'!$D$16:$D$25,K428)))&gt;0,'Conversion Model'!$B$18,0)+IF(SUMPRODUCT(--ISNUMBER(SEARCH('Scoring Model'!$G$16:$G$23,K428)))&gt;0,'Conversion Model'!$B$19,0)))))</f>
        <v>0.00639387738074586</v>
      </c>
      <c r="AH428" s="3" t="n">
        <f aca="false">IF(OR(O428="Qualified",O428="Won",O428="Lost"),1,IF(O428="Unqualified",0,""))</f>
        <v>0</v>
      </c>
    </row>
    <row r="429" customFormat="false" ht="15" hidden="false" customHeight="true" outlineLevel="0" collapsed="false">
      <c r="A429" s="3" t="s">
        <v>1612</v>
      </c>
      <c r="B429" s="9" t="n">
        <v>46134.26875</v>
      </c>
      <c r="C429" s="3" t="s">
        <v>51</v>
      </c>
      <c r="D429" s="3" t="s">
        <v>1613</v>
      </c>
      <c r="E429" s="3" t="s">
        <v>1614</v>
      </c>
      <c r="F429" s="3" t="s">
        <v>22</v>
      </c>
      <c r="G429" s="3" t="s">
        <v>607</v>
      </c>
      <c r="H429" s="3" t="s">
        <v>1615</v>
      </c>
      <c r="I429" s="3" t="s">
        <v>80</v>
      </c>
      <c r="J429" s="3" t="s">
        <v>245</v>
      </c>
      <c r="K429" s="3" t="s">
        <v>228</v>
      </c>
      <c r="L429" s="3" t="n">
        <v>2</v>
      </c>
      <c r="M429" s="3" t="n">
        <v>17.3</v>
      </c>
      <c r="N429" s="3" t="s">
        <v>171</v>
      </c>
      <c r="O429" s="3" t="s">
        <v>194</v>
      </c>
      <c r="P429" s="10"/>
      <c r="Q429" s="3" t="n">
        <f aca="false">IF(F429="Disposable",1,0)</f>
        <v>0</v>
      </c>
      <c r="R429" s="3" t="n">
        <f aca="false">IF(SUMPRODUCT(--ISNUMBER(SEARCH('Spam Rules'!$A$22:$A$35,K429)))&gt;0,1,0)</f>
        <v>0</v>
      </c>
      <c r="S429" s="3" t="n">
        <f aca="false">IF(AND(F429="Free",G429=""),1,0)</f>
        <v>0</v>
      </c>
      <c r="T429" s="3" t="n">
        <f aca="false">IF(LEN(TRIM(K429))&lt;15,1,0)</f>
        <v>0</v>
      </c>
      <c r="U429" s="3" t="n">
        <f aca="false">IF(COUNTIF($E$2:$E$801,E429)&gt;1,1,0)</f>
        <v>0</v>
      </c>
      <c r="V429" s="3" t="n">
        <f aca="false">Q429*'Spam Rules'!$H$6+R429*'Spam Rules'!$H$7+S429*'Spam Rules'!$H$8+T429*'Spam Rules'!$H$9+U429*'Spam Rules'!$H$10</f>
        <v>0</v>
      </c>
      <c r="W429" s="3" t="str">
        <f aca="false">IF(V429&gt;='Spam Rules'!$B$3,"Likely Spam","Genuine")</f>
        <v>Genuine</v>
      </c>
      <c r="X429" s="3" t="n">
        <f aca="false">IFERROR(INDEX('Scoring Model'!$B$5:$B$11,MATCH(C429,'Scoring Model'!$A$5:$A$11,0)),0)</f>
        <v>10</v>
      </c>
      <c r="Y429" s="3" t="n">
        <f aca="false">IFERROR(INDEX('Scoring Model'!$E$5:$E$7,MATCH(F429,'Scoring Model'!$D$5:$D$7,0)),0)</f>
        <v>20</v>
      </c>
      <c r="Z429" s="3" t="n">
        <f aca="false">IFERROR(INDEX('Scoring Model'!$H$5:$H$13,MATCH(J429,'Scoring Model'!$G$5:$G$13,0)),0)</f>
        <v>15</v>
      </c>
      <c r="AA429" s="3" t="n">
        <f aca="false">IF(L429&gt;='Scoring Model'!$B$14,'Scoring Model'!$B$15,IF(L429&gt;='Scoring Model'!$B$16,'Scoring Model'!$B$17,0))</f>
        <v>0</v>
      </c>
      <c r="AB429" s="3" t="n">
        <f aca="false">IF(SUMPRODUCT(--ISNUMBER(SEARCH('Scoring Model'!$D$16:$D$25,K429)))&gt;0,'Scoring Model'!$B$18,0)</f>
        <v>15</v>
      </c>
      <c r="AC429" s="3" t="n">
        <f aca="false">IF(SUMPRODUCT(--ISNUMBER(SEARCH('Scoring Model'!$G$16:$G$23,K429)))&gt;0,'Scoring Model'!$B$19,0)</f>
        <v>0</v>
      </c>
      <c r="AD429" s="3" t="n">
        <f aca="false">IF(W429="Likely Spam","",SUM(X429:AC429))</f>
        <v>60</v>
      </c>
      <c r="AE429" s="3" t="str">
        <f aca="false">IF(W429="Likely Spam","Spam",IF(AD429&gt;='Scoring Model'!$B$21,"Hot",IF(AD429&gt;='Scoring Model'!$B$22,"Warm","Nurture")))</f>
        <v>Warm</v>
      </c>
      <c r="AF429" s="3" t="str">
        <f aca="false">IF(W429="Likely Spam","Flagged by spam rules",TRIM(IF(X429&gt;=20,"Strong source. ","")&amp;IF(Y429&gt;0,"Company email. ","")&amp;IF(Z429&gt;=15,"High-value product. ","")&amp;IF(AA429&gt;='Scoring Model'!$B$15,"High engagement. ","")&amp;IF(AB429&gt;0,"Buying intent in message. ","")&amp;IF(AC429&lt;0,"Negative intent in message. ","")))</f>
        <v>Company email. High-value product. Buying intent in message.</v>
      </c>
      <c r="AG429" s="11" t="n">
        <f aca="false">IF(W429="Likely Spam","",1/(1+EXP(-('Conversion Model'!$B$5+IFERROR(INDEX('Conversion Model'!$B$8:$B$14,MATCH(C429,'Conversion Model'!$A$8:$A$14,0)),0)+IFERROR(INDEX('Conversion Model'!$E$8:$E$9,MATCH(F429,'Conversion Model'!$D$8:$D$9,0)),0)+IFERROR(INDEX('Conversion Model'!$H$8:$H$12,MATCH(IF(LEFT(J429,8)="Payments","Payments",IF(LEFT(J429,7)="Lending","Lending",J429)),'Conversion Model'!$G$8:$G$12,0)),0)+MIN(L429,15)*'Conversion Model'!$B$17+IF(SUMPRODUCT(--ISNUMBER(SEARCH('Scoring Model'!$D$16:$D$25,K429)))&gt;0,'Conversion Model'!$B$18,0)+IF(SUMPRODUCT(--ISNUMBER(SEARCH('Scoring Model'!$G$16:$G$23,K429)))&gt;0,'Conversion Model'!$B$19,0)))))</f>
        <v>0.334923483092207</v>
      </c>
      <c r="AH429" s="3" t="n">
        <f aca="false">IF(OR(O429="Qualified",O429="Won",O429="Lost"),1,IF(O429="Unqualified",0,""))</f>
        <v>0</v>
      </c>
    </row>
    <row r="430" customFormat="false" ht="15" hidden="false" customHeight="true" outlineLevel="0" collapsed="false">
      <c r="A430" s="3" t="s">
        <v>1616</v>
      </c>
      <c r="B430" s="9" t="n">
        <v>46134.5138888889</v>
      </c>
      <c r="C430" s="3" t="s">
        <v>51</v>
      </c>
      <c r="D430" s="3" t="s">
        <v>1566</v>
      </c>
      <c r="E430" s="3" t="s">
        <v>1617</v>
      </c>
      <c r="F430" s="3" t="s">
        <v>54</v>
      </c>
      <c r="G430" s="3"/>
      <c r="H430" s="3"/>
      <c r="I430" s="3" t="s">
        <v>88</v>
      </c>
      <c r="J430" s="3" t="s">
        <v>145</v>
      </c>
      <c r="K430" s="3" t="s">
        <v>74</v>
      </c>
      <c r="L430" s="3" t="n">
        <v>4</v>
      </c>
      <c r="M430" s="3" t="n">
        <v>24</v>
      </c>
      <c r="N430" s="3" t="s">
        <v>96</v>
      </c>
      <c r="O430" s="3" t="s">
        <v>194</v>
      </c>
      <c r="P430" s="10"/>
      <c r="Q430" s="3" t="n">
        <f aca="false">IF(F430="Disposable",1,0)</f>
        <v>0</v>
      </c>
      <c r="R430" s="3" t="n">
        <f aca="false">IF(SUMPRODUCT(--ISNUMBER(SEARCH('Spam Rules'!$A$22:$A$35,K430)))&gt;0,1,0)</f>
        <v>0</v>
      </c>
      <c r="S430" s="3" t="n">
        <f aca="false">IF(AND(F430="Free",G430=""),1,0)</f>
        <v>1</v>
      </c>
      <c r="T430" s="3" t="n">
        <f aca="false">IF(LEN(TRIM(K430))&lt;15,1,0)</f>
        <v>0</v>
      </c>
      <c r="U430" s="3" t="n">
        <f aca="false">IF(COUNTIF($E$2:$E$801,E430)&gt;1,1,0)</f>
        <v>0</v>
      </c>
      <c r="V430" s="3" t="n">
        <f aca="false">Q430*'Spam Rules'!$H$6+R430*'Spam Rules'!$H$7+S430*'Spam Rules'!$H$8+T430*'Spam Rules'!$H$9+U430*'Spam Rules'!$H$10</f>
        <v>0</v>
      </c>
      <c r="W430" s="3" t="str">
        <f aca="false">IF(V430&gt;='Spam Rules'!$B$3,"Likely Spam","Genuine")</f>
        <v>Genuine</v>
      </c>
      <c r="X430" s="3" t="n">
        <f aca="false">IFERROR(INDEX('Scoring Model'!$B$5:$B$11,MATCH(C430,'Scoring Model'!$A$5:$A$11,0)),0)</f>
        <v>10</v>
      </c>
      <c r="Y430" s="3" t="n">
        <f aca="false">IFERROR(INDEX('Scoring Model'!$E$5:$E$7,MATCH(F430,'Scoring Model'!$D$5:$D$7,0)),0)</f>
        <v>0</v>
      </c>
      <c r="Z430" s="3" t="n">
        <f aca="false">IFERROR(INDEX('Scoring Model'!$H$5:$H$13,MATCH(J430,'Scoring Model'!$G$5:$G$13,0)),0)</f>
        <v>5</v>
      </c>
      <c r="AA430" s="3" t="n">
        <f aca="false">IF(L430&gt;='Scoring Model'!$B$14,'Scoring Model'!$B$15,IF(L430&gt;='Scoring Model'!$B$16,'Scoring Model'!$B$17,0))</f>
        <v>8</v>
      </c>
      <c r="AB430" s="3" t="n">
        <f aca="false">IF(SUMPRODUCT(--ISNUMBER(SEARCH('Scoring Model'!$D$16:$D$25,K430)))&gt;0,'Scoring Model'!$B$18,0)</f>
        <v>0</v>
      </c>
      <c r="AC430" s="3" t="n">
        <f aca="false">IF(SUMPRODUCT(--ISNUMBER(SEARCH('Scoring Model'!$G$16:$G$23,K430)))&gt;0,'Scoring Model'!$B$19,0)</f>
        <v>-30</v>
      </c>
      <c r="AD430" s="3" t="n">
        <f aca="false">IF(W430="Likely Spam","",SUM(X430:AC430))</f>
        <v>-7</v>
      </c>
      <c r="AE430" s="3" t="str">
        <f aca="false">IF(W430="Likely Spam","Spam",IF(AD430&gt;='Scoring Model'!$B$21,"Hot",IF(AD430&gt;='Scoring Model'!$B$22,"Warm","Nurture")))</f>
        <v>Nurture</v>
      </c>
      <c r="AF430" s="3" t="str">
        <f aca="false">IF(W430="Likely Spam","Flagged by spam rules",TRIM(IF(X430&gt;=20,"Strong source. ","")&amp;IF(Y430&gt;0,"Company email. ","")&amp;IF(Z430&gt;=15,"High-value product. ","")&amp;IF(AA430&gt;='Scoring Model'!$B$15,"High engagement. ","")&amp;IF(AB430&gt;0,"Buying intent in message. ","")&amp;IF(AC430&lt;0,"Negative intent in message. ","")))</f>
        <v>Negative intent in message.</v>
      </c>
      <c r="AG430" s="11" t="n">
        <f aca="false">IF(W430="Likely Spam","",1/(1+EXP(-('Conversion Model'!$B$5+IFERROR(INDEX('Conversion Model'!$B$8:$B$14,MATCH(C430,'Conversion Model'!$A$8:$A$14,0)),0)+IFERROR(INDEX('Conversion Model'!$E$8:$E$9,MATCH(F430,'Conversion Model'!$D$8:$D$9,0)),0)+IFERROR(INDEX('Conversion Model'!$H$8:$H$12,MATCH(IF(LEFT(J430,8)="Payments","Payments",IF(LEFT(J430,7)="Lending","Lending",J430)),'Conversion Model'!$G$8:$G$12,0)),0)+MIN(L430,15)*'Conversion Model'!$B$17+IF(SUMPRODUCT(--ISNUMBER(SEARCH('Scoring Model'!$D$16:$D$25,K430)))&gt;0,'Conversion Model'!$B$18,0)+IF(SUMPRODUCT(--ISNUMBER(SEARCH('Scoring Model'!$G$16:$G$23,K430)))&gt;0,'Conversion Model'!$B$19,0)))))</f>
        <v>0.0141470651151213</v>
      </c>
      <c r="AH430" s="3" t="n">
        <f aca="false">IF(OR(O430="Qualified",O430="Won",O430="Lost"),1,IF(O430="Unqualified",0,""))</f>
        <v>0</v>
      </c>
    </row>
    <row r="431" customFormat="false" ht="15" hidden="false" customHeight="true" outlineLevel="0" collapsed="false">
      <c r="A431" s="3" t="s">
        <v>1618</v>
      </c>
      <c r="B431" s="9" t="n">
        <v>46134.7173611111</v>
      </c>
      <c r="C431" s="3" t="s">
        <v>160</v>
      </c>
      <c r="D431" s="3" t="s">
        <v>1619</v>
      </c>
      <c r="E431" s="3" t="s">
        <v>1620</v>
      </c>
      <c r="F431" s="3" t="s">
        <v>54</v>
      </c>
      <c r="G431" s="3" t="s">
        <v>1621</v>
      </c>
      <c r="H431" s="3"/>
      <c r="I431" s="3" t="s">
        <v>260</v>
      </c>
      <c r="J431" s="3" t="s">
        <v>165</v>
      </c>
      <c r="K431" s="3" t="s">
        <v>1550</v>
      </c>
      <c r="L431" s="3" t="n">
        <v>1</v>
      </c>
      <c r="M431" s="3" t="n">
        <v>78.7</v>
      </c>
      <c r="N431" s="3" t="s">
        <v>67</v>
      </c>
      <c r="O431" s="3" t="s">
        <v>133</v>
      </c>
      <c r="P431" s="10"/>
      <c r="Q431" s="3" t="n">
        <f aca="false">IF(F431="Disposable",1,0)</f>
        <v>0</v>
      </c>
      <c r="R431" s="3" t="n">
        <f aca="false">IF(SUMPRODUCT(--ISNUMBER(SEARCH('Spam Rules'!$A$22:$A$35,K431)))&gt;0,1,0)</f>
        <v>0</v>
      </c>
      <c r="S431" s="3" t="n">
        <f aca="false">IF(AND(F431="Free",G431=""),1,0)</f>
        <v>0</v>
      </c>
      <c r="T431" s="3" t="n">
        <f aca="false">IF(LEN(TRIM(K431))&lt;15,1,0)</f>
        <v>0</v>
      </c>
      <c r="U431" s="3" t="n">
        <f aca="false">IF(COUNTIF($E$2:$E$801,E431)&gt;1,1,0)</f>
        <v>0</v>
      </c>
      <c r="V431" s="3" t="n">
        <f aca="false">Q431*'Spam Rules'!$H$6+R431*'Spam Rules'!$H$7+S431*'Spam Rules'!$H$8+T431*'Spam Rules'!$H$9+U431*'Spam Rules'!$H$10</f>
        <v>0</v>
      </c>
      <c r="W431" s="3" t="str">
        <f aca="false">IF(V431&gt;='Spam Rules'!$B$3,"Likely Spam","Genuine")</f>
        <v>Genuine</v>
      </c>
      <c r="X431" s="3" t="n">
        <f aca="false">IFERROR(INDEX('Scoring Model'!$B$5:$B$11,MATCH(C431,'Scoring Model'!$A$5:$A$11,0)),0)</f>
        <v>25</v>
      </c>
      <c r="Y431" s="3" t="n">
        <f aca="false">IFERROR(INDEX('Scoring Model'!$E$5:$E$7,MATCH(F431,'Scoring Model'!$D$5:$D$7,0)),0)</f>
        <v>0</v>
      </c>
      <c r="Z431" s="3" t="n">
        <f aca="false">IFERROR(INDEX('Scoring Model'!$H$5:$H$13,MATCH(J431,'Scoring Model'!$G$5:$G$13,0)),0)</f>
        <v>15</v>
      </c>
      <c r="AA431" s="3" t="n">
        <f aca="false">IF(L431&gt;='Scoring Model'!$B$14,'Scoring Model'!$B$15,IF(L431&gt;='Scoring Model'!$B$16,'Scoring Model'!$B$17,0))</f>
        <v>0</v>
      </c>
      <c r="AB431" s="3" t="n">
        <f aca="false">IF(SUMPRODUCT(--ISNUMBER(SEARCH('Scoring Model'!$D$16:$D$25,K431)))&gt;0,'Scoring Model'!$B$18,0)</f>
        <v>15</v>
      </c>
      <c r="AC431" s="3" t="n">
        <f aca="false">IF(SUMPRODUCT(--ISNUMBER(SEARCH('Scoring Model'!$G$16:$G$23,K431)))&gt;0,'Scoring Model'!$B$19,0)</f>
        <v>0</v>
      </c>
      <c r="AD431" s="3" t="n">
        <f aca="false">IF(W431="Likely Spam","",SUM(X431:AC431))</f>
        <v>55</v>
      </c>
      <c r="AE431" s="3" t="str">
        <f aca="false">IF(W431="Likely Spam","Spam",IF(AD431&gt;='Scoring Model'!$B$21,"Hot",IF(AD431&gt;='Scoring Model'!$B$22,"Warm","Nurture")))</f>
        <v>Warm</v>
      </c>
      <c r="AF431" s="3" t="str">
        <f aca="false">IF(W431="Likely Spam","Flagged by spam rules",TRIM(IF(X431&gt;=20,"Strong source. ","")&amp;IF(Y431&gt;0,"Company email. ","")&amp;IF(Z431&gt;=15,"High-value product. ","")&amp;IF(AA431&gt;='Scoring Model'!$B$15,"High engagement. ","")&amp;IF(AB431&gt;0,"Buying intent in message. ","")&amp;IF(AC431&lt;0,"Negative intent in message. ","")))</f>
        <v>Strong source. High-value product. Buying intent in message.</v>
      </c>
      <c r="AG431" s="11" t="n">
        <f aca="false">IF(W431="Likely Spam","",1/(1+EXP(-('Conversion Model'!$B$5+IFERROR(INDEX('Conversion Model'!$B$8:$B$14,MATCH(C431,'Conversion Model'!$A$8:$A$14,0)),0)+IFERROR(INDEX('Conversion Model'!$E$8:$E$9,MATCH(F431,'Conversion Model'!$D$8:$D$9,0)),0)+IFERROR(INDEX('Conversion Model'!$H$8:$H$12,MATCH(IF(LEFT(J431,8)="Payments","Payments",IF(LEFT(J431,7)="Lending","Lending",J431)),'Conversion Model'!$G$8:$G$12,0)),0)+MIN(L431,15)*'Conversion Model'!$B$17+IF(SUMPRODUCT(--ISNUMBER(SEARCH('Scoring Model'!$D$16:$D$25,K431)))&gt;0,'Conversion Model'!$B$18,0)+IF(SUMPRODUCT(--ISNUMBER(SEARCH('Scoring Model'!$G$16:$G$23,K431)))&gt;0,'Conversion Model'!$B$19,0)))))</f>
        <v>0.0580307274931486</v>
      </c>
      <c r="AH431" s="3" t="str">
        <f aca="false">IF(OR(O431="Qualified",O431="Won",O431="Lost"),1,IF(O431="Unqualified",0,""))</f>
        <v/>
      </c>
    </row>
    <row r="432" customFormat="false" ht="15" hidden="false" customHeight="true" outlineLevel="0" collapsed="false">
      <c r="A432" s="3" t="s">
        <v>1622</v>
      </c>
      <c r="B432" s="9" t="n">
        <v>46135.0847222222</v>
      </c>
      <c r="C432" s="3" t="s">
        <v>51</v>
      </c>
      <c r="D432" s="3" t="s">
        <v>1623</v>
      </c>
      <c r="E432" s="3" t="s">
        <v>1624</v>
      </c>
      <c r="F432" s="3" t="s">
        <v>54</v>
      </c>
      <c r="G432" s="3" t="s">
        <v>747</v>
      </c>
      <c r="H432" s="3"/>
      <c r="I432" s="3" t="s">
        <v>56</v>
      </c>
      <c r="J432" s="3" t="s">
        <v>145</v>
      </c>
      <c r="K432" s="3" t="s">
        <v>101</v>
      </c>
      <c r="L432" s="3" t="n">
        <v>3</v>
      </c>
      <c r="M432" s="3" t="n">
        <v>2.7</v>
      </c>
      <c r="N432" s="3" t="s">
        <v>67</v>
      </c>
      <c r="O432" s="3" t="s">
        <v>194</v>
      </c>
      <c r="P432" s="10"/>
      <c r="Q432" s="3" t="n">
        <f aca="false">IF(F432="Disposable",1,0)</f>
        <v>0</v>
      </c>
      <c r="R432" s="3" t="n">
        <f aca="false">IF(SUMPRODUCT(--ISNUMBER(SEARCH('Spam Rules'!$A$22:$A$35,K432)))&gt;0,1,0)</f>
        <v>0</v>
      </c>
      <c r="S432" s="3" t="n">
        <f aca="false">IF(AND(F432="Free",G432=""),1,0)</f>
        <v>0</v>
      </c>
      <c r="T432" s="3" t="n">
        <f aca="false">IF(LEN(TRIM(K432))&lt;15,1,0)</f>
        <v>0</v>
      </c>
      <c r="U432" s="3" t="n">
        <f aca="false">IF(COUNTIF($E$2:$E$801,E432)&gt;1,1,0)</f>
        <v>0</v>
      </c>
      <c r="V432" s="3" t="n">
        <f aca="false">Q432*'Spam Rules'!$H$6+R432*'Spam Rules'!$H$7+S432*'Spam Rules'!$H$8+T432*'Spam Rules'!$H$9+U432*'Spam Rules'!$H$10</f>
        <v>0</v>
      </c>
      <c r="W432" s="3" t="str">
        <f aca="false">IF(V432&gt;='Spam Rules'!$B$3,"Likely Spam","Genuine")</f>
        <v>Genuine</v>
      </c>
      <c r="X432" s="3" t="n">
        <f aca="false">IFERROR(INDEX('Scoring Model'!$B$5:$B$11,MATCH(C432,'Scoring Model'!$A$5:$A$11,0)),0)</f>
        <v>10</v>
      </c>
      <c r="Y432" s="3" t="n">
        <f aca="false">IFERROR(INDEX('Scoring Model'!$E$5:$E$7,MATCH(F432,'Scoring Model'!$D$5:$D$7,0)),0)</f>
        <v>0</v>
      </c>
      <c r="Z432" s="3" t="n">
        <f aca="false">IFERROR(INDEX('Scoring Model'!$H$5:$H$13,MATCH(J432,'Scoring Model'!$G$5:$G$13,0)),0)</f>
        <v>5</v>
      </c>
      <c r="AA432" s="3" t="n">
        <f aca="false">IF(L432&gt;='Scoring Model'!$B$14,'Scoring Model'!$B$15,IF(L432&gt;='Scoring Model'!$B$16,'Scoring Model'!$B$17,0))</f>
        <v>0</v>
      </c>
      <c r="AB432" s="3" t="n">
        <f aca="false">IF(SUMPRODUCT(--ISNUMBER(SEARCH('Scoring Model'!$D$16:$D$25,K432)))&gt;0,'Scoring Model'!$B$18,0)</f>
        <v>0</v>
      </c>
      <c r="AC432" s="3" t="n">
        <f aca="false">IF(SUMPRODUCT(--ISNUMBER(SEARCH('Scoring Model'!$G$16:$G$23,K432)))&gt;0,'Scoring Model'!$B$19,0)</f>
        <v>-30</v>
      </c>
      <c r="AD432" s="3" t="n">
        <f aca="false">IF(W432="Likely Spam","",SUM(X432:AC432))</f>
        <v>-15</v>
      </c>
      <c r="AE432" s="3" t="str">
        <f aca="false">IF(W432="Likely Spam","Spam",IF(AD432&gt;='Scoring Model'!$B$21,"Hot",IF(AD432&gt;='Scoring Model'!$B$22,"Warm","Nurture")))</f>
        <v>Nurture</v>
      </c>
      <c r="AF432" s="3" t="str">
        <f aca="false">IF(W432="Likely Spam","Flagged by spam rules",TRIM(IF(X432&gt;=20,"Strong source. ","")&amp;IF(Y432&gt;0,"Company email. ","")&amp;IF(Z432&gt;=15,"High-value product. ","")&amp;IF(AA432&gt;='Scoring Model'!$B$15,"High engagement. ","")&amp;IF(AB432&gt;0,"Buying intent in message. ","")&amp;IF(AC432&lt;0,"Negative intent in message. ","")))</f>
        <v>Negative intent in message.</v>
      </c>
      <c r="AG432" s="11" t="n">
        <f aca="false">IF(W432="Likely Spam","",1/(1+EXP(-('Conversion Model'!$B$5+IFERROR(INDEX('Conversion Model'!$B$8:$B$14,MATCH(C432,'Conversion Model'!$A$8:$A$14,0)),0)+IFERROR(INDEX('Conversion Model'!$E$8:$E$9,MATCH(F432,'Conversion Model'!$D$8:$D$9,0)),0)+IFERROR(INDEX('Conversion Model'!$H$8:$H$12,MATCH(IF(LEFT(J432,8)="Payments","Payments",IF(LEFT(J432,7)="Lending","Lending",J432)),'Conversion Model'!$G$8:$G$12,0)),0)+MIN(L432,15)*'Conversion Model'!$B$17+IF(SUMPRODUCT(--ISNUMBER(SEARCH('Scoring Model'!$D$16:$D$25,K432)))&gt;0,'Conversion Model'!$B$18,0)+IF(SUMPRODUCT(--ISNUMBER(SEARCH('Scoring Model'!$G$16:$G$23,K432)))&gt;0,'Conversion Model'!$B$19,0)))))</f>
        <v>0.00639387738074586</v>
      </c>
      <c r="AH432" s="3" t="n">
        <f aca="false">IF(OR(O432="Qualified",O432="Won",O432="Lost"),1,IF(O432="Unqualified",0,""))</f>
        <v>0</v>
      </c>
    </row>
    <row r="433" customFormat="false" ht="15" hidden="false" customHeight="true" outlineLevel="0" collapsed="false">
      <c r="A433" s="3" t="s">
        <v>1625</v>
      </c>
      <c r="B433" s="9" t="n">
        <v>46135.8520833333</v>
      </c>
      <c r="C433" s="3" t="s">
        <v>51</v>
      </c>
      <c r="D433" s="3" t="s">
        <v>1543</v>
      </c>
      <c r="E433" s="3" t="s">
        <v>1626</v>
      </c>
      <c r="F433" s="3" t="s">
        <v>54</v>
      </c>
      <c r="G433" s="3"/>
      <c r="H433" s="3"/>
      <c r="I433" s="3" t="s">
        <v>73</v>
      </c>
      <c r="J433" s="3" t="s">
        <v>81</v>
      </c>
      <c r="K433" s="3" t="s">
        <v>170</v>
      </c>
      <c r="L433" s="3" t="n">
        <v>1</v>
      </c>
      <c r="M433" s="3" t="n">
        <v>21.1</v>
      </c>
      <c r="N433" s="3" t="s">
        <v>96</v>
      </c>
      <c r="O433" s="3" t="s">
        <v>68</v>
      </c>
      <c r="P433" s="10"/>
      <c r="Q433" s="3" t="n">
        <f aca="false">IF(F433="Disposable",1,0)</f>
        <v>0</v>
      </c>
      <c r="R433" s="3" t="n">
        <f aca="false">IF(SUMPRODUCT(--ISNUMBER(SEARCH('Spam Rules'!$A$22:$A$35,K433)))&gt;0,1,0)</f>
        <v>0</v>
      </c>
      <c r="S433" s="3" t="n">
        <f aca="false">IF(AND(F433="Free",G433=""),1,0)</f>
        <v>1</v>
      </c>
      <c r="T433" s="3" t="n">
        <f aca="false">IF(LEN(TRIM(K433))&lt;15,1,0)</f>
        <v>1</v>
      </c>
      <c r="U433" s="3" t="n">
        <f aca="false">IF(COUNTIF($E$2:$E$801,E433)&gt;1,1,0)</f>
        <v>0</v>
      </c>
      <c r="V433" s="3" t="n">
        <f aca="false">Q433*'Spam Rules'!$H$6+R433*'Spam Rules'!$H$7+S433*'Spam Rules'!$H$8+T433*'Spam Rules'!$H$9+U433*'Spam Rules'!$H$10</f>
        <v>1</v>
      </c>
      <c r="W433" s="3" t="str">
        <f aca="false">IF(V433&gt;='Spam Rules'!$B$3,"Likely Spam","Genuine")</f>
        <v>Likely Spam</v>
      </c>
      <c r="X433" s="3" t="n">
        <f aca="false">IFERROR(INDEX('Scoring Model'!$B$5:$B$11,MATCH(C433,'Scoring Model'!$A$5:$A$11,0)),0)</f>
        <v>10</v>
      </c>
      <c r="Y433" s="3" t="n">
        <f aca="false">IFERROR(INDEX('Scoring Model'!$E$5:$E$7,MATCH(F433,'Scoring Model'!$D$5:$D$7,0)),0)</f>
        <v>0</v>
      </c>
      <c r="Z433" s="3" t="n">
        <f aca="false">IFERROR(INDEX('Scoring Model'!$H$5:$H$13,MATCH(J433,'Scoring Model'!$G$5:$G$13,0)),0)</f>
        <v>5</v>
      </c>
      <c r="AA433" s="3" t="n">
        <f aca="false">IF(L433&gt;='Scoring Model'!$B$14,'Scoring Model'!$B$15,IF(L433&gt;='Scoring Model'!$B$16,'Scoring Model'!$B$17,0))</f>
        <v>0</v>
      </c>
      <c r="AB433" s="3" t="n">
        <f aca="false">IF(SUMPRODUCT(--ISNUMBER(SEARCH('Scoring Model'!$D$16:$D$25,K433)))&gt;0,'Scoring Model'!$B$18,0)</f>
        <v>0</v>
      </c>
      <c r="AC433" s="3" t="n">
        <f aca="false">IF(SUMPRODUCT(--ISNUMBER(SEARCH('Scoring Model'!$G$16:$G$23,K433)))&gt;0,'Scoring Model'!$B$19,0)</f>
        <v>0</v>
      </c>
      <c r="AD433" s="3" t="str">
        <f aca="false">IF(W433="Likely Spam","",SUM(X433:AC433))</f>
        <v/>
      </c>
      <c r="AE433" s="3" t="str">
        <f aca="false">IF(W433="Likely Spam","Spam",IF(AD433&gt;='Scoring Model'!$B$21,"Hot",IF(AD433&gt;='Scoring Model'!$B$22,"Warm","Nurture")))</f>
        <v>Spam</v>
      </c>
      <c r="AF433" s="3" t="str">
        <f aca="false">IF(W433="Likely Spam","Flagged by spam rules",TRIM(IF(X433&gt;=20,"Strong source. ","")&amp;IF(Y433&gt;0,"Company email. ","")&amp;IF(Z433&gt;=15,"High-value product. ","")&amp;IF(AA433&gt;='Scoring Model'!$B$15,"High engagement. ","")&amp;IF(AB433&gt;0,"Buying intent in message. ","")&amp;IF(AC433&lt;0,"Negative intent in message. ","")))</f>
        <v>Flagged by spam rules</v>
      </c>
      <c r="AG433" s="11" t="str">
        <f aca="false">IF(W433="Likely Spam","",1/(1+EXP(-('Conversion Model'!$B$5+IFERROR(INDEX('Conversion Model'!$B$8:$B$14,MATCH(C433,'Conversion Model'!$A$8:$A$14,0)),0)+IFERROR(INDEX('Conversion Model'!$E$8:$E$9,MATCH(F433,'Conversion Model'!$D$8:$D$9,0)),0)+IFERROR(INDEX('Conversion Model'!$H$8:$H$12,MATCH(IF(LEFT(J433,8)="Payments","Payments",IF(LEFT(J433,7)="Lending","Lending",J433)),'Conversion Model'!$G$8:$G$12,0)),0)+MIN(L433,15)*'Conversion Model'!$B$17+IF(SUMPRODUCT(--ISNUMBER(SEARCH('Scoring Model'!$D$16:$D$25,K433)))&gt;0,'Conversion Model'!$B$18,0)+IF(SUMPRODUCT(--ISNUMBER(SEARCH('Scoring Model'!$G$16:$G$23,K433)))&gt;0,'Conversion Model'!$B$19,0)))))</f>
        <v/>
      </c>
      <c r="AH433" s="3" t="str">
        <f aca="false">IF(OR(O433="Qualified",O433="Won",O433="Lost"),1,IF(O433="Unqualified",0,""))</f>
        <v/>
      </c>
    </row>
    <row r="434" customFormat="false" ht="15" hidden="false" customHeight="true" outlineLevel="0" collapsed="false">
      <c r="A434" s="3" t="s">
        <v>1627</v>
      </c>
      <c r="B434" s="9" t="n">
        <v>46135.99375</v>
      </c>
      <c r="C434" s="3" t="s">
        <v>51</v>
      </c>
      <c r="D434" s="3" t="s">
        <v>1628</v>
      </c>
      <c r="E434" s="3" t="s">
        <v>1131</v>
      </c>
      <c r="F434" s="3" t="s">
        <v>54</v>
      </c>
      <c r="G434" s="3" t="s">
        <v>321</v>
      </c>
      <c r="H434" s="3"/>
      <c r="I434" s="3" t="s">
        <v>88</v>
      </c>
      <c r="J434" s="3" t="s">
        <v>65</v>
      </c>
      <c r="K434" s="3" t="s">
        <v>363</v>
      </c>
      <c r="L434" s="3" t="n">
        <v>2</v>
      </c>
      <c r="M434" s="3"/>
      <c r="N434" s="3" t="s">
        <v>67</v>
      </c>
      <c r="O434" s="3" t="s">
        <v>68</v>
      </c>
      <c r="P434" s="10"/>
      <c r="Q434" s="3" t="n">
        <f aca="false">IF(F434="Disposable",1,0)</f>
        <v>0</v>
      </c>
      <c r="R434" s="3" t="n">
        <f aca="false">IF(SUMPRODUCT(--ISNUMBER(SEARCH('Spam Rules'!$A$22:$A$35,K434)))&gt;0,1,0)</f>
        <v>1</v>
      </c>
      <c r="S434" s="3" t="n">
        <f aca="false">IF(AND(F434="Free",G434=""),1,0)</f>
        <v>0</v>
      </c>
      <c r="T434" s="3" t="n">
        <f aca="false">IF(LEN(TRIM(K434))&lt;15,1,0)</f>
        <v>0</v>
      </c>
      <c r="U434" s="3" t="n">
        <f aca="false">IF(COUNTIF($E$2:$E$801,E434)&gt;1,1,0)</f>
        <v>1</v>
      </c>
      <c r="V434" s="3" t="n">
        <f aca="false">Q434*'Spam Rules'!$H$6+R434*'Spam Rules'!$H$7+S434*'Spam Rules'!$H$8+T434*'Spam Rules'!$H$9+U434*'Spam Rules'!$H$10</f>
        <v>1</v>
      </c>
      <c r="W434" s="3" t="str">
        <f aca="false">IF(V434&gt;='Spam Rules'!$B$3,"Likely Spam","Genuine")</f>
        <v>Likely Spam</v>
      </c>
      <c r="X434" s="3" t="n">
        <f aca="false">IFERROR(INDEX('Scoring Model'!$B$5:$B$11,MATCH(C434,'Scoring Model'!$A$5:$A$11,0)),0)</f>
        <v>10</v>
      </c>
      <c r="Y434" s="3" t="n">
        <f aca="false">IFERROR(INDEX('Scoring Model'!$E$5:$E$7,MATCH(F434,'Scoring Model'!$D$5:$D$7,0)),0)</f>
        <v>0</v>
      </c>
      <c r="Z434" s="3" t="n">
        <f aca="false">IFERROR(INDEX('Scoring Model'!$H$5:$H$13,MATCH(J434,'Scoring Model'!$G$5:$G$13,0)),0)</f>
        <v>0</v>
      </c>
      <c r="AA434" s="3" t="n">
        <f aca="false">IF(L434&gt;='Scoring Model'!$B$14,'Scoring Model'!$B$15,IF(L434&gt;='Scoring Model'!$B$16,'Scoring Model'!$B$17,0))</f>
        <v>0</v>
      </c>
      <c r="AB434" s="3" t="n">
        <f aca="false">IF(SUMPRODUCT(--ISNUMBER(SEARCH('Scoring Model'!$D$16:$D$25,K434)))&gt;0,'Scoring Model'!$B$18,0)</f>
        <v>0</v>
      </c>
      <c r="AC434" s="3" t="n">
        <f aca="false">IF(SUMPRODUCT(--ISNUMBER(SEARCH('Scoring Model'!$G$16:$G$23,K434)))&gt;0,'Scoring Model'!$B$19,0)</f>
        <v>0</v>
      </c>
      <c r="AD434" s="3" t="str">
        <f aca="false">IF(W434="Likely Spam","",SUM(X434:AC434))</f>
        <v/>
      </c>
      <c r="AE434" s="3" t="str">
        <f aca="false">IF(W434="Likely Spam","Spam",IF(AD434&gt;='Scoring Model'!$B$21,"Hot",IF(AD434&gt;='Scoring Model'!$B$22,"Warm","Nurture")))</f>
        <v>Spam</v>
      </c>
      <c r="AF434" s="3" t="str">
        <f aca="false">IF(W434="Likely Spam","Flagged by spam rules",TRIM(IF(X434&gt;=20,"Strong source. ","")&amp;IF(Y434&gt;0,"Company email. ","")&amp;IF(Z434&gt;=15,"High-value product. ","")&amp;IF(AA434&gt;='Scoring Model'!$B$15,"High engagement. ","")&amp;IF(AB434&gt;0,"Buying intent in message. ","")&amp;IF(AC434&lt;0,"Negative intent in message. ","")))</f>
        <v>Flagged by spam rules</v>
      </c>
      <c r="AG434" s="11" t="str">
        <f aca="false">IF(W434="Likely Spam","",1/(1+EXP(-('Conversion Model'!$B$5+IFERROR(INDEX('Conversion Model'!$B$8:$B$14,MATCH(C434,'Conversion Model'!$A$8:$A$14,0)),0)+IFERROR(INDEX('Conversion Model'!$E$8:$E$9,MATCH(F434,'Conversion Model'!$D$8:$D$9,0)),0)+IFERROR(INDEX('Conversion Model'!$H$8:$H$12,MATCH(IF(LEFT(J434,8)="Payments","Payments",IF(LEFT(J434,7)="Lending","Lending",J434)),'Conversion Model'!$G$8:$G$12,0)),0)+MIN(L434,15)*'Conversion Model'!$B$17+IF(SUMPRODUCT(--ISNUMBER(SEARCH('Scoring Model'!$D$16:$D$25,K434)))&gt;0,'Conversion Model'!$B$18,0)+IF(SUMPRODUCT(--ISNUMBER(SEARCH('Scoring Model'!$G$16:$G$23,K434)))&gt;0,'Conversion Model'!$B$19,0)))))</f>
        <v/>
      </c>
      <c r="AH434" s="3" t="str">
        <f aca="false">IF(OR(O434="Qualified",O434="Won",O434="Lost"),1,IF(O434="Unqualified",0,""))</f>
        <v/>
      </c>
    </row>
    <row r="435" customFormat="false" ht="15" hidden="false" customHeight="true" outlineLevel="0" collapsed="false">
      <c r="A435" s="3" t="s">
        <v>1629</v>
      </c>
      <c r="B435" s="9" t="n">
        <v>46136.15</v>
      </c>
      <c r="C435" s="3" t="s">
        <v>51</v>
      </c>
      <c r="D435" s="3" t="s">
        <v>1630</v>
      </c>
      <c r="E435" s="3" t="s">
        <v>1631</v>
      </c>
      <c r="F435" s="3" t="s">
        <v>22</v>
      </c>
      <c r="G435" s="3" t="s">
        <v>79</v>
      </c>
      <c r="H435" s="3" t="s">
        <v>886</v>
      </c>
      <c r="I435" s="3" t="s">
        <v>64</v>
      </c>
      <c r="J435" s="3" t="s">
        <v>81</v>
      </c>
      <c r="K435" s="3" t="s">
        <v>126</v>
      </c>
      <c r="L435" s="3" t="n">
        <v>2</v>
      </c>
      <c r="M435" s="3"/>
      <c r="N435" s="3" t="s">
        <v>67</v>
      </c>
      <c r="O435" s="3" t="s">
        <v>68</v>
      </c>
      <c r="P435" s="10"/>
      <c r="Q435" s="3" t="n">
        <f aca="false">IF(F435="Disposable",1,0)</f>
        <v>0</v>
      </c>
      <c r="R435" s="3" t="n">
        <f aca="false">IF(SUMPRODUCT(--ISNUMBER(SEARCH('Spam Rules'!$A$22:$A$35,K435)))&gt;0,1,0)</f>
        <v>0</v>
      </c>
      <c r="S435" s="3" t="n">
        <f aca="false">IF(AND(F435="Free",G435=""),1,0)</f>
        <v>0</v>
      </c>
      <c r="T435" s="3" t="n">
        <f aca="false">IF(LEN(TRIM(K435))&lt;15,1,0)</f>
        <v>1</v>
      </c>
      <c r="U435" s="3" t="n">
        <f aca="false">IF(COUNTIF($E$2:$E$801,E435)&gt;1,1,0)</f>
        <v>0</v>
      </c>
      <c r="V435" s="3" t="n">
        <f aca="false">Q435*'Spam Rules'!$H$6+R435*'Spam Rules'!$H$7+S435*'Spam Rules'!$H$8+T435*'Spam Rules'!$H$9+U435*'Spam Rules'!$H$10</f>
        <v>1</v>
      </c>
      <c r="W435" s="3" t="str">
        <f aca="false">IF(V435&gt;='Spam Rules'!$B$3,"Likely Spam","Genuine")</f>
        <v>Likely Spam</v>
      </c>
      <c r="X435" s="3" t="n">
        <f aca="false">IFERROR(INDEX('Scoring Model'!$B$5:$B$11,MATCH(C435,'Scoring Model'!$A$5:$A$11,0)),0)</f>
        <v>10</v>
      </c>
      <c r="Y435" s="3" t="n">
        <f aca="false">IFERROR(INDEX('Scoring Model'!$E$5:$E$7,MATCH(F435,'Scoring Model'!$D$5:$D$7,0)),0)</f>
        <v>20</v>
      </c>
      <c r="Z435" s="3" t="n">
        <f aca="false">IFERROR(INDEX('Scoring Model'!$H$5:$H$13,MATCH(J435,'Scoring Model'!$G$5:$G$13,0)),0)</f>
        <v>5</v>
      </c>
      <c r="AA435" s="3" t="n">
        <f aca="false">IF(L435&gt;='Scoring Model'!$B$14,'Scoring Model'!$B$15,IF(L435&gt;='Scoring Model'!$B$16,'Scoring Model'!$B$17,0))</f>
        <v>0</v>
      </c>
      <c r="AB435" s="3" t="n">
        <f aca="false">IF(SUMPRODUCT(--ISNUMBER(SEARCH('Scoring Model'!$D$16:$D$25,K435)))&gt;0,'Scoring Model'!$B$18,0)</f>
        <v>0</v>
      </c>
      <c r="AC435" s="3" t="n">
        <f aca="false">IF(SUMPRODUCT(--ISNUMBER(SEARCH('Scoring Model'!$G$16:$G$23,K435)))&gt;0,'Scoring Model'!$B$19,0)</f>
        <v>0</v>
      </c>
      <c r="AD435" s="3" t="str">
        <f aca="false">IF(W435="Likely Spam","",SUM(X435:AC435))</f>
        <v/>
      </c>
      <c r="AE435" s="3" t="str">
        <f aca="false">IF(W435="Likely Spam","Spam",IF(AD435&gt;='Scoring Model'!$B$21,"Hot",IF(AD435&gt;='Scoring Model'!$B$22,"Warm","Nurture")))</f>
        <v>Spam</v>
      </c>
      <c r="AF435" s="3" t="str">
        <f aca="false">IF(W435="Likely Spam","Flagged by spam rules",TRIM(IF(X435&gt;=20,"Strong source. ","")&amp;IF(Y435&gt;0,"Company email. ","")&amp;IF(Z435&gt;=15,"High-value product. ","")&amp;IF(AA435&gt;='Scoring Model'!$B$15,"High engagement. ","")&amp;IF(AB435&gt;0,"Buying intent in message. ","")&amp;IF(AC435&lt;0,"Negative intent in message. ","")))</f>
        <v>Flagged by spam rules</v>
      </c>
      <c r="AG435" s="11" t="str">
        <f aca="false">IF(W435="Likely Spam","",1/(1+EXP(-('Conversion Model'!$B$5+IFERROR(INDEX('Conversion Model'!$B$8:$B$14,MATCH(C435,'Conversion Model'!$A$8:$A$14,0)),0)+IFERROR(INDEX('Conversion Model'!$E$8:$E$9,MATCH(F435,'Conversion Model'!$D$8:$D$9,0)),0)+IFERROR(INDEX('Conversion Model'!$H$8:$H$12,MATCH(IF(LEFT(J435,8)="Payments","Payments",IF(LEFT(J435,7)="Lending","Lending",J435)),'Conversion Model'!$G$8:$G$12,0)),0)+MIN(L435,15)*'Conversion Model'!$B$17+IF(SUMPRODUCT(--ISNUMBER(SEARCH('Scoring Model'!$D$16:$D$25,K435)))&gt;0,'Conversion Model'!$B$18,0)+IF(SUMPRODUCT(--ISNUMBER(SEARCH('Scoring Model'!$G$16:$G$23,K435)))&gt;0,'Conversion Model'!$B$19,0)))))</f>
        <v/>
      </c>
      <c r="AH435" s="3" t="str">
        <f aca="false">IF(OR(O435="Qualified",O435="Won",O435="Lost"),1,IF(O435="Unqualified",0,""))</f>
        <v/>
      </c>
    </row>
    <row r="436" customFormat="false" ht="15" hidden="false" customHeight="true" outlineLevel="0" collapsed="false">
      <c r="A436" s="3" t="s">
        <v>1632</v>
      </c>
      <c r="B436" s="9" t="n">
        <v>46137.3611111111</v>
      </c>
      <c r="C436" s="3" t="s">
        <v>76</v>
      </c>
      <c r="D436" s="3" t="s">
        <v>248</v>
      </c>
      <c r="E436" s="3" t="s">
        <v>1633</v>
      </c>
      <c r="F436" s="3" t="s">
        <v>63</v>
      </c>
      <c r="G436" s="3"/>
      <c r="H436" s="3"/>
      <c r="I436" s="3" t="s">
        <v>227</v>
      </c>
      <c r="J436" s="3" t="s">
        <v>81</v>
      </c>
      <c r="K436" s="3" t="s">
        <v>126</v>
      </c>
      <c r="L436" s="3" t="n">
        <v>1</v>
      </c>
      <c r="M436" s="3" t="n">
        <v>6</v>
      </c>
      <c r="N436" s="3" t="s">
        <v>96</v>
      </c>
      <c r="O436" s="3" t="s">
        <v>68</v>
      </c>
      <c r="P436" s="10"/>
      <c r="Q436" s="3" t="n">
        <f aca="false">IF(F436="Disposable",1,0)</f>
        <v>1</v>
      </c>
      <c r="R436" s="3" t="n">
        <f aca="false">IF(SUMPRODUCT(--ISNUMBER(SEARCH('Spam Rules'!$A$22:$A$35,K436)))&gt;0,1,0)</f>
        <v>0</v>
      </c>
      <c r="S436" s="3" t="n">
        <f aca="false">IF(AND(F436="Free",G436=""),1,0)</f>
        <v>0</v>
      </c>
      <c r="T436" s="3" t="n">
        <f aca="false">IF(LEN(TRIM(K436))&lt;15,1,0)</f>
        <v>1</v>
      </c>
      <c r="U436" s="3" t="n">
        <f aca="false">IF(COUNTIF($E$2:$E$801,E436)&gt;1,1,0)</f>
        <v>0</v>
      </c>
      <c r="V436" s="3" t="n">
        <f aca="false">Q436*'Spam Rules'!$H$6+R436*'Spam Rules'!$H$7+S436*'Spam Rules'!$H$8+T436*'Spam Rules'!$H$9+U436*'Spam Rules'!$H$10</f>
        <v>2</v>
      </c>
      <c r="W436" s="3" t="str">
        <f aca="false">IF(V436&gt;='Spam Rules'!$B$3,"Likely Spam","Genuine")</f>
        <v>Likely Spam</v>
      </c>
      <c r="X436" s="3" t="n">
        <f aca="false">IFERROR(INDEX('Scoring Model'!$B$5:$B$11,MATCH(C436,'Scoring Model'!$A$5:$A$11,0)),0)</f>
        <v>0</v>
      </c>
      <c r="Y436" s="3" t="n">
        <f aca="false">IFERROR(INDEX('Scoring Model'!$E$5:$E$7,MATCH(F436,'Scoring Model'!$D$5:$D$7,0)),0)</f>
        <v>0</v>
      </c>
      <c r="Z436" s="3" t="n">
        <f aca="false">IFERROR(INDEX('Scoring Model'!$H$5:$H$13,MATCH(J436,'Scoring Model'!$G$5:$G$13,0)),0)</f>
        <v>5</v>
      </c>
      <c r="AA436" s="3" t="n">
        <f aca="false">IF(L436&gt;='Scoring Model'!$B$14,'Scoring Model'!$B$15,IF(L436&gt;='Scoring Model'!$B$16,'Scoring Model'!$B$17,0))</f>
        <v>0</v>
      </c>
      <c r="AB436" s="3" t="n">
        <f aca="false">IF(SUMPRODUCT(--ISNUMBER(SEARCH('Scoring Model'!$D$16:$D$25,K436)))&gt;0,'Scoring Model'!$B$18,0)</f>
        <v>0</v>
      </c>
      <c r="AC436" s="3" t="n">
        <f aca="false">IF(SUMPRODUCT(--ISNUMBER(SEARCH('Scoring Model'!$G$16:$G$23,K436)))&gt;0,'Scoring Model'!$B$19,0)</f>
        <v>0</v>
      </c>
      <c r="AD436" s="3" t="str">
        <f aca="false">IF(W436="Likely Spam","",SUM(X436:AC436))</f>
        <v/>
      </c>
      <c r="AE436" s="3" t="str">
        <f aca="false">IF(W436="Likely Spam","Spam",IF(AD436&gt;='Scoring Model'!$B$21,"Hot",IF(AD436&gt;='Scoring Model'!$B$22,"Warm","Nurture")))</f>
        <v>Spam</v>
      </c>
      <c r="AF436" s="3" t="str">
        <f aca="false">IF(W436="Likely Spam","Flagged by spam rules",TRIM(IF(X436&gt;=20,"Strong source. ","")&amp;IF(Y436&gt;0,"Company email. ","")&amp;IF(Z436&gt;=15,"High-value product. ","")&amp;IF(AA436&gt;='Scoring Model'!$B$15,"High engagement. ","")&amp;IF(AB436&gt;0,"Buying intent in message. ","")&amp;IF(AC436&lt;0,"Negative intent in message. ","")))</f>
        <v>Flagged by spam rules</v>
      </c>
      <c r="AG436" s="11" t="str">
        <f aca="false">IF(W436="Likely Spam","",1/(1+EXP(-('Conversion Model'!$B$5+IFERROR(INDEX('Conversion Model'!$B$8:$B$14,MATCH(C436,'Conversion Model'!$A$8:$A$14,0)),0)+IFERROR(INDEX('Conversion Model'!$E$8:$E$9,MATCH(F436,'Conversion Model'!$D$8:$D$9,0)),0)+IFERROR(INDEX('Conversion Model'!$H$8:$H$12,MATCH(IF(LEFT(J436,8)="Payments","Payments",IF(LEFT(J436,7)="Lending","Lending",J436)),'Conversion Model'!$G$8:$G$12,0)),0)+MIN(L436,15)*'Conversion Model'!$B$17+IF(SUMPRODUCT(--ISNUMBER(SEARCH('Scoring Model'!$D$16:$D$25,K436)))&gt;0,'Conversion Model'!$B$18,0)+IF(SUMPRODUCT(--ISNUMBER(SEARCH('Scoring Model'!$G$16:$G$23,K436)))&gt;0,'Conversion Model'!$B$19,0)))))</f>
        <v/>
      </c>
      <c r="AH436" s="3" t="str">
        <f aca="false">IF(OR(O436="Qualified",O436="Won",O436="Lost"),1,IF(O436="Unqualified",0,""))</f>
        <v/>
      </c>
    </row>
    <row r="437" customFormat="false" ht="15" hidden="false" customHeight="true" outlineLevel="0" collapsed="false">
      <c r="A437" s="3" t="s">
        <v>1634</v>
      </c>
      <c r="B437" s="9" t="n">
        <v>46137.5715277778</v>
      </c>
      <c r="C437" s="3" t="s">
        <v>160</v>
      </c>
      <c r="D437" s="3" t="s">
        <v>659</v>
      </c>
      <c r="E437" s="3" t="s">
        <v>719</v>
      </c>
      <c r="F437" s="3" t="s">
        <v>22</v>
      </c>
      <c r="G437" s="3" t="s">
        <v>321</v>
      </c>
      <c r="H437" s="3" t="s">
        <v>388</v>
      </c>
      <c r="I437" s="3" t="s">
        <v>116</v>
      </c>
      <c r="J437" s="3" t="s">
        <v>65</v>
      </c>
      <c r="K437" s="3" t="s">
        <v>657</v>
      </c>
      <c r="L437" s="3" t="n">
        <v>2</v>
      </c>
      <c r="M437" s="3" t="n">
        <v>29</v>
      </c>
      <c r="N437" s="3" t="s">
        <v>96</v>
      </c>
      <c r="O437" s="3" t="s">
        <v>68</v>
      </c>
      <c r="P437" s="10"/>
      <c r="Q437" s="3" t="n">
        <f aca="false">IF(F437="Disposable",1,0)</f>
        <v>0</v>
      </c>
      <c r="R437" s="3" t="n">
        <f aca="false">IF(SUMPRODUCT(--ISNUMBER(SEARCH('Spam Rules'!$A$22:$A$35,K437)))&gt;0,1,0)</f>
        <v>1</v>
      </c>
      <c r="S437" s="3" t="n">
        <f aca="false">IF(AND(F437="Free",G437=""),1,0)</f>
        <v>0</v>
      </c>
      <c r="T437" s="3" t="n">
        <f aca="false">IF(LEN(TRIM(K437))&lt;15,1,0)</f>
        <v>0</v>
      </c>
      <c r="U437" s="3" t="n">
        <f aca="false">IF(COUNTIF($E$2:$E$801,E437)&gt;1,1,0)</f>
        <v>1</v>
      </c>
      <c r="V437" s="3" t="n">
        <f aca="false">Q437*'Spam Rules'!$H$6+R437*'Spam Rules'!$H$7+S437*'Spam Rules'!$H$8+T437*'Spam Rules'!$H$9+U437*'Spam Rules'!$H$10</f>
        <v>1</v>
      </c>
      <c r="W437" s="3" t="str">
        <f aca="false">IF(V437&gt;='Spam Rules'!$B$3,"Likely Spam","Genuine")</f>
        <v>Likely Spam</v>
      </c>
      <c r="X437" s="3" t="n">
        <f aca="false">IFERROR(INDEX('Scoring Model'!$B$5:$B$11,MATCH(C437,'Scoring Model'!$A$5:$A$11,0)),0)</f>
        <v>25</v>
      </c>
      <c r="Y437" s="3" t="n">
        <f aca="false">IFERROR(INDEX('Scoring Model'!$E$5:$E$7,MATCH(F437,'Scoring Model'!$D$5:$D$7,0)),0)</f>
        <v>20</v>
      </c>
      <c r="Z437" s="3" t="n">
        <f aca="false">IFERROR(INDEX('Scoring Model'!$H$5:$H$13,MATCH(J437,'Scoring Model'!$G$5:$G$13,0)),0)</f>
        <v>0</v>
      </c>
      <c r="AA437" s="3" t="n">
        <f aca="false">IF(L437&gt;='Scoring Model'!$B$14,'Scoring Model'!$B$15,IF(L437&gt;='Scoring Model'!$B$16,'Scoring Model'!$B$17,0))</f>
        <v>0</v>
      </c>
      <c r="AB437" s="3" t="n">
        <f aca="false">IF(SUMPRODUCT(--ISNUMBER(SEARCH('Scoring Model'!$D$16:$D$25,K437)))&gt;0,'Scoring Model'!$B$18,0)</f>
        <v>0</v>
      </c>
      <c r="AC437" s="3" t="n">
        <f aca="false">IF(SUMPRODUCT(--ISNUMBER(SEARCH('Scoring Model'!$G$16:$G$23,K437)))&gt;0,'Scoring Model'!$B$19,0)</f>
        <v>0</v>
      </c>
      <c r="AD437" s="3" t="str">
        <f aca="false">IF(W437="Likely Spam","",SUM(X437:AC437))</f>
        <v/>
      </c>
      <c r="AE437" s="3" t="str">
        <f aca="false">IF(W437="Likely Spam","Spam",IF(AD437&gt;='Scoring Model'!$B$21,"Hot",IF(AD437&gt;='Scoring Model'!$B$22,"Warm","Nurture")))</f>
        <v>Spam</v>
      </c>
      <c r="AF437" s="3" t="str">
        <f aca="false">IF(W437="Likely Spam","Flagged by spam rules",TRIM(IF(X437&gt;=20,"Strong source. ","")&amp;IF(Y437&gt;0,"Company email. ","")&amp;IF(Z437&gt;=15,"High-value product. ","")&amp;IF(AA437&gt;='Scoring Model'!$B$15,"High engagement. ","")&amp;IF(AB437&gt;0,"Buying intent in message. ","")&amp;IF(AC437&lt;0,"Negative intent in message. ","")))</f>
        <v>Flagged by spam rules</v>
      </c>
      <c r="AG437" s="11" t="str">
        <f aca="false">IF(W437="Likely Spam","",1/(1+EXP(-('Conversion Model'!$B$5+IFERROR(INDEX('Conversion Model'!$B$8:$B$14,MATCH(C437,'Conversion Model'!$A$8:$A$14,0)),0)+IFERROR(INDEX('Conversion Model'!$E$8:$E$9,MATCH(F437,'Conversion Model'!$D$8:$D$9,0)),0)+IFERROR(INDEX('Conversion Model'!$H$8:$H$12,MATCH(IF(LEFT(J437,8)="Payments","Payments",IF(LEFT(J437,7)="Lending","Lending",J437)),'Conversion Model'!$G$8:$G$12,0)),0)+MIN(L437,15)*'Conversion Model'!$B$17+IF(SUMPRODUCT(--ISNUMBER(SEARCH('Scoring Model'!$D$16:$D$25,K437)))&gt;0,'Conversion Model'!$B$18,0)+IF(SUMPRODUCT(--ISNUMBER(SEARCH('Scoring Model'!$G$16:$G$23,K437)))&gt;0,'Conversion Model'!$B$19,0)))))</f>
        <v/>
      </c>
      <c r="AH437" s="3" t="str">
        <f aca="false">IF(OR(O437="Qualified",O437="Won",O437="Lost"),1,IF(O437="Unqualified",0,""))</f>
        <v/>
      </c>
    </row>
    <row r="438" customFormat="false" ht="15" hidden="false" customHeight="true" outlineLevel="0" collapsed="false">
      <c r="A438" s="3" t="s">
        <v>1635</v>
      </c>
      <c r="B438" s="9" t="n">
        <v>46137.7201388889</v>
      </c>
      <c r="C438" s="3" t="s">
        <v>160</v>
      </c>
      <c r="D438" s="3" t="s">
        <v>1636</v>
      </c>
      <c r="E438" s="3" t="s">
        <v>1637</v>
      </c>
      <c r="F438" s="3" t="s">
        <v>54</v>
      </c>
      <c r="G438" s="3" t="s">
        <v>581</v>
      </c>
      <c r="H438" s="3"/>
      <c r="I438" s="3" t="s">
        <v>94</v>
      </c>
      <c r="J438" s="3" t="s">
        <v>245</v>
      </c>
      <c r="K438" s="3" t="s">
        <v>872</v>
      </c>
      <c r="L438" s="3" t="n">
        <v>6</v>
      </c>
      <c r="M438" s="3" t="n">
        <v>30.4</v>
      </c>
      <c r="N438" s="3" t="s">
        <v>96</v>
      </c>
      <c r="O438" s="3" t="s">
        <v>133</v>
      </c>
      <c r="P438" s="10"/>
      <c r="Q438" s="3" t="n">
        <f aca="false">IF(F438="Disposable",1,0)</f>
        <v>0</v>
      </c>
      <c r="R438" s="3" t="n">
        <f aca="false">IF(SUMPRODUCT(--ISNUMBER(SEARCH('Spam Rules'!$A$22:$A$35,K438)))&gt;0,1,0)</f>
        <v>0</v>
      </c>
      <c r="S438" s="3" t="n">
        <f aca="false">IF(AND(F438="Free",G438=""),1,0)</f>
        <v>0</v>
      </c>
      <c r="T438" s="3" t="n">
        <f aca="false">IF(LEN(TRIM(K438))&lt;15,1,0)</f>
        <v>0</v>
      </c>
      <c r="U438" s="3" t="n">
        <f aca="false">IF(COUNTIF($E$2:$E$801,E438)&gt;1,1,0)</f>
        <v>0</v>
      </c>
      <c r="V438" s="3" t="n">
        <f aca="false">Q438*'Spam Rules'!$H$6+R438*'Spam Rules'!$H$7+S438*'Spam Rules'!$H$8+T438*'Spam Rules'!$H$9+U438*'Spam Rules'!$H$10</f>
        <v>0</v>
      </c>
      <c r="W438" s="3" t="str">
        <f aca="false">IF(V438&gt;='Spam Rules'!$B$3,"Likely Spam","Genuine")</f>
        <v>Genuine</v>
      </c>
      <c r="X438" s="3" t="n">
        <f aca="false">IFERROR(INDEX('Scoring Model'!$B$5:$B$11,MATCH(C438,'Scoring Model'!$A$5:$A$11,0)),0)</f>
        <v>25</v>
      </c>
      <c r="Y438" s="3" t="n">
        <f aca="false">IFERROR(INDEX('Scoring Model'!$E$5:$E$7,MATCH(F438,'Scoring Model'!$D$5:$D$7,0)),0)</f>
        <v>0</v>
      </c>
      <c r="Z438" s="3" t="n">
        <f aca="false">IFERROR(INDEX('Scoring Model'!$H$5:$H$13,MATCH(J438,'Scoring Model'!$G$5:$G$13,0)),0)</f>
        <v>15</v>
      </c>
      <c r="AA438" s="3" t="n">
        <f aca="false">IF(L438&gt;='Scoring Model'!$B$14,'Scoring Model'!$B$15,IF(L438&gt;='Scoring Model'!$B$16,'Scoring Model'!$B$17,0))</f>
        <v>8</v>
      </c>
      <c r="AB438" s="3" t="n">
        <f aca="false">IF(SUMPRODUCT(--ISNUMBER(SEARCH('Scoring Model'!$D$16:$D$25,K438)))&gt;0,'Scoring Model'!$B$18,0)</f>
        <v>15</v>
      </c>
      <c r="AC438" s="3" t="n">
        <f aca="false">IF(SUMPRODUCT(--ISNUMBER(SEARCH('Scoring Model'!$G$16:$G$23,K438)))&gt;0,'Scoring Model'!$B$19,0)</f>
        <v>0</v>
      </c>
      <c r="AD438" s="3" t="n">
        <f aca="false">IF(W438="Likely Spam","",SUM(X438:AC438))</f>
        <v>63</v>
      </c>
      <c r="AE438" s="3" t="str">
        <f aca="false">IF(W438="Likely Spam","Spam",IF(AD438&gt;='Scoring Model'!$B$21,"Hot",IF(AD438&gt;='Scoring Model'!$B$22,"Warm","Nurture")))</f>
        <v>Warm</v>
      </c>
      <c r="AF438" s="3" t="str">
        <f aca="false">IF(W438="Likely Spam","Flagged by spam rules",TRIM(IF(X438&gt;=20,"Strong source. ","")&amp;IF(Y438&gt;0,"Company email. ","")&amp;IF(Z438&gt;=15,"High-value product. ","")&amp;IF(AA438&gt;='Scoring Model'!$B$15,"High engagement. ","")&amp;IF(AB438&gt;0,"Buying intent in message. ","")&amp;IF(AC438&lt;0,"Negative intent in message. ","")))</f>
        <v>Strong source. High-value product. Buying intent in message.</v>
      </c>
      <c r="AG438" s="11" t="n">
        <f aca="false">IF(W438="Likely Spam","",1/(1+EXP(-('Conversion Model'!$B$5+IFERROR(INDEX('Conversion Model'!$B$8:$B$14,MATCH(C438,'Conversion Model'!$A$8:$A$14,0)),0)+IFERROR(INDEX('Conversion Model'!$E$8:$E$9,MATCH(F438,'Conversion Model'!$D$8:$D$9,0)),0)+IFERROR(INDEX('Conversion Model'!$H$8:$H$12,MATCH(IF(LEFT(J438,8)="Payments","Payments",IF(LEFT(J438,7)="Lending","Lending",J438)),'Conversion Model'!$G$8:$G$12,0)),0)+MIN(L438,15)*'Conversion Model'!$B$17+IF(SUMPRODUCT(--ISNUMBER(SEARCH('Scoring Model'!$D$16:$D$25,K438)))&gt;0,'Conversion Model'!$B$18,0)+IF(SUMPRODUCT(--ISNUMBER(SEARCH('Scoring Model'!$G$16:$G$23,K438)))&gt;0,'Conversion Model'!$B$19,0)))))</f>
        <v>0.896413983817641</v>
      </c>
      <c r="AH438" s="3" t="str">
        <f aca="false">IF(OR(O438="Qualified",O438="Won",O438="Lost"),1,IF(O438="Unqualified",0,""))</f>
        <v/>
      </c>
    </row>
    <row r="439" customFormat="false" ht="15" hidden="false" customHeight="true" outlineLevel="0" collapsed="false">
      <c r="A439" s="3" t="s">
        <v>1638</v>
      </c>
      <c r="B439" s="9" t="n">
        <v>46138.0229166667</v>
      </c>
      <c r="C439" s="3" t="s">
        <v>160</v>
      </c>
      <c r="D439" s="3" t="s">
        <v>1639</v>
      </c>
      <c r="E439" s="3" t="s">
        <v>1640</v>
      </c>
      <c r="F439" s="3" t="s">
        <v>63</v>
      </c>
      <c r="G439" s="3"/>
      <c r="H439" s="3"/>
      <c r="I439" s="3" t="s">
        <v>334</v>
      </c>
      <c r="J439" s="3" t="s">
        <v>122</v>
      </c>
      <c r="K439" s="3" t="s">
        <v>170</v>
      </c>
      <c r="L439" s="3" t="n">
        <v>2</v>
      </c>
      <c r="M439" s="3" t="n">
        <v>72</v>
      </c>
      <c r="N439" s="3" t="s">
        <v>67</v>
      </c>
      <c r="O439" s="3" t="s">
        <v>68</v>
      </c>
      <c r="P439" s="10"/>
      <c r="Q439" s="3" t="n">
        <f aca="false">IF(F439="Disposable",1,0)</f>
        <v>1</v>
      </c>
      <c r="R439" s="3" t="n">
        <f aca="false">IF(SUMPRODUCT(--ISNUMBER(SEARCH('Spam Rules'!$A$22:$A$35,K439)))&gt;0,1,0)</f>
        <v>0</v>
      </c>
      <c r="S439" s="3" t="n">
        <f aca="false">IF(AND(F439="Free",G439=""),1,0)</f>
        <v>0</v>
      </c>
      <c r="T439" s="3" t="n">
        <f aca="false">IF(LEN(TRIM(K439))&lt;15,1,0)</f>
        <v>1</v>
      </c>
      <c r="U439" s="3" t="n">
        <f aca="false">IF(COUNTIF($E$2:$E$801,E439)&gt;1,1,0)</f>
        <v>0</v>
      </c>
      <c r="V439" s="3" t="n">
        <f aca="false">Q439*'Spam Rules'!$H$6+R439*'Spam Rules'!$H$7+S439*'Spam Rules'!$H$8+T439*'Spam Rules'!$H$9+U439*'Spam Rules'!$H$10</f>
        <v>2</v>
      </c>
      <c r="W439" s="3" t="str">
        <f aca="false">IF(V439&gt;='Spam Rules'!$B$3,"Likely Spam","Genuine")</f>
        <v>Likely Spam</v>
      </c>
      <c r="X439" s="3" t="n">
        <f aca="false">IFERROR(INDEX('Scoring Model'!$B$5:$B$11,MATCH(C439,'Scoring Model'!$A$5:$A$11,0)),0)</f>
        <v>25</v>
      </c>
      <c r="Y439" s="3" t="n">
        <f aca="false">IFERROR(INDEX('Scoring Model'!$E$5:$E$7,MATCH(F439,'Scoring Model'!$D$5:$D$7,0)),0)</f>
        <v>0</v>
      </c>
      <c r="Z439" s="3" t="n">
        <f aca="false">IFERROR(INDEX('Scoring Model'!$H$5:$H$13,MATCH(J439,'Scoring Model'!$G$5:$G$13,0)),0)</f>
        <v>15</v>
      </c>
      <c r="AA439" s="3" t="n">
        <f aca="false">IF(L439&gt;='Scoring Model'!$B$14,'Scoring Model'!$B$15,IF(L439&gt;='Scoring Model'!$B$16,'Scoring Model'!$B$17,0))</f>
        <v>0</v>
      </c>
      <c r="AB439" s="3" t="n">
        <f aca="false">IF(SUMPRODUCT(--ISNUMBER(SEARCH('Scoring Model'!$D$16:$D$25,K439)))&gt;0,'Scoring Model'!$B$18,0)</f>
        <v>0</v>
      </c>
      <c r="AC439" s="3" t="n">
        <f aca="false">IF(SUMPRODUCT(--ISNUMBER(SEARCH('Scoring Model'!$G$16:$G$23,K439)))&gt;0,'Scoring Model'!$B$19,0)</f>
        <v>0</v>
      </c>
      <c r="AD439" s="3" t="str">
        <f aca="false">IF(W439="Likely Spam","",SUM(X439:AC439))</f>
        <v/>
      </c>
      <c r="AE439" s="3" t="str">
        <f aca="false">IF(W439="Likely Spam","Spam",IF(AD439&gt;='Scoring Model'!$B$21,"Hot",IF(AD439&gt;='Scoring Model'!$B$22,"Warm","Nurture")))</f>
        <v>Spam</v>
      </c>
      <c r="AF439" s="3" t="str">
        <f aca="false">IF(W439="Likely Spam","Flagged by spam rules",TRIM(IF(X439&gt;=20,"Strong source. ","")&amp;IF(Y439&gt;0,"Company email. ","")&amp;IF(Z439&gt;=15,"High-value product. ","")&amp;IF(AA439&gt;='Scoring Model'!$B$15,"High engagement. ","")&amp;IF(AB439&gt;0,"Buying intent in message. ","")&amp;IF(AC439&lt;0,"Negative intent in message. ","")))</f>
        <v>Flagged by spam rules</v>
      </c>
      <c r="AG439" s="11" t="str">
        <f aca="false">IF(W439="Likely Spam","",1/(1+EXP(-('Conversion Model'!$B$5+IFERROR(INDEX('Conversion Model'!$B$8:$B$14,MATCH(C439,'Conversion Model'!$A$8:$A$14,0)),0)+IFERROR(INDEX('Conversion Model'!$E$8:$E$9,MATCH(F439,'Conversion Model'!$D$8:$D$9,0)),0)+IFERROR(INDEX('Conversion Model'!$H$8:$H$12,MATCH(IF(LEFT(J439,8)="Payments","Payments",IF(LEFT(J439,7)="Lending","Lending",J439)),'Conversion Model'!$G$8:$G$12,0)),0)+MIN(L439,15)*'Conversion Model'!$B$17+IF(SUMPRODUCT(--ISNUMBER(SEARCH('Scoring Model'!$D$16:$D$25,K439)))&gt;0,'Conversion Model'!$B$18,0)+IF(SUMPRODUCT(--ISNUMBER(SEARCH('Scoring Model'!$G$16:$G$23,K439)))&gt;0,'Conversion Model'!$B$19,0)))))</f>
        <v/>
      </c>
      <c r="AH439" s="3" t="str">
        <f aca="false">IF(OR(O439="Qualified",O439="Won",O439="Lost"),1,IF(O439="Unqualified",0,""))</f>
        <v/>
      </c>
    </row>
    <row r="440" customFormat="false" ht="15" hidden="false" customHeight="true" outlineLevel="0" collapsed="false">
      <c r="A440" s="3" t="s">
        <v>1641</v>
      </c>
      <c r="B440" s="9" t="n">
        <v>46138.6125</v>
      </c>
      <c r="C440" s="3" t="s">
        <v>135</v>
      </c>
      <c r="D440" s="3" t="s">
        <v>882</v>
      </c>
      <c r="E440" s="3" t="s">
        <v>1642</v>
      </c>
      <c r="F440" s="3" t="s">
        <v>22</v>
      </c>
      <c r="G440" s="3" t="s">
        <v>1643</v>
      </c>
      <c r="H440" s="3" t="s">
        <v>1644</v>
      </c>
      <c r="I440" s="3" t="s">
        <v>139</v>
      </c>
      <c r="J440" s="3" t="s">
        <v>122</v>
      </c>
      <c r="K440" s="3" t="s">
        <v>378</v>
      </c>
      <c r="L440" s="3" t="n">
        <v>4</v>
      </c>
      <c r="M440" s="3" t="n">
        <v>6.6</v>
      </c>
      <c r="N440" s="3" t="s">
        <v>171</v>
      </c>
      <c r="O440" s="3" t="s">
        <v>194</v>
      </c>
      <c r="P440" s="10"/>
      <c r="Q440" s="3" t="n">
        <f aca="false">IF(F440="Disposable",1,0)</f>
        <v>0</v>
      </c>
      <c r="R440" s="3" t="n">
        <f aca="false">IF(SUMPRODUCT(--ISNUMBER(SEARCH('Spam Rules'!$A$22:$A$35,K440)))&gt;0,1,0)</f>
        <v>0</v>
      </c>
      <c r="S440" s="3" t="n">
        <f aca="false">IF(AND(F440="Free",G440=""),1,0)</f>
        <v>0</v>
      </c>
      <c r="T440" s="3" t="n">
        <f aca="false">IF(LEN(TRIM(K440))&lt;15,1,0)</f>
        <v>0</v>
      </c>
      <c r="U440" s="3" t="n">
        <f aca="false">IF(COUNTIF($E$2:$E$801,E440)&gt;1,1,0)</f>
        <v>0</v>
      </c>
      <c r="V440" s="3" t="n">
        <f aca="false">Q440*'Spam Rules'!$H$6+R440*'Spam Rules'!$H$7+S440*'Spam Rules'!$H$8+T440*'Spam Rules'!$H$9+U440*'Spam Rules'!$H$10</f>
        <v>0</v>
      </c>
      <c r="W440" s="3" t="str">
        <f aca="false">IF(V440&gt;='Spam Rules'!$B$3,"Likely Spam","Genuine")</f>
        <v>Genuine</v>
      </c>
      <c r="X440" s="3" t="n">
        <f aca="false">IFERROR(INDEX('Scoring Model'!$B$5:$B$11,MATCH(C440,'Scoring Model'!$A$5:$A$11,0)),0)</f>
        <v>20</v>
      </c>
      <c r="Y440" s="3" t="n">
        <f aca="false">IFERROR(INDEX('Scoring Model'!$E$5:$E$7,MATCH(F440,'Scoring Model'!$D$5:$D$7,0)),0)</f>
        <v>20</v>
      </c>
      <c r="Z440" s="3" t="n">
        <f aca="false">IFERROR(INDEX('Scoring Model'!$H$5:$H$13,MATCH(J440,'Scoring Model'!$G$5:$G$13,0)),0)</f>
        <v>15</v>
      </c>
      <c r="AA440" s="3" t="n">
        <f aca="false">IF(L440&gt;='Scoring Model'!$B$14,'Scoring Model'!$B$15,IF(L440&gt;='Scoring Model'!$B$16,'Scoring Model'!$B$17,0))</f>
        <v>8</v>
      </c>
      <c r="AB440" s="3" t="n">
        <f aca="false">IF(SUMPRODUCT(--ISNUMBER(SEARCH('Scoring Model'!$D$16:$D$25,K440)))&gt;0,'Scoring Model'!$B$18,0)</f>
        <v>0</v>
      </c>
      <c r="AC440" s="3" t="n">
        <f aca="false">IF(SUMPRODUCT(--ISNUMBER(SEARCH('Scoring Model'!$G$16:$G$23,K440)))&gt;0,'Scoring Model'!$B$19,0)</f>
        <v>-30</v>
      </c>
      <c r="AD440" s="3" t="n">
        <f aca="false">IF(W440="Likely Spam","",SUM(X440:AC440))</f>
        <v>33</v>
      </c>
      <c r="AE440" s="3" t="str">
        <f aca="false">IF(W440="Likely Spam","Spam",IF(AD440&gt;='Scoring Model'!$B$21,"Hot",IF(AD440&gt;='Scoring Model'!$B$22,"Warm","Nurture")))</f>
        <v>Nurture</v>
      </c>
      <c r="AF440" s="3" t="str">
        <f aca="false">IF(W440="Likely Spam","Flagged by spam rules",TRIM(IF(X440&gt;=20,"Strong source. ","")&amp;IF(Y440&gt;0,"Company email. ","")&amp;IF(Z440&gt;=15,"High-value product. ","")&amp;IF(AA440&gt;='Scoring Model'!$B$15,"High engagement. ","")&amp;IF(AB440&gt;0,"Buying intent in message. ","")&amp;IF(AC440&lt;0,"Negative intent in message. ","")))</f>
        <v>Strong source. Company email. High-value product. Negative intent in message.</v>
      </c>
      <c r="AG440" s="11" t="n">
        <f aca="false">IF(W440="Likely Spam","",1/(1+EXP(-('Conversion Model'!$B$5+IFERROR(INDEX('Conversion Model'!$B$8:$B$14,MATCH(C440,'Conversion Model'!$A$8:$A$14,0)),0)+IFERROR(INDEX('Conversion Model'!$E$8:$E$9,MATCH(F440,'Conversion Model'!$D$8:$D$9,0)),0)+IFERROR(INDEX('Conversion Model'!$H$8:$H$12,MATCH(IF(LEFT(J440,8)="Payments","Payments",IF(LEFT(J440,7)="Lending","Lending",J440)),'Conversion Model'!$G$8:$G$12,0)),0)+MIN(L440,15)*'Conversion Model'!$B$17+IF(SUMPRODUCT(--ISNUMBER(SEARCH('Scoring Model'!$D$16:$D$25,K440)))&gt;0,'Conversion Model'!$B$18,0)+IF(SUMPRODUCT(--ISNUMBER(SEARCH('Scoring Model'!$G$16:$G$23,K440)))&gt;0,'Conversion Model'!$B$19,0)))))</f>
        <v>0.0659890094912188</v>
      </c>
      <c r="AH440" s="3" t="n">
        <f aca="false">IF(OR(O440="Qualified",O440="Won",O440="Lost"),1,IF(O440="Unqualified",0,""))</f>
        <v>0</v>
      </c>
    </row>
    <row r="441" customFormat="false" ht="15" hidden="false" customHeight="true" outlineLevel="0" collapsed="false">
      <c r="A441" s="3" t="s">
        <v>1645</v>
      </c>
      <c r="B441" s="9" t="n">
        <v>46139.6104166667</v>
      </c>
      <c r="C441" s="3" t="s">
        <v>128</v>
      </c>
      <c r="D441" s="3" t="s">
        <v>113</v>
      </c>
      <c r="E441" s="3" t="s">
        <v>1646</v>
      </c>
      <c r="F441" s="3" t="s">
        <v>22</v>
      </c>
      <c r="G441" s="3" t="s">
        <v>1647</v>
      </c>
      <c r="H441" s="3" t="s">
        <v>1648</v>
      </c>
      <c r="I441" s="3" t="s">
        <v>334</v>
      </c>
      <c r="J441" s="3" t="s">
        <v>245</v>
      </c>
      <c r="K441" s="3" t="s">
        <v>1649</v>
      </c>
      <c r="L441" s="3" t="n">
        <v>12</v>
      </c>
      <c r="M441" s="3" t="n">
        <v>3.9</v>
      </c>
      <c r="N441" s="3" t="s">
        <v>67</v>
      </c>
      <c r="O441" s="3" t="s">
        <v>110</v>
      </c>
      <c r="P441" s="10"/>
      <c r="Q441" s="3" t="n">
        <f aca="false">IF(F441="Disposable",1,0)</f>
        <v>0</v>
      </c>
      <c r="R441" s="3" t="n">
        <f aca="false">IF(SUMPRODUCT(--ISNUMBER(SEARCH('Spam Rules'!$A$22:$A$35,K441)))&gt;0,1,0)</f>
        <v>0</v>
      </c>
      <c r="S441" s="3" t="n">
        <f aca="false">IF(AND(F441="Free",G441=""),1,0)</f>
        <v>0</v>
      </c>
      <c r="T441" s="3" t="n">
        <f aca="false">IF(LEN(TRIM(K441))&lt;15,1,0)</f>
        <v>0</v>
      </c>
      <c r="U441" s="3" t="n">
        <f aca="false">IF(COUNTIF($E$2:$E$801,E441)&gt;1,1,0)</f>
        <v>0</v>
      </c>
      <c r="V441" s="3" t="n">
        <f aca="false">Q441*'Spam Rules'!$H$6+R441*'Spam Rules'!$H$7+S441*'Spam Rules'!$H$8+T441*'Spam Rules'!$H$9+U441*'Spam Rules'!$H$10</f>
        <v>0</v>
      </c>
      <c r="W441" s="3" t="str">
        <f aca="false">IF(V441&gt;='Spam Rules'!$B$3,"Likely Spam","Genuine")</f>
        <v>Genuine</v>
      </c>
      <c r="X441" s="3" t="n">
        <f aca="false">IFERROR(INDEX('Scoring Model'!$B$5:$B$11,MATCH(C441,'Scoring Model'!$A$5:$A$11,0)),0)</f>
        <v>30</v>
      </c>
      <c r="Y441" s="3" t="n">
        <f aca="false">IFERROR(INDEX('Scoring Model'!$E$5:$E$7,MATCH(F441,'Scoring Model'!$D$5:$D$7,0)),0)</f>
        <v>20</v>
      </c>
      <c r="Z441" s="3" t="n">
        <f aca="false">IFERROR(INDEX('Scoring Model'!$H$5:$H$13,MATCH(J441,'Scoring Model'!$G$5:$G$13,0)),0)</f>
        <v>15</v>
      </c>
      <c r="AA441" s="3" t="n">
        <f aca="false">IF(L441&gt;='Scoring Model'!$B$14,'Scoring Model'!$B$15,IF(L441&gt;='Scoring Model'!$B$16,'Scoring Model'!$B$17,0))</f>
        <v>15</v>
      </c>
      <c r="AB441" s="3" t="n">
        <f aca="false">IF(SUMPRODUCT(--ISNUMBER(SEARCH('Scoring Model'!$D$16:$D$25,K441)))&gt;0,'Scoring Model'!$B$18,0)</f>
        <v>15</v>
      </c>
      <c r="AC441" s="3" t="n">
        <f aca="false">IF(SUMPRODUCT(--ISNUMBER(SEARCH('Scoring Model'!$G$16:$G$23,K441)))&gt;0,'Scoring Model'!$B$19,0)</f>
        <v>0</v>
      </c>
      <c r="AD441" s="3" t="n">
        <f aca="false">IF(W441="Likely Spam","",SUM(X441:AC441))</f>
        <v>95</v>
      </c>
      <c r="AE441" s="3" t="str">
        <f aca="false">IF(W441="Likely Spam","Spam",IF(AD441&gt;='Scoring Model'!$B$21,"Hot",IF(AD441&gt;='Scoring Model'!$B$22,"Warm","Nurture")))</f>
        <v>Hot</v>
      </c>
      <c r="AF441" s="3" t="str">
        <f aca="false">IF(W441="Likely Spam","Flagged by spam rules",TRIM(IF(X441&gt;=20,"Strong source. ","")&amp;IF(Y441&gt;0,"Company email. ","")&amp;IF(Z441&gt;=15,"High-value product. ","")&amp;IF(AA441&gt;='Scoring Model'!$B$15,"High engagement. ","")&amp;IF(AB441&gt;0,"Buying intent in message. ","")&amp;IF(AC441&lt;0,"Negative intent in message. ","")))</f>
        <v>Strong source. Company email. High-value product. High engagement. Buying intent in message.</v>
      </c>
      <c r="AG441" s="11" t="n">
        <f aca="false">IF(W441="Likely Spam","",1/(1+EXP(-('Conversion Model'!$B$5+IFERROR(INDEX('Conversion Model'!$B$8:$B$14,MATCH(C441,'Conversion Model'!$A$8:$A$14,0)),0)+IFERROR(INDEX('Conversion Model'!$E$8:$E$9,MATCH(F441,'Conversion Model'!$D$8:$D$9,0)),0)+IFERROR(INDEX('Conversion Model'!$H$8:$H$12,MATCH(IF(LEFT(J441,8)="Payments","Payments",IF(LEFT(J441,7)="Lending","Lending",J441)),'Conversion Model'!$G$8:$G$12,0)),0)+MIN(L441,15)*'Conversion Model'!$B$17+IF(SUMPRODUCT(--ISNUMBER(SEARCH('Scoring Model'!$D$16:$D$25,K441)))&gt;0,'Conversion Model'!$B$18,0)+IF(SUMPRODUCT(--ISNUMBER(SEARCH('Scoring Model'!$G$16:$G$23,K441)))&gt;0,'Conversion Model'!$B$19,0)))))</f>
        <v>0.999802584010843</v>
      </c>
      <c r="AH441" s="3" t="n">
        <f aca="false">IF(OR(O441="Qualified",O441="Won",O441="Lost"),1,IF(O441="Unqualified",0,""))</f>
        <v>1</v>
      </c>
    </row>
    <row r="442" customFormat="false" ht="15" hidden="false" customHeight="true" outlineLevel="0" collapsed="false">
      <c r="A442" s="3" t="s">
        <v>1650</v>
      </c>
      <c r="B442" s="9" t="n">
        <v>46140.4020833333</v>
      </c>
      <c r="C442" s="3" t="s">
        <v>51</v>
      </c>
      <c r="D442" s="3" t="s">
        <v>1057</v>
      </c>
      <c r="E442" s="3" t="s">
        <v>1651</v>
      </c>
      <c r="F442" s="3" t="s">
        <v>22</v>
      </c>
      <c r="G442" s="3" t="s">
        <v>321</v>
      </c>
      <c r="H442" s="3" t="s">
        <v>388</v>
      </c>
      <c r="I442" s="3" t="s">
        <v>334</v>
      </c>
      <c r="J442" s="3" t="s">
        <v>81</v>
      </c>
      <c r="K442" s="3" t="s">
        <v>89</v>
      </c>
      <c r="L442" s="3" t="n">
        <v>1</v>
      </c>
      <c r="M442" s="3" t="n">
        <v>11.2</v>
      </c>
      <c r="N442" s="3" t="s">
        <v>96</v>
      </c>
      <c r="O442" s="3" t="s">
        <v>68</v>
      </c>
      <c r="P442" s="10"/>
      <c r="Q442" s="3" t="n">
        <f aca="false">IF(F442="Disposable",1,0)</f>
        <v>0</v>
      </c>
      <c r="R442" s="3" t="n">
        <f aca="false">IF(SUMPRODUCT(--ISNUMBER(SEARCH('Spam Rules'!$A$22:$A$35,K442)))&gt;0,1,0)</f>
        <v>1</v>
      </c>
      <c r="S442" s="3" t="n">
        <f aca="false">IF(AND(F442="Free",G442=""),1,0)</f>
        <v>0</v>
      </c>
      <c r="T442" s="3" t="n">
        <f aca="false">IF(LEN(TRIM(K442))&lt;15,1,0)</f>
        <v>0</v>
      </c>
      <c r="U442" s="3" t="n">
        <f aca="false">IF(COUNTIF($E$2:$E$801,E442)&gt;1,1,0)</f>
        <v>0</v>
      </c>
      <c r="V442" s="3" t="n">
        <f aca="false">Q442*'Spam Rules'!$H$6+R442*'Spam Rules'!$H$7+S442*'Spam Rules'!$H$8+T442*'Spam Rules'!$H$9+U442*'Spam Rules'!$H$10</f>
        <v>1</v>
      </c>
      <c r="W442" s="3" t="str">
        <f aca="false">IF(V442&gt;='Spam Rules'!$B$3,"Likely Spam","Genuine")</f>
        <v>Likely Spam</v>
      </c>
      <c r="X442" s="3" t="n">
        <f aca="false">IFERROR(INDEX('Scoring Model'!$B$5:$B$11,MATCH(C442,'Scoring Model'!$A$5:$A$11,0)),0)</f>
        <v>10</v>
      </c>
      <c r="Y442" s="3" t="n">
        <f aca="false">IFERROR(INDEX('Scoring Model'!$E$5:$E$7,MATCH(F442,'Scoring Model'!$D$5:$D$7,0)),0)</f>
        <v>20</v>
      </c>
      <c r="Z442" s="3" t="n">
        <f aca="false">IFERROR(INDEX('Scoring Model'!$H$5:$H$13,MATCH(J442,'Scoring Model'!$G$5:$G$13,0)),0)</f>
        <v>5</v>
      </c>
      <c r="AA442" s="3" t="n">
        <f aca="false">IF(L442&gt;='Scoring Model'!$B$14,'Scoring Model'!$B$15,IF(L442&gt;='Scoring Model'!$B$16,'Scoring Model'!$B$17,0))</f>
        <v>0</v>
      </c>
      <c r="AB442" s="3" t="n">
        <f aca="false">IF(SUMPRODUCT(--ISNUMBER(SEARCH('Scoring Model'!$D$16:$D$25,K442)))&gt;0,'Scoring Model'!$B$18,0)</f>
        <v>0</v>
      </c>
      <c r="AC442" s="3" t="n">
        <f aca="false">IF(SUMPRODUCT(--ISNUMBER(SEARCH('Scoring Model'!$G$16:$G$23,K442)))&gt;0,'Scoring Model'!$B$19,0)</f>
        <v>0</v>
      </c>
      <c r="AD442" s="3" t="str">
        <f aca="false">IF(W442="Likely Spam","",SUM(X442:AC442))</f>
        <v/>
      </c>
      <c r="AE442" s="3" t="str">
        <f aca="false">IF(W442="Likely Spam","Spam",IF(AD442&gt;='Scoring Model'!$B$21,"Hot",IF(AD442&gt;='Scoring Model'!$B$22,"Warm","Nurture")))</f>
        <v>Spam</v>
      </c>
      <c r="AF442" s="3" t="str">
        <f aca="false">IF(W442="Likely Spam","Flagged by spam rules",TRIM(IF(X442&gt;=20,"Strong source. ","")&amp;IF(Y442&gt;0,"Company email. ","")&amp;IF(Z442&gt;=15,"High-value product. ","")&amp;IF(AA442&gt;='Scoring Model'!$B$15,"High engagement. ","")&amp;IF(AB442&gt;0,"Buying intent in message. ","")&amp;IF(AC442&lt;0,"Negative intent in message. ","")))</f>
        <v>Flagged by spam rules</v>
      </c>
      <c r="AG442" s="11" t="str">
        <f aca="false">IF(W442="Likely Spam","",1/(1+EXP(-('Conversion Model'!$B$5+IFERROR(INDEX('Conversion Model'!$B$8:$B$14,MATCH(C442,'Conversion Model'!$A$8:$A$14,0)),0)+IFERROR(INDEX('Conversion Model'!$E$8:$E$9,MATCH(F442,'Conversion Model'!$D$8:$D$9,0)),0)+IFERROR(INDEX('Conversion Model'!$H$8:$H$12,MATCH(IF(LEFT(J442,8)="Payments","Payments",IF(LEFT(J442,7)="Lending","Lending",J442)),'Conversion Model'!$G$8:$G$12,0)),0)+MIN(L442,15)*'Conversion Model'!$B$17+IF(SUMPRODUCT(--ISNUMBER(SEARCH('Scoring Model'!$D$16:$D$25,K442)))&gt;0,'Conversion Model'!$B$18,0)+IF(SUMPRODUCT(--ISNUMBER(SEARCH('Scoring Model'!$G$16:$G$23,K442)))&gt;0,'Conversion Model'!$B$19,0)))))</f>
        <v/>
      </c>
      <c r="AH442" s="3" t="str">
        <f aca="false">IF(OR(O442="Qualified",O442="Won",O442="Lost"),1,IF(O442="Unqualified",0,""))</f>
        <v/>
      </c>
    </row>
    <row r="443" customFormat="false" ht="15" hidden="false" customHeight="true" outlineLevel="0" collapsed="false">
      <c r="A443" s="3" t="s">
        <v>1652</v>
      </c>
      <c r="B443" s="9" t="n">
        <v>46140.6555555556</v>
      </c>
      <c r="C443" s="3" t="s">
        <v>135</v>
      </c>
      <c r="D443" s="3" t="s">
        <v>821</v>
      </c>
      <c r="E443" s="3" t="s">
        <v>1653</v>
      </c>
      <c r="F443" s="3" t="s">
        <v>22</v>
      </c>
      <c r="G443" s="3" t="s">
        <v>773</v>
      </c>
      <c r="H443" s="3" t="s">
        <v>1654</v>
      </c>
      <c r="I443" s="3" t="s">
        <v>56</v>
      </c>
      <c r="J443" s="3" t="s">
        <v>145</v>
      </c>
      <c r="K443" s="3" t="s">
        <v>1655</v>
      </c>
      <c r="L443" s="3" t="n">
        <v>11</v>
      </c>
      <c r="M443" s="3" t="n">
        <v>23.6</v>
      </c>
      <c r="N443" s="3" t="s">
        <v>67</v>
      </c>
      <c r="O443" s="3"/>
      <c r="P443" s="10"/>
      <c r="Q443" s="3" t="n">
        <f aca="false">IF(F443="Disposable",1,0)</f>
        <v>0</v>
      </c>
      <c r="R443" s="3" t="n">
        <f aca="false">IF(SUMPRODUCT(--ISNUMBER(SEARCH('Spam Rules'!$A$22:$A$35,K443)))&gt;0,1,0)</f>
        <v>0</v>
      </c>
      <c r="S443" s="3" t="n">
        <f aca="false">IF(AND(F443="Free",G443=""),1,0)</f>
        <v>0</v>
      </c>
      <c r="T443" s="3" t="n">
        <f aca="false">IF(LEN(TRIM(K443))&lt;15,1,0)</f>
        <v>0</v>
      </c>
      <c r="U443" s="3" t="n">
        <f aca="false">IF(COUNTIF($E$2:$E$801,E443)&gt;1,1,0)</f>
        <v>0</v>
      </c>
      <c r="V443" s="3" t="n">
        <f aca="false">Q443*'Spam Rules'!$H$6+R443*'Spam Rules'!$H$7+S443*'Spam Rules'!$H$8+T443*'Spam Rules'!$H$9+U443*'Spam Rules'!$H$10</f>
        <v>0</v>
      </c>
      <c r="W443" s="3" t="str">
        <f aca="false">IF(V443&gt;='Spam Rules'!$B$3,"Likely Spam","Genuine")</f>
        <v>Genuine</v>
      </c>
      <c r="X443" s="3" t="n">
        <f aca="false">IFERROR(INDEX('Scoring Model'!$B$5:$B$11,MATCH(C443,'Scoring Model'!$A$5:$A$11,0)),0)</f>
        <v>20</v>
      </c>
      <c r="Y443" s="3" t="n">
        <f aca="false">IFERROR(INDEX('Scoring Model'!$E$5:$E$7,MATCH(F443,'Scoring Model'!$D$5:$D$7,0)),0)</f>
        <v>20</v>
      </c>
      <c r="Z443" s="3" t="n">
        <f aca="false">IFERROR(INDEX('Scoring Model'!$H$5:$H$13,MATCH(J443,'Scoring Model'!$G$5:$G$13,0)),0)</f>
        <v>5</v>
      </c>
      <c r="AA443" s="3" t="n">
        <f aca="false">IF(L443&gt;='Scoring Model'!$B$14,'Scoring Model'!$B$15,IF(L443&gt;='Scoring Model'!$B$16,'Scoring Model'!$B$17,0))</f>
        <v>15</v>
      </c>
      <c r="AB443" s="3" t="n">
        <f aca="false">IF(SUMPRODUCT(--ISNUMBER(SEARCH('Scoring Model'!$D$16:$D$25,K443)))&gt;0,'Scoring Model'!$B$18,0)</f>
        <v>15</v>
      </c>
      <c r="AC443" s="3" t="n">
        <f aca="false">IF(SUMPRODUCT(--ISNUMBER(SEARCH('Scoring Model'!$G$16:$G$23,K443)))&gt;0,'Scoring Model'!$B$19,0)</f>
        <v>0</v>
      </c>
      <c r="AD443" s="3" t="n">
        <f aca="false">IF(W443="Likely Spam","",SUM(X443:AC443))</f>
        <v>75</v>
      </c>
      <c r="AE443" s="3" t="str">
        <f aca="false">IF(W443="Likely Spam","Spam",IF(AD443&gt;='Scoring Model'!$B$21,"Hot",IF(AD443&gt;='Scoring Model'!$B$22,"Warm","Nurture")))</f>
        <v>Hot</v>
      </c>
      <c r="AF443" s="3" t="str">
        <f aca="false">IF(W443="Likely Spam","Flagged by spam rules",TRIM(IF(X443&gt;=20,"Strong source. ","")&amp;IF(Y443&gt;0,"Company email. ","")&amp;IF(Z443&gt;=15,"High-value product. ","")&amp;IF(AA443&gt;='Scoring Model'!$B$15,"High engagement. ","")&amp;IF(AB443&gt;0,"Buying intent in message. ","")&amp;IF(AC443&lt;0,"Negative intent in message. ","")))</f>
        <v>Strong source. Company email. High engagement. Buying intent in message.</v>
      </c>
      <c r="AG443" s="11" t="n">
        <f aca="false">IF(W443="Likely Spam","",1/(1+EXP(-('Conversion Model'!$B$5+IFERROR(INDEX('Conversion Model'!$B$8:$B$14,MATCH(C443,'Conversion Model'!$A$8:$A$14,0)),0)+IFERROR(INDEX('Conversion Model'!$E$8:$E$9,MATCH(F443,'Conversion Model'!$D$8:$D$9,0)),0)+IFERROR(INDEX('Conversion Model'!$H$8:$H$12,MATCH(IF(LEFT(J443,8)="Payments","Payments",IF(LEFT(J443,7)="Lending","Lending",J443)),'Conversion Model'!$G$8:$G$12,0)),0)+MIN(L443,15)*'Conversion Model'!$B$17+IF(SUMPRODUCT(--ISNUMBER(SEARCH('Scoring Model'!$D$16:$D$25,K443)))&gt;0,'Conversion Model'!$B$18,0)+IF(SUMPRODUCT(--ISNUMBER(SEARCH('Scoring Model'!$G$16:$G$23,K443)))&gt;0,'Conversion Model'!$B$19,0)))))</f>
        <v>0.99868945396179</v>
      </c>
      <c r="AH443" s="3" t="str">
        <f aca="false">IF(OR(O443="Qualified",O443="Won",O443="Lost"),1,IF(O443="Unqualified",0,""))</f>
        <v/>
      </c>
    </row>
    <row r="444" customFormat="false" ht="15" hidden="false" customHeight="true" outlineLevel="0" collapsed="false">
      <c r="A444" s="3" t="s">
        <v>1656</v>
      </c>
      <c r="B444" s="9" t="n">
        <v>46140.6590277778</v>
      </c>
      <c r="C444" s="3" t="s">
        <v>76</v>
      </c>
      <c r="D444" s="3" t="s">
        <v>1182</v>
      </c>
      <c r="E444" s="3" t="s">
        <v>1657</v>
      </c>
      <c r="F444" s="3" t="s">
        <v>63</v>
      </c>
      <c r="G444" s="3"/>
      <c r="H444" s="3"/>
      <c r="I444" s="3" t="s">
        <v>334</v>
      </c>
      <c r="J444" s="3" t="s">
        <v>65</v>
      </c>
      <c r="K444" s="3" t="s">
        <v>126</v>
      </c>
      <c r="L444" s="3" t="n">
        <v>1</v>
      </c>
      <c r="M444" s="3"/>
      <c r="N444" s="3" t="s">
        <v>96</v>
      </c>
      <c r="O444" s="3" t="s">
        <v>68</v>
      </c>
      <c r="P444" s="10"/>
      <c r="Q444" s="3" t="n">
        <f aca="false">IF(F444="Disposable",1,0)</f>
        <v>1</v>
      </c>
      <c r="R444" s="3" t="n">
        <f aca="false">IF(SUMPRODUCT(--ISNUMBER(SEARCH('Spam Rules'!$A$22:$A$35,K444)))&gt;0,1,0)</f>
        <v>0</v>
      </c>
      <c r="S444" s="3" t="n">
        <f aca="false">IF(AND(F444="Free",G444=""),1,0)</f>
        <v>0</v>
      </c>
      <c r="T444" s="3" t="n">
        <f aca="false">IF(LEN(TRIM(K444))&lt;15,1,0)</f>
        <v>1</v>
      </c>
      <c r="U444" s="3" t="n">
        <f aca="false">IF(COUNTIF($E$2:$E$801,E444)&gt;1,1,0)</f>
        <v>0</v>
      </c>
      <c r="V444" s="3" t="n">
        <f aca="false">Q444*'Spam Rules'!$H$6+R444*'Spam Rules'!$H$7+S444*'Spam Rules'!$H$8+T444*'Spam Rules'!$H$9+U444*'Spam Rules'!$H$10</f>
        <v>2</v>
      </c>
      <c r="W444" s="3" t="str">
        <f aca="false">IF(V444&gt;='Spam Rules'!$B$3,"Likely Spam","Genuine")</f>
        <v>Likely Spam</v>
      </c>
      <c r="X444" s="3" t="n">
        <f aca="false">IFERROR(INDEX('Scoring Model'!$B$5:$B$11,MATCH(C444,'Scoring Model'!$A$5:$A$11,0)),0)</f>
        <v>0</v>
      </c>
      <c r="Y444" s="3" t="n">
        <f aca="false">IFERROR(INDEX('Scoring Model'!$E$5:$E$7,MATCH(F444,'Scoring Model'!$D$5:$D$7,0)),0)</f>
        <v>0</v>
      </c>
      <c r="Z444" s="3" t="n">
        <f aca="false">IFERROR(INDEX('Scoring Model'!$H$5:$H$13,MATCH(J444,'Scoring Model'!$G$5:$G$13,0)),0)</f>
        <v>0</v>
      </c>
      <c r="AA444" s="3" t="n">
        <f aca="false">IF(L444&gt;='Scoring Model'!$B$14,'Scoring Model'!$B$15,IF(L444&gt;='Scoring Model'!$B$16,'Scoring Model'!$B$17,0))</f>
        <v>0</v>
      </c>
      <c r="AB444" s="3" t="n">
        <f aca="false">IF(SUMPRODUCT(--ISNUMBER(SEARCH('Scoring Model'!$D$16:$D$25,K444)))&gt;0,'Scoring Model'!$B$18,0)</f>
        <v>0</v>
      </c>
      <c r="AC444" s="3" t="n">
        <f aca="false">IF(SUMPRODUCT(--ISNUMBER(SEARCH('Scoring Model'!$G$16:$G$23,K444)))&gt;0,'Scoring Model'!$B$19,0)</f>
        <v>0</v>
      </c>
      <c r="AD444" s="3" t="str">
        <f aca="false">IF(W444="Likely Spam","",SUM(X444:AC444))</f>
        <v/>
      </c>
      <c r="AE444" s="3" t="str">
        <f aca="false">IF(W444="Likely Spam","Spam",IF(AD444&gt;='Scoring Model'!$B$21,"Hot",IF(AD444&gt;='Scoring Model'!$B$22,"Warm","Nurture")))</f>
        <v>Spam</v>
      </c>
      <c r="AF444" s="3" t="str">
        <f aca="false">IF(W444="Likely Spam","Flagged by spam rules",TRIM(IF(X444&gt;=20,"Strong source. ","")&amp;IF(Y444&gt;0,"Company email. ","")&amp;IF(Z444&gt;=15,"High-value product. ","")&amp;IF(AA444&gt;='Scoring Model'!$B$15,"High engagement. ","")&amp;IF(AB444&gt;0,"Buying intent in message. ","")&amp;IF(AC444&lt;0,"Negative intent in message. ","")))</f>
        <v>Flagged by spam rules</v>
      </c>
      <c r="AG444" s="11" t="str">
        <f aca="false">IF(W444="Likely Spam","",1/(1+EXP(-('Conversion Model'!$B$5+IFERROR(INDEX('Conversion Model'!$B$8:$B$14,MATCH(C444,'Conversion Model'!$A$8:$A$14,0)),0)+IFERROR(INDEX('Conversion Model'!$E$8:$E$9,MATCH(F444,'Conversion Model'!$D$8:$D$9,0)),0)+IFERROR(INDEX('Conversion Model'!$H$8:$H$12,MATCH(IF(LEFT(J444,8)="Payments","Payments",IF(LEFT(J444,7)="Lending","Lending",J444)),'Conversion Model'!$G$8:$G$12,0)),0)+MIN(L444,15)*'Conversion Model'!$B$17+IF(SUMPRODUCT(--ISNUMBER(SEARCH('Scoring Model'!$D$16:$D$25,K444)))&gt;0,'Conversion Model'!$B$18,0)+IF(SUMPRODUCT(--ISNUMBER(SEARCH('Scoring Model'!$G$16:$G$23,K444)))&gt;0,'Conversion Model'!$B$19,0)))))</f>
        <v/>
      </c>
      <c r="AH444" s="3" t="str">
        <f aca="false">IF(OR(O444="Qualified",O444="Won",O444="Lost"),1,IF(O444="Unqualified",0,""))</f>
        <v/>
      </c>
    </row>
    <row r="445" customFormat="false" ht="15" hidden="false" customHeight="true" outlineLevel="0" collapsed="false">
      <c r="A445" s="3" t="s">
        <v>1658</v>
      </c>
      <c r="B445" s="9" t="n">
        <v>46140.8729166667</v>
      </c>
      <c r="C445" s="3" t="s">
        <v>76</v>
      </c>
      <c r="D445" s="3" t="s">
        <v>1659</v>
      </c>
      <c r="E445" s="3" t="s">
        <v>1660</v>
      </c>
      <c r="F445" s="3" t="s">
        <v>22</v>
      </c>
      <c r="G445" s="3" t="s">
        <v>79</v>
      </c>
      <c r="H445" s="3" t="s">
        <v>886</v>
      </c>
      <c r="I445" s="3" t="s">
        <v>188</v>
      </c>
      <c r="J445" s="3" t="s">
        <v>122</v>
      </c>
      <c r="K445" s="3" t="s">
        <v>126</v>
      </c>
      <c r="L445" s="3" t="n">
        <v>2</v>
      </c>
      <c r="M445" s="3"/>
      <c r="N445" s="3" t="s">
        <v>67</v>
      </c>
      <c r="O445" s="3" t="s">
        <v>68</v>
      </c>
      <c r="P445" s="10"/>
      <c r="Q445" s="3" t="n">
        <f aca="false">IF(F445="Disposable",1,0)</f>
        <v>0</v>
      </c>
      <c r="R445" s="3" t="n">
        <f aca="false">IF(SUMPRODUCT(--ISNUMBER(SEARCH('Spam Rules'!$A$22:$A$35,K445)))&gt;0,1,0)</f>
        <v>0</v>
      </c>
      <c r="S445" s="3" t="n">
        <f aca="false">IF(AND(F445="Free",G445=""),1,0)</f>
        <v>0</v>
      </c>
      <c r="T445" s="3" t="n">
        <f aca="false">IF(LEN(TRIM(K445))&lt;15,1,0)</f>
        <v>1</v>
      </c>
      <c r="U445" s="3" t="n">
        <f aca="false">IF(COUNTIF($E$2:$E$801,E445)&gt;1,1,0)</f>
        <v>0</v>
      </c>
      <c r="V445" s="3" t="n">
        <f aca="false">Q445*'Spam Rules'!$H$6+R445*'Spam Rules'!$H$7+S445*'Spam Rules'!$H$8+T445*'Spam Rules'!$H$9+U445*'Spam Rules'!$H$10</f>
        <v>1</v>
      </c>
      <c r="W445" s="3" t="str">
        <f aca="false">IF(V445&gt;='Spam Rules'!$B$3,"Likely Spam","Genuine")</f>
        <v>Likely Spam</v>
      </c>
      <c r="X445" s="3" t="n">
        <f aca="false">IFERROR(INDEX('Scoring Model'!$B$5:$B$11,MATCH(C445,'Scoring Model'!$A$5:$A$11,0)),0)</f>
        <v>0</v>
      </c>
      <c r="Y445" s="3" t="n">
        <f aca="false">IFERROR(INDEX('Scoring Model'!$E$5:$E$7,MATCH(F445,'Scoring Model'!$D$5:$D$7,0)),0)</f>
        <v>20</v>
      </c>
      <c r="Z445" s="3" t="n">
        <f aca="false">IFERROR(INDEX('Scoring Model'!$H$5:$H$13,MATCH(J445,'Scoring Model'!$G$5:$G$13,0)),0)</f>
        <v>15</v>
      </c>
      <c r="AA445" s="3" t="n">
        <f aca="false">IF(L445&gt;='Scoring Model'!$B$14,'Scoring Model'!$B$15,IF(L445&gt;='Scoring Model'!$B$16,'Scoring Model'!$B$17,0))</f>
        <v>0</v>
      </c>
      <c r="AB445" s="3" t="n">
        <f aca="false">IF(SUMPRODUCT(--ISNUMBER(SEARCH('Scoring Model'!$D$16:$D$25,K445)))&gt;0,'Scoring Model'!$B$18,0)</f>
        <v>0</v>
      </c>
      <c r="AC445" s="3" t="n">
        <f aca="false">IF(SUMPRODUCT(--ISNUMBER(SEARCH('Scoring Model'!$G$16:$G$23,K445)))&gt;0,'Scoring Model'!$B$19,0)</f>
        <v>0</v>
      </c>
      <c r="AD445" s="3" t="str">
        <f aca="false">IF(W445="Likely Spam","",SUM(X445:AC445))</f>
        <v/>
      </c>
      <c r="AE445" s="3" t="str">
        <f aca="false">IF(W445="Likely Spam","Spam",IF(AD445&gt;='Scoring Model'!$B$21,"Hot",IF(AD445&gt;='Scoring Model'!$B$22,"Warm","Nurture")))</f>
        <v>Spam</v>
      </c>
      <c r="AF445" s="3" t="str">
        <f aca="false">IF(W445="Likely Spam","Flagged by spam rules",TRIM(IF(X445&gt;=20,"Strong source. ","")&amp;IF(Y445&gt;0,"Company email. ","")&amp;IF(Z445&gt;=15,"High-value product. ","")&amp;IF(AA445&gt;='Scoring Model'!$B$15,"High engagement. ","")&amp;IF(AB445&gt;0,"Buying intent in message. ","")&amp;IF(AC445&lt;0,"Negative intent in message. ","")))</f>
        <v>Flagged by spam rules</v>
      </c>
      <c r="AG445" s="11" t="str">
        <f aca="false">IF(W445="Likely Spam","",1/(1+EXP(-('Conversion Model'!$B$5+IFERROR(INDEX('Conversion Model'!$B$8:$B$14,MATCH(C445,'Conversion Model'!$A$8:$A$14,0)),0)+IFERROR(INDEX('Conversion Model'!$E$8:$E$9,MATCH(F445,'Conversion Model'!$D$8:$D$9,0)),0)+IFERROR(INDEX('Conversion Model'!$H$8:$H$12,MATCH(IF(LEFT(J445,8)="Payments","Payments",IF(LEFT(J445,7)="Lending","Lending",J445)),'Conversion Model'!$G$8:$G$12,0)),0)+MIN(L445,15)*'Conversion Model'!$B$17+IF(SUMPRODUCT(--ISNUMBER(SEARCH('Scoring Model'!$D$16:$D$25,K445)))&gt;0,'Conversion Model'!$B$18,0)+IF(SUMPRODUCT(--ISNUMBER(SEARCH('Scoring Model'!$G$16:$G$23,K445)))&gt;0,'Conversion Model'!$B$19,0)))))</f>
        <v/>
      </c>
      <c r="AH445" s="3" t="str">
        <f aca="false">IF(OR(O445="Qualified",O445="Won",O445="Lost"),1,IF(O445="Unqualified",0,""))</f>
        <v/>
      </c>
    </row>
    <row r="446" customFormat="false" ht="15" hidden="false" customHeight="true" outlineLevel="0" collapsed="false">
      <c r="A446" s="3" t="s">
        <v>1661</v>
      </c>
      <c r="B446" s="9" t="n">
        <v>46141.1402777778</v>
      </c>
      <c r="C446" s="3" t="s">
        <v>91</v>
      </c>
      <c r="D446" s="3" t="s">
        <v>1662</v>
      </c>
      <c r="E446" s="3" t="s">
        <v>1663</v>
      </c>
      <c r="F446" s="3" t="s">
        <v>54</v>
      </c>
      <c r="G446" s="3" t="s">
        <v>667</v>
      </c>
      <c r="H446" s="3"/>
      <c r="I446" s="3" t="s">
        <v>188</v>
      </c>
      <c r="J446" s="3" t="s">
        <v>245</v>
      </c>
      <c r="K446" s="3" t="s">
        <v>458</v>
      </c>
      <c r="L446" s="3" t="n">
        <v>3</v>
      </c>
      <c r="M446" s="3" t="n">
        <v>4.7</v>
      </c>
      <c r="N446" s="3" t="s">
        <v>67</v>
      </c>
      <c r="O446" s="3" t="s">
        <v>194</v>
      </c>
      <c r="P446" s="10"/>
      <c r="Q446" s="3" t="n">
        <f aca="false">IF(F446="Disposable",1,0)</f>
        <v>0</v>
      </c>
      <c r="R446" s="3" t="n">
        <f aca="false">IF(SUMPRODUCT(--ISNUMBER(SEARCH('Spam Rules'!$A$22:$A$35,K446)))&gt;0,1,0)</f>
        <v>0</v>
      </c>
      <c r="S446" s="3" t="n">
        <f aca="false">IF(AND(F446="Free",G446=""),1,0)</f>
        <v>0</v>
      </c>
      <c r="T446" s="3" t="n">
        <f aca="false">IF(LEN(TRIM(K446))&lt;15,1,0)</f>
        <v>0</v>
      </c>
      <c r="U446" s="3" t="n">
        <f aca="false">IF(COUNTIF($E$2:$E$801,E446)&gt;1,1,0)</f>
        <v>0</v>
      </c>
      <c r="V446" s="3" t="n">
        <f aca="false">Q446*'Spam Rules'!$H$6+R446*'Spam Rules'!$H$7+S446*'Spam Rules'!$H$8+T446*'Spam Rules'!$H$9+U446*'Spam Rules'!$H$10</f>
        <v>0</v>
      </c>
      <c r="W446" s="3" t="str">
        <f aca="false">IF(V446&gt;='Spam Rules'!$B$3,"Likely Spam","Genuine")</f>
        <v>Genuine</v>
      </c>
      <c r="X446" s="3" t="n">
        <f aca="false">IFERROR(INDEX('Scoring Model'!$B$5:$B$11,MATCH(C446,'Scoring Model'!$A$5:$A$11,0)),0)</f>
        <v>5</v>
      </c>
      <c r="Y446" s="3" t="n">
        <f aca="false">IFERROR(INDEX('Scoring Model'!$E$5:$E$7,MATCH(F446,'Scoring Model'!$D$5:$D$7,0)),0)</f>
        <v>0</v>
      </c>
      <c r="Z446" s="3" t="n">
        <f aca="false">IFERROR(INDEX('Scoring Model'!$H$5:$H$13,MATCH(J446,'Scoring Model'!$G$5:$G$13,0)),0)</f>
        <v>15</v>
      </c>
      <c r="AA446" s="3" t="n">
        <f aca="false">IF(L446&gt;='Scoring Model'!$B$14,'Scoring Model'!$B$15,IF(L446&gt;='Scoring Model'!$B$16,'Scoring Model'!$B$17,0))</f>
        <v>0</v>
      </c>
      <c r="AB446" s="3" t="n">
        <f aca="false">IF(SUMPRODUCT(--ISNUMBER(SEARCH('Scoring Model'!$D$16:$D$25,K446)))&gt;0,'Scoring Model'!$B$18,0)</f>
        <v>15</v>
      </c>
      <c r="AC446" s="3" t="n">
        <f aca="false">IF(SUMPRODUCT(--ISNUMBER(SEARCH('Scoring Model'!$G$16:$G$23,K446)))&gt;0,'Scoring Model'!$B$19,0)</f>
        <v>0</v>
      </c>
      <c r="AD446" s="3" t="n">
        <f aca="false">IF(W446="Likely Spam","",SUM(X446:AC446))</f>
        <v>35</v>
      </c>
      <c r="AE446" s="3" t="str">
        <f aca="false">IF(W446="Likely Spam","Spam",IF(AD446&gt;='Scoring Model'!$B$21,"Hot",IF(AD446&gt;='Scoring Model'!$B$22,"Warm","Nurture")))</f>
        <v>Nurture</v>
      </c>
      <c r="AF446" s="3" t="str">
        <f aca="false">IF(W446="Likely Spam","Flagged by spam rules",TRIM(IF(X446&gt;=20,"Strong source. ","")&amp;IF(Y446&gt;0,"Company email. ","")&amp;IF(Z446&gt;=15,"High-value product. ","")&amp;IF(AA446&gt;='Scoring Model'!$B$15,"High engagement. ","")&amp;IF(AB446&gt;0,"Buying intent in message. ","")&amp;IF(AC446&lt;0,"Negative intent in message. ","")))</f>
        <v>High-value product. Buying intent in message.</v>
      </c>
      <c r="AG446" s="11" t="n">
        <f aca="false">IF(W446="Likely Spam","",1/(1+EXP(-('Conversion Model'!$B$5+IFERROR(INDEX('Conversion Model'!$B$8:$B$14,MATCH(C446,'Conversion Model'!$A$8:$A$14,0)),0)+IFERROR(INDEX('Conversion Model'!$E$8:$E$9,MATCH(F446,'Conversion Model'!$D$8:$D$9,0)),0)+IFERROR(INDEX('Conversion Model'!$H$8:$H$12,MATCH(IF(LEFT(J446,8)="Payments","Payments",IF(LEFT(J446,7)="Lending","Lending",J446)),'Conversion Model'!$G$8:$G$12,0)),0)+MIN(L446,15)*'Conversion Model'!$B$17+IF(SUMPRODUCT(--ISNUMBER(SEARCH('Scoring Model'!$D$16:$D$25,K446)))&gt;0,'Conversion Model'!$B$18,0)+IF(SUMPRODUCT(--ISNUMBER(SEARCH('Scoring Model'!$G$16:$G$23,K446)))&gt;0,'Conversion Model'!$B$19,0)))))</f>
        <v>0.254074158515412</v>
      </c>
      <c r="AH446" s="3" t="n">
        <f aca="false">IF(OR(O446="Qualified",O446="Won",O446="Lost"),1,IF(O446="Unqualified",0,""))</f>
        <v>0</v>
      </c>
    </row>
    <row r="447" customFormat="false" ht="15" hidden="false" customHeight="true" outlineLevel="0" collapsed="false">
      <c r="A447" s="3" t="s">
        <v>1664</v>
      </c>
      <c r="B447" s="9" t="n">
        <v>46141.5930555556</v>
      </c>
      <c r="C447" s="3" t="s">
        <v>76</v>
      </c>
      <c r="D447" s="3" t="s">
        <v>896</v>
      </c>
      <c r="E447" s="3" t="s">
        <v>1665</v>
      </c>
      <c r="F447" s="3" t="s">
        <v>54</v>
      </c>
      <c r="G447" s="3"/>
      <c r="H447" s="3"/>
      <c r="I447" s="3" t="s">
        <v>204</v>
      </c>
      <c r="J447" s="3" t="s">
        <v>65</v>
      </c>
      <c r="K447" s="3" t="s">
        <v>82</v>
      </c>
      <c r="L447" s="3" t="n">
        <v>2</v>
      </c>
      <c r="M447" s="3" t="n">
        <v>16.9</v>
      </c>
      <c r="N447" s="3" t="s">
        <v>67</v>
      </c>
      <c r="O447" s="3"/>
      <c r="P447" s="10"/>
      <c r="Q447" s="3" t="n">
        <f aca="false">IF(F447="Disposable",1,0)</f>
        <v>0</v>
      </c>
      <c r="R447" s="3" t="n">
        <f aca="false">IF(SUMPRODUCT(--ISNUMBER(SEARCH('Spam Rules'!$A$22:$A$35,K447)))&gt;0,1,0)</f>
        <v>1</v>
      </c>
      <c r="S447" s="3" t="n">
        <f aca="false">IF(AND(F447="Free",G447=""),1,0)</f>
        <v>1</v>
      </c>
      <c r="T447" s="3" t="n">
        <f aca="false">IF(LEN(TRIM(K447))&lt;15,1,0)</f>
        <v>0</v>
      </c>
      <c r="U447" s="3" t="n">
        <f aca="false">IF(COUNTIF($E$2:$E$801,E447)&gt;1,1,0)</f>
        <v>1</v>
      </c>
      <c r="V447" s="3" t="n">
        <f aca="false">Q447*'Spam Rules'!$H$6+R447*'Spam Rules'!$H$7+S447*'Spam Rules'!$H$8+T447*'Spam Rules'!$H$9+U447*'Spam Rules'!$H$10</f>
        <v>1</v>
      </c>
      <c r="W447" s="3" t="str">
        <f aca="false">IF(V447&gt;='Spam Rules'!$B$3,"Likely Spam","Genuine")</f>
        <v>Likely Spam</v>
      </c>
      <c r="X447" s="3" t="n">
        <f aca="false">IFERROR(INDEX('Scoring Model'!$B$5:$B$11,MATCH(C447,'Scoring Model'!$A$5:$A$11,0)),0)</f>
        <v>0</v>
      </c>
      <c r="Y447" s="3" t="n">
        <f aca="false">IFERROR(INDEX('Scoring Model'!$E$5:$E$7,MATCH(F447,'Scoring Model'!$D$5:$D$7,0)),0)</f>
        <v>0</v>
      </c>
      <c r="Z447" s="3" t="n">
        <f aca="false">IFERROR(INDEX('Scoring Model'!$H$5:$H$13,MATCH(J447,'Scoring Model'!$G$5:$G$13,0)),0)</f>
        <v>0</v>
      </c>
      <c r="AA447" s="3" t="n">
        <f aca="false">IF(L447&gt;='Scoring Model'!$B$14,'Scoring Model'!$B$15,IF(L447&gt;='Scoring Model'!$B$16,'Scoring Model'!$B$17,0))</f>
        <v>0</v>
      </c>
      <c r="AB447" s="3" t="n">
        <f aca="false">IF(SUMPRODUCT(--ISNUMBER(SEARCH('Scoring Model'!$D$16:$D$25,K447)))&gt;0,'Scoring Model'!$B$18,0)</f>
        <v>0</v>
      </c>
      <c r="AC447" s="3" t="n">
        <f aca="false">IF(SUMPRODUCT(--ISNUMBER(SEARCH('Scoring Model'!$G$16:$G$23,K447)))&gt;0,'Scoring Model'!$B$19,0)</f>
        <v>0</v>
      </c>
      <c r="AD447" s="3" t="str">
        <f aca="false">IF(W447="Likely Spam","",SUM(X447:AC447))</f>
        <v/>
      </c>
      <c r="AE447" s="3" t="str">
        <f aca="false">IF(W447="Likely Spam","Spam",IF(AD447&gt;='Scoring Model'!$B$21,"Hot",IF(AD447&gt;='Scoring Model'!$B$22,"Warm","Nurture")))</f>
        <v>Spam</v>
      </c>
      <c r="AF447" s="3" t="str">
        <f aca="false">IF(W447="Likely Spam","Flagged by spam rules",TRIM(IF(X447&gt;=20,"Strong source. ","")&amp;IF(Y447&gt;0,"Company email. ","")&amp;IF(Z447&gt;=15,"High-value product. ","")&amp;IF(AA447&gt;='Scoring Model'!$B$15,"High engagement. ","")&amp;IF(AB447&gt;0,"Buying intent in message. ","")&amp;IF(AC447&lt;0,"Negative intent in message. ","")))</f>
        <v>Flagged by spam rules</v>
      </c>
      <c r="AG447" s="11" t="str">
        <f aca="false">IF(W447="Likely Spam","",1/(1+EXP(-('Conversion Model'!$B$5+IFERROR(INDEX('Conversion Model'!$B$8:$B$14,MATCH(C447,'Conversion Model'!$A$8:$A$14,0)),0)+IFERROR(INDEX('Conversion Model'!$E$8:$E$9,MATCH(F447,'Conversion Model'!$D$8:$D$9,0)),0)+IFERROR(INDEX('Conversion Model'!$H$8:$H$12,MATCH(IF(LEFT(J447,8)="Payments","Payments",IF(LEFT(J447,7)="Lending","Lending",J447)),'Conversion Model'!$G$8:$G$12,0)),0)+MIN(L447,15)*'Conversion Model'!$B$17+IF(SUMPRODUCT(--ISNUMBER(SEARCH('Scoring Model'!$D$16:$D$25,K447)))&gt;0,'Conversion Model'!$B$18,0)+IF(SUMPRODUCT(--ISNUMBER(SEARCH('Scoring Model'!$G$16:$G$23,K447)))&gt;0,'Conversion Model'!$B$19,0)))))</f>
        <v/>
      </c>
      <c r="AH447" s="3" t="str">
        <f aca="false">IF(OR(O447="Qualified",O447="Won",O447="Lost"),1,IF(O447="Unqualified",0,""))</f>
        <v/>
      </c>
    </row>
    <row r="448" customFormat="false" ht="15" hidden="false" customHeight="true" outlineLevel="0" collapsed="false">
      <c r="A448" s="3" t="s">
        <v>1666</v>
      </c>
      <c r="B448" s="9" t="n">
        <v>46141.6854166667</v>
      </c>
      <c r="C448" s="3" t="s">
        <v>51</v>
      </c>
      <c r="D448" s="3" t="s">
        <v>1350</v>
      </c>
      <c r="E448" s="3" t="s">
        <v>1667</v>
      </c>
      <c r="F448" s="3" t="s">
        <v>54</v>
      </c>
      <c r="G448" s="3"/>
      <c r="H448" s="3"/>
      <c r="I448" s="3" t="s">
        <v>80</v>
      </c>
      <c r="J448" s="3" t="s">
        <v>122</v>
      </c>
      <c r="K448" s="3" t="s">
        <v>657</v>
      </c>
      <c r="L448" s="3" t="n">
        <v>1</v>
      </c>
      <c r="M448" s="3" t="n">
        <v>5.1</v>
      </c>
      <c r="N448" s="3" t="s">
        <v>67</v>
      </c>
      <c r="O448" s="3"/>
      <c r="P448" s="10"/>
      <c r="Q448" s="3" t="n">
        <f aca="false">IF(F448="Disposable",1,0)</f>
        <v>0</v>
      </c>
      <c r="R448" s="3" t="n">
        <f aca="false">IF(SUMPRODUCT(--ISNUMBER(SEARCH('Spam Rules'!$A$22:$A$35,K448)))&gt;0,1,0)</f>
        <v>1</v>
      </c>
      <c r="S448" s="3" t="n">
        <f aca="false">IF(AND(F448="Free",G448=""),1,0)</f>
        <v>1</v>
      </c>
      <c r="T448" s="3" t="n">
        <f aca="false">IF(LEN(TRIM(K448))&lt;15,1,0)</f>
        <v>0</v>
      </c>
      <c r="U448" s="3" t="n">
        <f aca="false">IF(COUNTIF($E$2:$E$801,E448)&gt;1,1,0)</f>
        <v>0</v>
      </c>
      <c r="V448" s="3" t="n">
        <f aca="false">Q448*'Spam Rules'!$H$6+R448*'Spam Rules'!$H$7+S448*'Spam Rules'!$H$8+T448*'Spam Rules'!$H$9+U448*'Spam Rules'!$H$10</f>
        <v>1</v>
      </c>
      <c r="W448" s="3" t="str">
        <f aca="false">IF(V448&gt;='Spam Rules'!$B$3,"Likely Spam","Genuine")</f>
        <v>Likely Spam</v>
      </c>
      <c r="X448" s="3" t="n">
        <f aca="false">IFERROR(INDEX('Scoring Model'!$B$5:$B$11,MATCH(C448,'Scoring Model'!$A$5:$A$11,0)),0)</f>
        <v>10</v>
      </c>
      <c r="Y448" s="3" t="n">
        <f aca="false">IFERROR(INDEX('Scoring Model'!$E$5:$E$7,MATCH(F448,'Scoring Model'!$D$5:$D$7,0)),0)</f>
        <v>0</v>
      </c>
      <c r="Z448" s="3" t="n">
        <f aca="false">IFERROR(INDEX('Scoring Model'!$H$5:$H$13,MATCH(J448,'Scoring Model'!$G$5:$G$13,0)),0)</f>
        <v>15</v>
      </c>
      <c r="AA448" s="3" t="n">
        <f aca="false">IF(L448&gt;='Scoring Model'!$B$14,'Scoring Model'!$B$15,IF(L448&gt;='Scoring Model'!$B$16,'Scoring Model'!$B$17,0))</f>
        <v>0</v>
      </c>
      <c r="AB448" s="3" t="n">
        <f aca="false">IF(SUMPRODUCT(--ISNUMBER(SEARCH('Scoring Model'!$D$16:$D$25,K448)))&gt;0,'Scoring Model'!$B$18,0)</f>
        <v>0</v>
      </c>
      <c r="AC448" s="3" t="n">
        <f aca="false">IF(SUMPRODUCT(--ISNUMBER(SEARCH('Scoring Model'!$G$16:$G$23,K448)))&gt;0,'Scoring Model'!$B$19,0)</f>
        <v>0</v>
      </c>
      <c r="AD448" s="3" t="str">
        <f aca="false">IF(W448="Likely Spam","",SUM(X448:AC448))</f>
        <v/>
      </c>
      <c r="AE448" s="3" t="str">
        <f aca="false">IF(W448="Likely Spam","Spam",IF(AD448&gt;='Scoring Model'!$B$21,"Hot",IF(AD448&gt;='Scoring Model'!$B$22,"Warm","Nurture")))</f>
        <v>Spam</v>
      </c>
      <c r="AF448" s="3" t="str">
        <f aca="false">IF(W448="Likely Spam","Flagged by spam rules",TRIM(IF(X448&gt;=20,"Strong source. ","")&amp;IF(Y448&gt;0,"Company email. ","")&amp;IF(Z448&gt;=15,"High-value product. ","")&amp;IF(AA448&gt;='Scoring Model'!$B$15,"High engagement. ","")&amp;IF(AB448&gt;0,"Buying intent in message. ","")&amp;IF(AC448&lt;0,"Negative intent in message. ","")))</f>
        <v>Flagged by spam rules</v>
      </c>
      <c r="AG448" s="11" t="str">
        <f aca="false">IF(W448="Likely Spam","",1/(1+EXP(-('Conversion Model'!$B$5+IFERROR(INDEX('Conversion Model'!$B$8:$B$14,MATCH(C448,'Conversion Model'!$A$8:$A$14,0)),0)+IFERROR(INDEX('Conversion Model'!$E$8:$E$9,MATCH(F448,'Conversion Model'!$D$8:$D$9,0)),0)+IFERROR(INDEX('Conversion Model'!$H$8:$H$12,MATCH(IF(LEFT(J448,8)="Payments","Payments",IF(LEFT(J448,7)="Lending","Lending",J448)),'Conversion Model'!$G$8:$G$12,0)),0)+MIN(L448,15)*'Conversion Model'!$B$17+IF(SUMPRODUCT(--ISNUMBER(SEARCH('Scoring Model'!$D$16:$D$25,K448)))&gt;0,'Conversion Model'!$B$18,0)+IF(SUMPRODUCT(--ISNUMBER(SEARCH('Scoring Model'!$G$16:$G$23,K448)))&gt;0,'Conversion Model'!$B$19,0)))))</f>
        <v/>
      </c>
      <c r="AH448" s="3" t="str">
        <f aca="false">IF(OR(O448="Qualified",O448="Won",O448="Lost"),1,IF(O448="Unqualified",0,""))</f>
        <v/>
      </c>
    </row>
    <row r="449" customFormat="false" ht="15" hidden="false" customHeight="true" outlineLevel="0" collapsed="false">
      <c r="A449" s="3" t="s">
        <v>1668</v>
      </c>
      <c r="B449" s="9" t="n">
        <v>46141.9847222222</v>
      </c>
      <c r="C449" s="3" t="s">
        <v>51</v>
      </c>
      <c r="D449" s="3" t="s">
        <v>1669</v>
      </c>
      <c r="E449" s="3" t="s">
        <v>1670</v>
      </c>
      <c r="F449" s="3" t="s">
        <v>54</v>
      </c>
      <c r="G449" s="3" t="s">
        <v>79</v>
      </c>
      <c r="H449" s="3"/>
      <c r="I449" s="3" t="s">
        <v>64</v>
      </c>
      <c r="J449" s="3" t="s">
        <v>81</v>
      </c>
      <c r="K449" s="3" t="s">
        <v>657</v>
      </c>
      <c r="L449" s="3" t="n">
        <v>1</v>
      </c>
      <c r="M449" s="3" t="n">
        <v>41.4</v>
      </c>
      <c r="N449" s="3" t="s">
        <v>96</v>
      </c>
      <c r="O449" s="3" t="s">
        <v>68</v>
      </c>
      <c r="P449" s="10"/>
      <c r="Q449" s="3" t="n">
        <f aca="false">IF(F449="Disposable",1,0)</f>
        <v>0</v>
      </c>
      <c r="R449" s="3" t="n">
        <f aca="false">IF(SUMPRODUCT(--ISNUMBER(SEARCH('Spam Rules'!$A$22:$A$35,K449)))&gt;0,1,0)</f>
        <v>1</v>
      </c>
      <c r="S449" s="3" t="n">
        <f aca="false">IF(AND(F449="Free",G449=""),1,0)</f>
        <v>0</v>
      </c>
      <c r="T449" s="3" t="n">
        <f aca="false">IF(LEN(TRIM(K449))&lt;15,1,0)</f>
        <v>0</v>
      </c>
      <c r="U449" s="3" t="n">
        <f aca="false">IF(COUNTIF($E$2:$E$801,E449)&gt;1,1,0)</f>
        <v>0</v>
      </c>
      <c r="V449" s="3" t="n">
        <f aca="false">Q449*'Spam Rules'!$H$6+R449*'Spam Rules'!$H$7+S449*'Spam Rules'!$H$8+T449*'Spam Rules'!$H$9+U449*'Spam Rules'!$H$10</f>
        <v>1</v>
      </c>
      <c r="W449" s="3" t="str">
        <f aca="false">IF(V449&gt;='Spam Rules'!$B$3,"Likely Spam","Genuine")</f>
        <v>Likely Spam</v>
      </c>
      <c r="X449" s="3" t="n">
        <f aca="false">IFERROR(INDEX('Scoring Model'!$B$5:$B$11,MATCH(C449,'Scoring Model'!$A$5:$A$11,0)),0)</f>
        <v>10</v>
      </c>
      <c r="Y449" s="3" t="n">
        <f aca="false">IFERROR(INDEX('Scoring Model'!$E$5:$E$7,MATCH(F449,'Scoring Model'!$D$5:$D$7,0)),0)</f>
        <v>0</v>
      </c>
      <c r="Z449" s="3" t="n">
        <f aca="false">IFERROR(INDEX('Scoring Model'!$H$5:$H$13,MATCH(J449,'Scoring Model'!$G$5:$G$13,0)),0)</f>
        <v>5</v>
      </c>
      <c r="AA449" s="3" t="n">
        <f aca="false">IF(L449&gt;='Scoring Model'!$B$14,'Scoring Model'!$B$15,IF(L449&gt;='Scoring Model'!$B$16,'Scoring Model'!$B$17,0))</f>
        <v>0</v>
      </c>
      <c r="AB449" s="3" t="n">
        <f aca="false">IF(SUMPRODUCT(--ISNUMBER(SEARCH('Scoring Model'!$D$16:$D$25,K449)))&gt;0,'Scoring Model'!$B$18,0)</f>
        <v>0</v>
      </c>
      <c r="AC449" s="3" t="n">
        <f aca="false">IF(SUMPRODUCT(--ISNUMBER(SEARCH('Scoring Model'!$G$16:$G$23,K449)))&gt;0,'Scoring Model'!$B$19,0)</f>
        <v>0</v>
      </c>
      <c r="AD449" s="3" t="str">
        <f aca="false">IF(W449="Likely Spam","",SUM(X449:AC449))</f>
        <v/>
      </c>
      <c r="AE449" s="3" t="str">
        <f aca="false">IF(W449="Likely Spam","Spam",IF(AD449&gt;='Scoring Model'!$B$21,"Hot",IF(AD449&gt;='Scoring Model'!$B$22,"Warm","Nurture")))</f>
        <v>Spam</v>
      </c>
      <c r="AF449" s="3" t="str">
        <f aca="false">IF(W449="Likely Spam","Flagged by spam rules",TRIM(IF(X449&gt;=20,"Strong source. ","")&amp;IF(Y449&gt;0,"Company email. ","")&amp;IF(Z449&gt;=15,"High-value product. ","")&amp;IF(AA449&gt;='Scoring Model'!$B$15,"High engagement. ","")&amp;IF(AB449&gt;0,"Buying intent in message. ","")&amp;IF(AC449&lt;0,"Negative intent in message. ","")))</f>
        <v>Flagged by spam rules</v>
      </c>
      <c r="AG449" s="11" t="str">
        <f aca="false">IF(W449="Likely Spam","",1/(1+EXP(-('Conversion Model'!$B$5+IFERROR(INDEX('Conversion Model'!$B$8:$B$14,MATCH(C449,'Conversion Model'!$A$8:$A$14,0)),0)+IFERROR(INDEX('Conversion Model'!$E$8:$E$9,MATCH(F449,'Conversion Model'!$D$8:$D$9,0)),0)+IFERROR(INDEX('Conversion Model'!$H$8:$H$12,MATCH(IF(LEFT(J449,8)="Payments","Payments",IF(LEFT(J449,7)="Lending","Lending",J449)),'Conversion Model'!$G$8:$G$12,0)),0)+MIN(L449,15)*'Conversion Model'!$B$17+IF(SUMPRODUCT(--ISNUMBER(SEARCH('Scoring Model'!$D$16:$D$25,K449)))&gt;0,'Conversion Model'!$B$18,0)+IF(SUMPRODUCT(--ISNUMBER(SEARCH('Scoring Model'!$G$16:$G$23,K449)))&gt;0,'Conversion Model'!$B$19,0)))))</f>
        <v/>
      </c>
      <c r="AH449" s="3" t="str">
        <f aca="false">IF(OR(O449="Qualified",O449="Won",O449="Lost"),1,IF(O449="Unqualified",0,""))</f>
        <v/>
      </c>
    </row>
    <row r="450" customFormat="false" ht="15" hidden="false" customHeight="true" outlineLevel="0" collapsed="false">
      <c r="A450" s="3" t="s">
        <v>1671</v>
      </c>
      <c r="B450" s="9" t="n">
        <v>46142.0583333333</v>
      </c>
      <c r="C450" s="3" t="s">
        <v>135</v>
      </c>
      <c r="D450" s="3" t="s">
        <v>1672</v>
      </c>
      <c r="E450" s="3" t="s">
        <v>1673</v>
      </c>
      <c r="F450" s="3" t="s">
        <v>54</v>
      </c>
      <c r="G450" s="3" t="s">
        <v>432</v>
      </c>
      <c r="H450" s="3"/>
      <c r="I450" s="3" t="s">
        <v>188</v>
      </c>
      <c r="J450" s="3" t="s">
        <v>145</v>
      </c>
      <c r="K450" s="3" t="s">
        <v>74</v>
      </c>
      <c r="L450" s="3" t="n">
        <v>1</v>
      </c>
      <c r="M450" s="3" t="n">
        <v>16.2</v>
      </c>
      <c r="N450" s="3" t="s">
        <v>171</v>
      </c>
      <c r="O450" s="3" t="s">
        <v>194</v>
      </c>
      <c r="P450" s="10"/>
      <c r="Q450" s="3" t="n">
        <f aca="false">IF(F450="Disposable",1,0)</f>
        <v>0</v>
      </c>
      <c r="R450" s="3" t="n">
        <f aca="false">IF(SUMPRODUCT(--ISNUMBER(SEARCH('Spam Rules'!$A$22:$A$35,K450)))&gt;0,1,0)</f>
        <v>0</v>
      </c>
      <c r="S450" s="3" t="n">
        <f aca="false">IF(AND(F450="Free",G450=""),1,0)</f>
        <v>0</v>
      </c>
      <c r="T450" s="3" t="n">
        <f aca="false">IF(LEN(TRIM(K450))&lt;15,1,0)</f>
        <v>0</v>
      </c>
      <c r="U450" s="3" t="n">
        <f aca="false">IF(COUNTIF($E$2:$E$801,E450)&gt;1,1,0)</f>
        <v>0</v>
      </c>
      <c r="V450" s="3" t="n">
        <f aca="false">Q450*'Spam Rules'!$H$6+R450*'Spam Rules'!$H$7+S450*'Spam Rules'!$H$8+T450*'Spam Rules'!$H$9+U450*'Spam Rules'!$H$10</f>
        <v>0</v>
      </c>
      <c r="W450" s="3" t="str">
        <f aca="false">IF(V450&gt;='Spam Rules'!$B$3,"Likely Spam","Genuine")</f>
        <v>Genuine</v>
      </c>
      <c r="X450" s="3" t="n">
        <f aca="false">IFERROR(INDEX('Scoring Model'!$B$5:$B$11,MATCH(C450,'Scoring Model'!$A$5:$A$11,0)),0)</f>
        <v>20</v>
      </c>
      <c r="Y450" s="3" t="n">
        <f aca="false">IFERROR(INDEX('Scoring Model'!$E$5:$E$7,MATCH(F450,'Scoring Model'!$D$5:$D$7,0)),0)</f>
        <v>0</v>
      </c>
      <c r="Z450" s="3" t="n">
        <f aca="false">IFERROR(INDEX('Scoring Model'!$H$5:$H$13,MATCH(J450,'Scoring Model'!$G$5:$G$13,0)),0)</f>
        <v>5</v>
      </c>
      <c r="AA450" s="3" t="n">
        <f aca="false">IF(L450&gt;='Scoring Model'!$B$14,'Scoring Model'!$B$15,IF(L450&gt;='Scoring Model'!$B$16,'Scoring Model'!$B$17,0))</f>
        <v>0</v>
      </c>
      <c r="AB450" s="3" t="n">
        <f aca="false">IF(SUMPRODUCT(--ISNUMBER(SEARCH('Scoring Model'!$D$16:$D$25,K450)))&gt;0,'Scoring Model'!$B$18,0)</f>
        <v>0</v>
      </c>
      <c r="AC450" s="3" t="n">
        <f aca="false">IF(SUMPRODUCT(--ISNUMBER(SEARCH('Scoring Model'!$G$16:$G$23,K450)))&gt;0,'Scoring Model'!$B$19,0)</f>
        <v>-30</v>
      </c>
      <c r="AD450" s="3" t="n">
        <f aca="false">IF(W450="Likely Spam","",SUM(X450:AC450))</f>
        <v>-5</v>
      </c>
      <c r="AE450" s="3" t="str">
        <f aca="false">IF(W450="Likely Spam","Spam",IF(AD450&gt;='Scoring Model'!$B$21,"Hot",IF(AD450&gt;='Scoring Model'!$B$22,"Warm","Nurture")))</f>
        <v>Nurture</v>
      </c>
      <c r="AF450" s="3" t="str">
        <f aca="false">IF(W450="Likely Spam","Flagged by spam rules",TRIM(IF(X450&gt;=20,"Strong source. ","")&amp;IF(Y450&gt;0,"Company email. ","")&amp;IF(Z450&gt;=15,"High-value product. ","")&amp;IF(AA450&gt;='Scoring Model'!$B$15,"High engagement. ","")&amp;IF(AB450&gt;0,"Buying intent in message. ","")&amp;IF(AC450&lt;0,"Negative intent in message. ","")))</f>
        <v>Strong source. Negative intent in message.</v>
      </c>
      <c r="AG450" s="11" t="n">
        <f aca="false">IF(W450="Likely Spam","",1/(1+EXP(-('Conversion Model'!$B$5+IFERROR(INDEX('Conversion Model'!$B$8:$B$14,MATCH(C450,'Conversion Model'!$A$8:$A$14,0)),0)+IFERROR(INDEX('Conversion Model'!$E$8:$E$9,MATCH(F450,'Conversion Model'!$D$8:$D$9,0)),0)+IFERROR(INDEX('Conversion Model'!$H$8:$H$12,MATCH(IF(LEFT(J450,8)="Payments","Payments",IF(LEFT(J450,7)="Lending","Lending",J450)),'Conversion Model'!$G$8:$G$12,0)),0)+MIN(L450,15)*'Conversion Model'!$B$17+IF(SUMPRODUCT(--ISNUMBER(SEARCH('Scoring Model'!$D$16:$D$25,K450)))&gt;0,'Conversion Model'!$B$18,0)+IF(SUMPRODUCT(--ISNUMBER(SEARCH('Scoring Model'!$G$16:$G$23,K450)))&gt;0,'Conversion Model'!$B$19,0)))))</f>
        <v>0.0030976779835662</v>
      </c>
      <c r="AH450" s="3" t="n">
        <f aca="false">IF(OR(O450="Qualified",O450="Won",O450="Lost"),1,IF(O450="Unqualified",0,""))</f>
        <v>0</v>
      </c>
    </row>
    <row r="451" customFormat="false" ht="15" hidden="false" customHeight="true" outlineLevel="0" collapsed="false">
      <c r="A451" s="3" t="s">
        <v>1674</v>
      </c>
      <c r="B451" s="9" t="n">
        <v>46142.1041666667</v>
      </c>
      <c r="C451" s="3" t="s">
        <v>76</v>
      </c>
      <c r="D451" s="3" t="s">
        <v>1675</v>
      </c>
      <c r="E451" s="3" t="s">
        <v>1676</v>
      </c>
      <c r="F451" s="3" t="s">
        <v>22</v>
      </c>
      <c r="G451" s="3" t="s">
        <v>1611</v>
      </c>
      <c r="H451" s="3" t="s">
        <v>1677</v>
      </c>
      <c r="I451" s="3" t="s">
        <v>94</v>
      </c>
      <c r="J451" s="3" t="s">
        <v>81</v>
      </c>
      <c r="K451" s="3" t="s">
        <v>58</v>
      </c>
      <c r="L451" s="3" t="n">
        <v>4</v>
      </c>
      <c r="M451" s="3" t="n">
        <v>6.7</v>
      </c>
      <c r="N451" s="3" t="s">
        <v>67</v>
      </c>
      <c r="O451" s="3" t="s">
        <v>133</v>
      </c>
      <c r="P451" s="10"/>
      <c r="Q451" s="3" t="n">
        <f aca="false">IF(F451="Disposable",1,0)</f>
        <v>0</v>
      </c>
      <c r="R451" s="3" t="n">
        <f aca="false">IF(SUMPRODUCT(--ISNUMBER(SEARCH('Spam Rules'!$A$22:$A$35,K451)))&gt;0,1,0)</f>
        <v>0</v>
      </c>
      <c r="S451" s="3" t="n">
        <f aca="false">IF(AND(F451="Free",G451=""),1,0)</f>
        <v>0</v>
      </c>
      <c r="T451" s="3" t="n">
        <f aca="false">IF(LEN(TRIM(K451))&lt;15,1,0)</f>
        <v>0</v>
      </c>
      <c r="U451" s="3" t="n">
        <f aca="false">IF(COUNTIF($E$2:$E$801,E451)&gt;1,1,0)</f>
        <v>0</v>
      </c>
      <c r="V451" s="3" t="n">
        <f aca="false">Q451*'Spam Rules'!$H$6+R451*'Spam Rules'!$H$7+S451*'Spam Rules'!$H$8+T451*'Spam Rules'!$H$9+U451*'Spam Rules'!$H$10</f>
        <v>0</v>
      </c>
      <c r="W451" s="3" t="str">
        <f aca="false">IF(V451&gt;='Spam Rules'!$B$3,"Likely Spam","Genuine")</f>
        <v>Genuine</v>
      </c>
      <c r="X451" s="3" t="n">
        <f aca="false">IFERROR(INDEX('Scoring Model'!$B$5:$B$11,MATCH(C451,'Scoring Model'!$A$5:$A$11,0)),0)</f>
        <v>0</v>
      </c>
      <c r="Y451" s="3" t="n">
        <f aca="false">IFERROR(INDEX('Scoring Model'!$E$5:$E$7,MATCH(F451,'Scoring Model'!$D$5:$D$7,0)),0)</f>
        <v>20</v>
      </c>
      <c r="Z451" s="3" t="n">
        <f aca="false">IFERROR(INDEX('Scoring Model'!$H$5:$H$13,MATCH(J451,'Scoring Model'!$G$5:$G$13,0)),0)</f>
        <v>5</v>
      </c>
      <c r="AA451" s="3" t="n">
        <f aca="false">IF(L451&gt;='Scoring Model'!$B$14,'Scoring Model'!$B$15,IF(L451&gt;='Scoring Model'!$B$16,'Scoring Model'!$B$17,0))</f>
        <v>8</v>
      </c>
      <c r="AB451" s="3" t="n">
        <f aca="false">IF(SUMPRODUCT(--ISNUMBER(SEARCH('Scoring Model'!$D$16:$D$25,K451)))&gt;0,'Scoring Model'!$B$18,0)</f>
        <v>15</v>
      </c>
      <c r="AC451" s="3" t="n">
        <f aca="false">IF(SUMPRODUCT(--ISNUMBER(SEARCH('Scoring Model'!$G$16:$G$23,K451)))&gt;0,'Scoring Model'!$B$19,0)</f>
        <v>0</v>
      </c>
      <c r="AD451" s="3" t="n">
        <f aca="false">IF(W451="Likely Spam","",SUM(X451:AC451))</f>
        <v>48</v>
      </c>
      <c r="AE451" s="3" t="str">
        <f aca="false">IF(W451="Likely Spam","Spam",IF(AD451&gt;='Scoring Model'!$B$21,"Hot",IF(AD451&gt;='Scoring Model'!$B$22,"Warm","Nurture")))</f>
        <v>Warm</v>
      </c>
      <c r="AF451" s="3" t="str">
        <f aca="false">IF(W451="Likely Spam","Flagged by spam rules",TRIM(IF(X451&gt;=20,"Strong source. ","")&amp;IF(Y451&gt;0,"Company email. ","")&amp;IF(Z451&gt;=15,"High-value product. ","")&amp;IF(AA451&gt;='Scoring Model'!$B$15,"High engagement. ","")&amp;IF(AB451&gt;0,"Buying intent in message. ","")&amp;IF(AC451&lt;0,"Negative intent in message. ","")))</f>
        <v>Company email. Buying intent in message.</v>
      </c>
      <c r="AG451" s="11" t="n">
        <f aca="false">IF(W451="Likely Spam","",1/(1+EXP(-('Conversion Model'!$B$5+IFERROR(INDEX('Conversion Model'!$B$8:$B$14,MATCH(C451,'Conversion Model'!$A$8:$A$14,0)),0)+IFERROR(INDEX('Conversion Model'!$E$8:$E$9,MATCH(F451,'Conversion Model'!$D$8:$D$9,0)),0)+IFERROR(INDEX('Conversion Model'!$H$8:$H$12,MATCH(IF(LEFT(J451,8)="Payments","Payments",IF(LEFT(J451,7)="Lending","Lending",J451)),'Conversion Model'!$G$8:$G$12,0)),0)+MIN(L451,15)*'Conversion Model'!$B$17+IF(SUMPRODUCT(--ISNUMBER(SEARCH('Scoring Model'!$D$16:$D$25,K451)))&gt;0,'Conversion Model'!$B$18,0)+IF(SUMPRODUCT(--ISNUMBER(SEARCH('Scoring Model'!$G$16:$G$23,K451)))&gt;0,'Conversion Model'!$B$19,0)))))</f>
        <v>0.328715589617544</v>
      </c>
      <c r="AH451" s="3" t="str">
        <f aca="false">IF(OR(O451="Qualified",O451="Won",O451="Lost"),1,IF(O451="Unqualified",0,""))</f>
        <v/>
      </c>
    </row>
    <row r="452" customFormat="false" ht="15" hidden="false" customHeight="true" outlineLevel="0" collapsed="false">
      <c r="A452" s="3" t="s">
        <v>1678</v>
      </c>
      <c r="B452" s="9" t="n">
        <v>46142.5284722222</v>
      </c>
      <c r="C452" s="3" t="s">
        <v>160</v>
      </c>
      <c r="D452" s="3" t="s">
        <v>1124</v>
      </c>
      <c r="E452" s="3" t="s">
        <v>1679</v>
      </c>
      <c r="F452" s="3" t="s">
        <v>22</v>
      </c>
      <c r="G452" s="3" t="s">
        <v>55</v>
      </c>
      <c r="H452" s="3" t="s">
        <v>1276</v>
      </c>
      <c r="I452" s="3" t="s">
        <v>188</v>
      </c>
      <c r="J452" s="3" t="s">
        <v>122</v>
      </c>
      <c r="K452" s="3" t="s">
        <v>1537</v>
      </c>
      <c r="L452" s="3" t="n">
        <v>5</v>
      </c>
      <c r="M452" s="3" t="n">
        <v>23.8</v>
      </c>
      <c r="N452" s="3" t="s">
        <v>96</v>
      </c>
      <c r="O452" s="3" t="s">
        <v>147</v>
      </c>
      <c r="P452" s="10" t="n">
        <v>60000</v>
      </c>
      <c r="Q452" s="3" t="n">
        <f aca="false">IF(F452="Disposable",1,0)</f>
        <v>0</v>
      </c>
      <c r="R452" s="3" t="n">
        <f aca="false">IF(SUMPRODUCT(--ISNUMBER(SEARCH('Spam Rules'!$A$22:$A$35,K452)))&gt;0,1,0)</f>
        <v>0</v>
      </c>
      <c r="S452" s="3" t="n">
        <f aca="false">IF(AND(F452="Free",G452=""),1,0)</f>
        <v>0</v>
      </c>
      <c r="T452" s="3" t="n">
        <f aca="false">IF(LEN(TRIM(K452))&lt;15,1,0)</f>
        <v>0</v>
      </c>
      <c r="U452" s="3" t="n">
        <f aca="false">IF(COUNTIF($E$2:$E$801,E452)&gt;1,1,0)</f>
        <v>0</v>
      </c>
      <c r="V452" s="3" t="n">
        <f aca="false">Q452*'Spam Rules'!$H$6+R452*'Spam Rules'!$H$7+S452*'Spam Rules'!$H$8+T452*'Spam Rules'!$H$9+U452*'Spam Rules'!$H$10</f>
        <v>0</v>
      </c>
      <c r="W452" s="3" t="str">
        <f aca="false">IF(V452&gt;='Spam Rules'!$B$3,"Likely Spam","Genuine")</f>
        <v>Genuine</v>
      </c>
      <c r="X452" s="3" t="n">
        <f aca="false">IFERROR(INDEX('Scoring Model'!$B$5:$B$11,MATCH(C452,'Scoring Model'!$A$5:$A$11,0)),0)</f>
        <v>25</v>
      </c>
      <c r="Y452" s="3" t="n">
        <f aca="false">IFERROR(INDEX('Scoring Model'!$E$5:$E$7,MATCH(F452,'Scoring Model'!$D$5:$D$7,0)),0)</f>
        <v>20</v>
      </c>
      <c r="Z452" s="3" t="n">
        <f aca="false">IFERROR(INDEX('Scoring Model'!$H$5:$H$13,MATCH(J452,'Scoring Model'!$G$5:$G$13,0)),0)</f>
        <v>15</v>
      </c>
      <c r="AA452" s="3" t="n">
        <f aca="false">IF(L452&gt;='Scoring Model'!$B$14,'Scoring Model'!$B$15,IF(L452&gt;='Scoring Model'!$B$16,'Scoring Model'!$B$17,0))</f>
        <v>8</v>
      </c>
      <c r="AB452" s="3" t="n">
        <f aca="false">IF(SUMPRODUCT(--ISNUMBER(SEARCH('Scoring Model'!$D$16:$D$25,K452)))&gt;0,'Scoring Model'!$B$18,0)</f>
        <v>15</v>
      </c>
      <c r="AC452" s="3" t="n">
        <f aca="false">IF(SUMPRODUCT(--ISNUMBER(SEARCH('Scoring Model'!$G$16:$G$23,K452)))&gt;0,'Scoring Model'!$B$19,0)</f>
        <v>0</v>
      </c>
      <c r="AD452" s="3" t="n">
        <f aca="false">IF(W452="Likely Spam","",SUM(X452:AC452))</f>
        <v>83</v>
      </c>
      <c r="AE452" s="3" t="str">
        <f aca="false">IF(W452="Likely Spam","Spam",IF(AD452&gt;='Scoring Model'!$B$21,"Hot",IF(AD452&gt;='Scoring Model'!$B$22,"Warm","Nurture")))</f>
        <v>Hot</v>
      </c>
      <c r="AF452" s="3" t="str">
        <f aca="false">IF(W452="Likely Spam","Flagged by spam rules",TRIM(IF(X452&gt;=20,"Strong source. ","")&amp;IF(Y452&gt;0,"Company email. ","")&amp;IF(Z452&gt;=15,"High-value product. ","")&amp;IF(AA452&gt;='Scoring Model'!$B$15,"High engagement. ","")&amp;IF(AB452&gt;0,"Buying intent in message. ","")&amp;IF(AC452&lt;0,"Negative intent in message. ","")))</f>
        <v>Strong source. Company email. High-value product. Buying intent in message.</v>
      </c>
      <c r="AG452" s="11" t="n">
        <f aca="false">IF(W452="Likely Spam","",1/(1+EXP(-('Conversion Model'!$B$5+IFERROR(INDEX('Conversion Model'!$B$8:$B$14,MATCH(C452,'Conversion Model'!$A$8:$A$14,0)),0)+IFERROR(INDEX('Conversion Model'!$E$8:$E$9,MATCH(F452,'Conversion Model'!$D$8:$D$9,0)),0)+IFERROR(INDEX('Conversion Model'!$H$8:$H$12,MATCH(IF(LEFT(J452,8)="Payments","Payments",IF(LEFT(J452,7)="Lending","Lending",J452)),'Conversion Model'!$G$8:$G$12,0)),0)+MIN(L452,15)*'Conversion Model'!$B$17+IF(SUMPRODUCT(--ISNUMBER(SEARCH('Scoring Model'!$D$16:$D$25,K452)))&gt;0,'Conversion Model'!$B$18,0)+IF(SUMPRODUCT(--ISNUMBER(SEARCH('Scoring Model'!$G$16:$G$23,K452)))&gt;0,'Conversion Model'!$B$19,0)))))</f>
        <v>0.786171387343127</v>
      </c>
      <c r="AH452" s="3" t="n">
        <f aca="false">IF(OR(O452="Qualified",O452="Won",O452="Lost"),1,IF(O452="Unqualified",0,""))</f>
        <v>1</v>
      </c>
    </row>
    <row r="453" customFormat="false" ht="15" hidden="false" customHeight="true" outlineLevel="0" collapsed="false">
      <c r="A453" s="3" t="s">
        <v>1680</v>
      </c>
      <c r="B453" s="9" t="n">
        <v>46142.7236111111</v>
      </c>
      <c r="C453" s="3" t="s">
        <v>135</v>
      </c>
      <c r="D453" s="3" t="s">
        <v>1539</v>
      </c>
      <c r="E453" s="3" t="s">
        <v>1681</v>
      </c>
      <c r="F453" s="3" t="s">
        <v>54</v>
      </c>
      <c r="G453" s="3" t="s">
        <v>675</v>
      </c>
      <c r="H453" s="3"/>
      <c r="I453" s="3" t="s">
        <v>188</v>
      </c>
      <c r="J453" s="3" t="s">
        <v>65</v>
      </c>
      <c r="K453" s="3" t="s">
        <v>101</v>
      </c>
      <c r="L453" s="3" t="n">
        <v>4</v>
      </c>
      <c r="M453" s="3" t="n">
        <v>7.1</v>
      </c>
      <c r="N453" s="3" t="s">
        <v>96</v>
      </c>
      <c r="O453" s="3" t="s">
        <v>194</v>
      </c>
      <c r="P453" s="10"/>
      <c r="Q453" s="3" t="n">
        <f aca="false">IF(F453="Disposable",1,0)</f>
        <v>0</v>
      </c>
      <c r="R453" s="3" t="n">
        <f aca="false">IF(SUMPRODUCT(--ISNUMBER(SEARCH('Spam Rules'!$A$22:$A$35,K453)))&gt;0,1,0)</f>
        <v>0</v>
      </c>
      <c r="S453" s="3" t="n">
        <f aca="false">IF(AND(F453="Free",G453=""),1,0)</f>
        <v>0</v>
      </c>
      <c r="T453" s="3" t="n">
        <f aca="false">IF(LEN(TRIM(K453))&lt;15,1,0)</f>
        <v>0</v>
      </c>
      <c r="U453" s="3" t="n">
        <f aca="false">IF(COUNTIF($E$2:$E$801,E453)&gt;1,1,0)</f>
        <v>0</v>
      </c>
      <c r="V453" s="3" t="n">
        <f aca="false">Q453*'Spam Rules'!$H$6+R453*'Spam Rules'!$H$7+S453*'Spam Rules'!$H$8+T453*'Spam Rules'!$H$9+U453*'Spam Rules'!$H$10</f>
        <v>0</v>
      </c>
      <c r="W453" s="3" t="str">
        <f aca="false">IF(V453&gt;='Spam Rules'!$B$3,"Likely Spam","Genuine")</f>
        <v>Genuine</v>
      </c>
      <c r="X453" s="3" t="n">
        <f aca="false">IFERROR(INDEX('Scoring Model'!$B$5:$B$11,MATCH(C453,'Scoring Model'!$A$5:$A$11,0)),0)</f>
        <v>20</v>
      </c>
      <c r="Y453" s="3" t="n">
        <f aca="false">IFERROR(INDEX('Scoring Model'!$E$5:$E$7,MATCH(F453,'Scoring Model'!$D$5:$D$7,0)),0)</f>
        <v>0</v>
      </c>
      <c r="Z453" s="3" t="n">
        <f aca="false">IFERROR(INDEX('Scoring Model'!$H$5:$H$13,MATCH(J453,'Scoring Model'!$G$5:$G$13,0)),0)</f>
        <v>0</v>
      </c>
      <c r="AA453" s="3" t="n">
        <f aca="false">IF(L453&gt;='Scoring Model'!$B$14,'Scoring Model'!$B$15,IF(L453&gt;='Scoring Model'!$B$16,'Scoring Model'!$B$17,0))</f>
        <v>8</v>
      </c>
      <c r="AB453" s="3" t="n">
        <f aca="false">IF(SUMPRODUCT(--ISNUMBER(SEARCH('Scoring Model'!$D$16:$D$25,K453)))&gt;0,'Scoring Model'!$B$18,0)</f>
        <v>0</v>
      </c>
      <c r="AC453" s="3" t="n">
        <f aca="false">IF(SUMPRODUCT(--ISNUMBER(SEARCH('Scoring Model'!$G$16:$G$23,K453)))&gt;0,'Scoring Model'!$B$19,0)</f>
        <v>-30</v>
      </c>
      <c r="AD453" s="3" t="n">
        <f aca="false">IF(W453="Likely Spam","",SUM(X453:AC453))</f>
        <v>-2</v>
      </c>
      <c r="AE453" s="3" t="str">
        <f aca="false">IF(W453="Likely Spam","Spam",IF(AD453&gt;='Scoring Model'!$B$21,"Hot",IF(AD453&gt;='Scoring Model'!$B$22,"Warm","Nurture")))</f>
        <v>Nurture</v>
      </c>
      <c r="AF453" s="3" t="str">
        <f aca="false">IF(W453="Likely Spam","Flagged by spam rules",TRIM(IF(X453&gt;=20,"Strong source. ","")&amp;IF(Y453&gt;0,"Company email. ","")&amp;IF(Z453&gt;=15,"High-value product. ","")&amp;IF(AA453&gt;='Scoring Model'!$B$15,"High engagement. ","")&amp;IF(AB453&gt;0,"Buying intent in message. ","")&amp;IF(AC453&lt;0,"Negative intent in message. ","")))</f>
        <v>Strong source. Negative intent in message.</v>
      </c>
      <c r="AG453" s="11" t="n">
        <f aca="false">IF(W453="Likely Spam","",1/(1+EXP(-('Conversion Model'!$B$5+IFERROR(INDEX('Conversion Model'!$B$8:$B$14,MATCH(C453,'Conversion Model'!$A$8:$A$14,0)),0)+IFERROR(INDEX('Conversion Model'!$E$8:$E$9,MATCH(F453,'Conversion Model'!$D$8:$D$9,0)),0)+IFERROR(INDEX('Conversion Model'!$H$8:$H$12,MATCH(IF(LEFT(J453,8)="Payments","Payments",IF(LEFT(J453,7)="Lending","Lending",J453)),'Conversion Model'!$G$8:$G$12,0)),0)+MIN(L453,15)*'Conversion Model'!$B$17+IF(SUMPRODUCT(--ISNUMBER(SEARCH('Scoring Model'!$D$16:$D$25,K453)))&gt;0,'Conversion Model'!$B$18,0)+IF(SUMPRODUCT(--ISNUMBER(SEARCH('Scoring Model'!$G$16:$G$23,K453)))&gt;0,'Conversion Model'!$B$19,0)))))</f>
        <v>0.0241270214176692</v>
      </c>
      <c r="AH453" s="3" t="n">
        <f aca="false">IF(OR(O453="Qualified",O453="Won",O453="Lost"),1,IF(O453="Unqualified",0,""))</f>
        <v>0</v>
      </c>
    </row>
    <row r="454" customFormat="false" ht="15" hidden="false" customHeight="true" outlineLevel="0" collapsed="false">
      <c r="A454" s="3" t="s">
        <v>1682</v>
      </c>
      <c r="B454" s="9" t="n">
        <v>46142.8131944445</v>
      </c>
      <c r="C454" s="3" t="s">
        <v>160</v>
      </c>
      <c r="D454" s="3" t="s">
        <v>1639</v>
      </c>
      <c r="E454" s="3" t="s">
        <v>1683</v>
      </c>
      <c r="F454" s="3" t="s">
        <v>22</v>
      </c>
      <c r="G454" s="3" t="s">
        <v>1279</v>
      </c>
      <c r="H454" s="3" t="s">
        <v>1684</v>
      </c>
      <c r="I454" s="3" t="s">
        <v>260</v>
      </c>
      <c r="J454" s="3" t="s">
        <v>117</v>
      </c>
      <c r="K454" s="3" t="s">
        <v>458</v>
      </c>
      <c r="L454" s="3" t="n">
        <v>3</v>
      </c>
      <c r="M454" s="3" t="n">
        <v>18.1</v>
      </c>
      <c r="N454" s="3" t="s">
        <v>59</v>
      </c>
      <c r="O454" s="3" t="s">
        <v>110</v>
      </c>
      <c r="P454" s="10"/>
      <c r="Q454" s="3" t="n">
        <f aca="false">IF(F454="Disposable",1,0)</f>
        <v>0</v>
      </c>
      <c r="R454" s="3" t="n">
        <f aca="false">IF(SUMPRODUCT(--ISNUMBER(SEARCH('Spam Rules'!$A$22:$A$35,K454)))&gt;0,1,0)</f>
        <v>0</v>
      </c>
      <c r="S454" s="3" t="n">
        <f aca="false">IF(AND(F454="Free",G454=""),1,0)</f>
        <v>0</v>
      </c>
      <c r="T454" s="3" t="n">
        <f aca="false">IF(LEN(TRIM(K454))&lt;15,1,0)</f>
        <v>0</v>
      </c>
      <c r="U454" s="3" t="n">
        <f aca="false">IF(COUNTIF($E$2:$E$801,E454)&gt;1,1,0)</f>
        <v>0</v>
      </c>
      <c r="V454" s="3" t="n">
        <f aca="false">Q454*'Spam Rules'!$H$6+R454*'Spam Rules'!$H$7+S454*'Spam Rules'!$H$8+T454*'Spam Rules'!$H$9+U454*'Spam Rules'!$H$10</f>
        <v>0</v>
      </c>
      <c r="W454" s="3" t="str">
        <f aca="false">IF(V454&gt;='Spam Rules'!$B$3,"Likely Spam","Genuine")</f>
        <v>Genuine</v>
      </c>
      <c r="X454" s="3" t="n">
        <f aca="false">IFERROR(INDEX('Scoring Model'!$B$5:$B$11,MATCH(C454,'Scoring Model'!$A$5:$A$11,0)),0)</f>
        <v>25</v>
      </c>
      <c r="Y454" s="3" t="n">
        <f aca="false">IFERROR(INDEX('Scoring Model'!$E$5:$E$7,MATCH(F454,'Scoring Model'!$D$5:$D$7,0)),0)</f>
        <v>20</v>
      </c>
      <c r="Z454" s="3" t="n">
        <f aca="false">IFERROR(INDEX('Scoring Model'!$H$5:$H$13,MATCH(J454,'Scoring Model'!$G$5:$G$13,0)),0)</f>
        <v>15</v>
      </c>
      <c r="AA454" s="3" t="n">
        <f aca="false">IF(L454&gt;='Scoring Model'!$B$14,'Scoring Model'!$B$15,IF(L454&gt;='Scoring Model'!$B$16,'Scoring Model'!$B$17,0))</f>
        <v>0</v>
      </c>
      <c r="AB454" s="3" t="n">
        <f aca="false">IF(SUMPRODUCT(--ISNUMBER(SEARCH('Scoring Model'!$D$16:$D$25,K454)))&gt;0,'Scoring Model'!$B$18,0)</f>
        <v>15</v>
      </c>
      <c r="AC454" s="3" t="n">
        <f aca="false">IF(SUMPRODUCT(--ISNUMBER(SEARCH('Scoring Model'!$G$16:$G$23,K454)))&gt;0,'Scoring Model'!$B$19,0)</f>
        <v>0</v>
      </c>
      <c r="AD454" s="3" t="n">
        <f aca="false">IF(W454="Likely Spam","",SUM(X454:AC454))</f>
        <v>75</v>
      </c>
      <c r="AE454" s="3" t="str">
        <f aca="false">IF(W454="Likely Spam","Spam",IF(AD454&gt;='Scoring Model'!$B$21,"Hot",IF(AD454&gt;='Scoring Model'!$B$22,"Warm","Nurture")))</f>
        <v>Hot</v>
      </c>
      <c r="AF454" s="3" t="str">
        <f aca="false">IF(W454="Likely Spam","Flagged by spam rules",TRIM(IF(X454&gt;=20,"Strong source. ","")&amp;IF(Y454&gt;0,"Company email. ","")&amp;IF(Z454&gt;=15,"High-value product. ","")&amp;IF(AA454&gt;='Scoring Model'!$B$15,"High engagement. ","")&amp;IF(AB454&gt;0,"Buying intent in message. ","")&amp;IF(AC454&lt;0,"Negative intent in message. ","")))</f>
        <v>Strong source. Company email. High-value product. Buying intent in message.</v>
      </c>
      <c r="AG454" s="11" t="n">
        <f aca="false">IF(W454="Likely Spam","",1/(1+EXP(-('Conversion Model'!$B$5+IFERROR(INDEX('Conversion Model'!$B$8:$B$14,MATCH(C454,'Conversion Model'!$A$8:$A$14,0)),0)+IFERROR(INDEX('Conversion Model'!$E$8:$E$9,MATCH(F454,'Conversion Model'!$D$8:$D$9,0)),0)+IFERROR(INDEX('Conversion Model'!$H$8:$H$12,MATCH(IF(LEFT(J454,8)="Payments","Payments",IF(LEFT(J454,7)="Lending","Lending",J454)),'Conversion Model'!$G$8:$G$12,0)),0)+MIN(L454,15)*'Conversion Model'!$B$17+IF(SUMPRODUCT(--ISNUMBER(SEARCH('Scoring Model'!$D$16:$D$25,K454)))&gt;0,'Conversion Model'!$B$18,0)+IF(SUMPRODUCT(--ISNUMBER(SEARCH('Scoring Model'!$G$16:$G$23,K454)))&gt;0,'Conversion Model'!$B$19,0)))))</f>
        <v>0.653169391528382</v>
      </c>
      <c r="AH454" s="3" t="n">
        <f aca="false">IF(OR(O454="Qualified",O454="Won",O454="Lost"),1,IF(O454="Unqualified",0,""))</f>
        <v>1</v>
      </c>
    </row>
    <row r="455" customFormat="false" ht="15" hidden="false" customHeight="true" outlineLevel="0" collapsed="false">
      <c r="A455" s="3" t="s">
        <v>1685</v>
      </c>
      <c r="B455" s="9" t="n">
        <v>46142.8395833333</v>
      </c>
      <c r="C455" s="3" t="s">
        <v>112</v>
      </c>
      <c r="D455" s="3" t="s">
        <v>1307</v>
      </c>
      <c r="E455" s="3" t="s">
        <v>1308</v>
      </c>
      <c r="F455" s="3" t="s">
        <v>54</v>
      </c>
      <c r="G455" s="3" t="s">
        <v>1370</v>
      </c>
      <c r="H455" s="3"/>
      <c r="I455" s="3" t="s">
        <v>260</v>
      </c>
      <c r="J455" s="3" t="s">
        <v>65</v>
      </c>
      <c r="K455" s="3" t="s">
        <v>349</v>
      </c>
      <c r="L455" s="3" t="n">
        <v>4</v>
      </c>
      <c r="M455" s="3" t="n">
        <v>10.8</v>
      </c>
      <c r="N455" s="3" t="s">
        <v>96</v>
      </c>
      <c r="O455" s="3" t="s">
        <v>194</v>
      </c>
      <c r="P455" s="10"/>
      <c r="Q455" s="3" t="n">
        <f aca="false">IF(F455="Disposable",1,0)</f>
        <v>0</v>
      </c>
      <c r="R455" s="3" t="n">
        <f aca="false">IF(SUMPRODUCT(--ISNUMBER(SEARCH('Spam Rules'!$A$22:$A$35,K455)))&gt;0,1,0)</f>
        <v>0</v>
      </c>
      <c r="S455" s="3" t="n">
        <f aca="false">IF(AND(F455="Free",G455=""),1,0)</f>
        <v>0</v>
      </c>
      <c r="T455" s="3" t="n">
        <f aca="false">IF(LEN(TRIM(K455))&lt;15,1,0)</f>
        <v>0</v>
      </c>
      <c r="U455" s="3" t="n">
        <f aca="false">IF(COUNTIF($E$2:$E$801,E455)&gt;1,1,0)</f>
        <v>1</v>
      </c>
      <c r="V455" s="3" t="n">
        <f aca="false">Q455*'Spam Rules'!$H$6+R455*'Spam Rules'!$H$7+S455*'Spam Rules'!$H$8+T455*'Spam Rules'!$H$9+U455*'Spam Rules'!$H$10</f>
        <v>0</v>
      </c>
      <c r="W455" s="3" t="str">
        <f aca="false">IF(V455&gt;='Spam Rules'!$B$3,"Likely Spam","Genuine")</f>
        <v>Genuine</v>
      </c>
      <c r="X455" s="3" t="n">
        <f aca="false">IFERROR(INDEX('Scoring Model'!$B$5:$B$11,MATCH(C455,'Scoring Model'!$A$5:$A$11,0)),0)</f>
        <v>15</v>
      </c>
      <c r="Y455" s="3" t="n">
        <f aca="false">IFERROR(INDEX('Scoring Model'!$E$5:$E$7,MATCH(F455,'Scoring Model'!$D$5:$D$7,0)),0)</f>
        <v>0</v>
      </c>
      <c r="Z455" s="3" t="n">
        <f aca="false">IFERROR(INDEX('Scoring Model'!$H$5:$H$13,MATCH(J455,'Scoring Model'!$G$5:$G$13,0)),0)</f>
        <v>0</v>
      </c>
      <c r="AA455" s="3" t="n">
        <f aca="false">IF(L455&gt;='Scoring Model'!$B$14,'Scoring Model'!$B$15,IF(L455&gt;='Scoring Model'!$B$16,'Scoring Model'!$B$17,0))</f>
        <v>8</v>
      </c>
      <c r="AB455" s="3" t="n">
        <f aca="false">IF(SUMPRODUCT(--ISNUMBER(SEARCH('Scoring Model'!$D$16:$D$25,K455)))&gt;0,'Scoring Model'!$B$18,0)</f>
        <v>0</v>
      </c>
      <c r="AC455" s="3" t="n">
        <f aca="false">IF(SUMPRODUCT(--ISNUMBER(SEARCH('Scoring Model'!$G$16:$G$23,K455)))&gt;0,'Scoring Model'!$B$19,0)</f>
        <v>-30</v>
      </c>
      <c r="AD455" s="3" t="n">
        <f aca="false">IF(W455="Likely Spam","",SUM(X455:AC455))</f>
        <v>-7</v>
      </c>
      <c r="AE455" s="3" t="str">
        <f aca="false">IF(W455="Likely Spam","Spam",IF(AD455&gt;='Scoring Model'!$B$21,"Hot",IF(AD455&gt;='Scoring Model'!$B$22,"Warm","Nurture")))</f>
        <v>Nurture</v>
      </c>
      <c r="AF455" s="3" t="str">
        <f aca="false">IF(W455="Likely Spam","Flagged by spam rules",TRIM(IF(X455&gt;=20,"Strong source. ","")&amp;IF(Y455&gt;0,"Company email. ","")&amp;IF(Z455&gt;=15,"High-value product. ","")&amp;IF(AA455&gt;='Scoring Model'!$B$15,"High engagement. ","")&amp;IF(AB455&gt;0,"Buying intent in message. ","")&amp;IF(AC455&lt;0,"Negative intent in message. ","")))</f>
        <v>Negative intent in message.</v>
      </c>
      <c r="AG455" s="11" t="n">
        <f aca="false">IF(W455="Likely Spam","",1/(1+EXP(-('Conversion Model'!$B$5+IFERROR(INDEX('Conversion Model'!$B$8:$B$14,MATCH(C455,'Conversion Model'!$A$8:$A$14,0)),0)+IFERROR(INDEX('Conversion Model'!$E$8:$E$9,MATCH(F455,'Conversion Model'!$D$8:$D$9,0)),0)+IFERROR(INDEX('Conversion Model'!$H$8:$H$12,MATCH(IF(LEFT(J455,8)="Payments","Payments",IF(LEFT(J455,7)="Lending","Lending",J455)),'Conversion Model'!$G$8:$G$12,0)),0)+MIN(L455,15)*'Conversion Model'!$B$17+IF(SUMPRODUCT(--ISNUMBER(SEARCH('Scoring Model'!$D$16:$D$25,K455)))&gt;0,'Conversion Model'!$B$18,0)+IF(SUMPRODUCT(--ISNUMBER(SEARCH('Scoring Model'!$G$16:$G$23,K455)))&gt;0,'Conversion Model'!$B$19,0)))))</f>
        <v>0.01050856988903</v>
      </c>
      <c r="AH455" s="3" t="n">
        <f aca="false">IF(OR(O455="Qualified",O455="Won",O455="Lost"),1,IF(O455="Unqualified",0,""))</f>
        <v>0</v>
      </c>
    </row>
    <row r="456" customFormat="false" ht="15" hidden="false" customHeight="true" outlineLevel="0" collapsed="false">
      <c r="A456" s="3" t="s">
        <v>1686</v>
      </c>
      <c r="B456" s="9" t="n">
        <v>46142.8715277778</v>
      </c>
      <c r="C456" s="3" t="s">
        <v>135</v>
      </c>
      <c r="D456" s="3" t="s">
        <v>718</v>
      </c>
      <c r="E456" s="3" t="s">
        <v>1687</v>
      </c>
      <c r="F456" s="3" t="s">
        <v>54</v>
      </c>
      <c r="G456" s="3"/>
      <c r="H456" s="3"/>
      <c r="I456" s="3" t="s">
        <v>80</v>
      </c>
      <c r="J456" s="3" t="s">
        <v>81</v>
      </c>
      <c r="K456" s="3" t="s">
        <v>193</v>
      </c>
      <c r="L456" s="3" t="n">
        <v>1</v>
      </c>
      <c r="M456" s="3" t="n">
        <v>6.2</v>
      </c>
      <c r="N456" s="3" t="s">
        <v>171</v>
      </c>
      <c r="O456" s="3" t="s">
        <v>194</v>
      </c>
      <c r="P456" s="10"/>
      <c r="Q456" s="3" t="n">
        <f aca="false">IF(F456="Disposable",1,0)</f>
        <v>0</v>
      </c>
      <c r="R456" s="3" t="n">
        <f aca="false">IF(SUMPRODUCT(--ISNUMBER(SEARCH('Spam Rules'!$A$22:$A$35,K456)))&gt;0,1,0)</f>
        <v>0</v>
      </c>
      <c r="S456" s="3" t="n">
        <f aca="false">IF(AND(F456="Free",G456=""),1,0)</f>
        <v>1</v>
      </c>
      <c r="T456" s="3" t="n">
        <f aca="false">IF(LEN(TRIM(K456))&lt;15,1,0)</f>
        <v>0</v>
      </c>
      <c r="U456" s="3" t="n">
        <f aca="false">IF(COUNTIF($E$2:$E$801,E456)&gt;1,1,0)</f>
        <v>0</v>
      </c>
      <c r="V456" s="3" t="n">
        <f aca="false">Q456*'Spam Rules'!$H$6+R456*'Spam Rules'!$H$7+S456*'Spam Rules'!$H$8+T456*'Spam Rules'!$H$9+U456*'Spam Rules'!$H$10</f>
        <v>0</v>
      </c>
      <c r="W456" s="3" t="str">
        <f aca="false">IF(V456&gt;='Spam Rules'!$B$3,"Likely Spam","Genuine")</f>
        <v>Genuine</v>
      </c>
      <c r="X456" s="3" t="n">
        <f aca="false">IFERROR(INDEX('Scoring Model'!$B$5:$B$11,MATCH(C456,'Scoring Model'!$A$5:$A$11,0)),0)</f>
        <v>20</v>
      </c>
      <c r="Y456" s="3" t="n">
        <f aca="false">IFERROR(INDEX('Scoring Model'!$E$5:$E$7,MATCH(F456,'Scoring Model'!$D$5:$D$7,0)),0)</f>
        <v>0</v>
      </c>
      <c r="Z456" s="3" t="n">
        <f aca="false">IFERROR(INDEX('Scoring Model'!$H$5:$H$13,MATCH(J456,'Scoring Model'!$G$5:$G$13,0)),0)</f>
        <v>5</v>
      </c>
      <c r="AA456" s="3" t="n">
        <f aca="false">IF(L456&gt;='Scoring Model'!$B$14,'Scoring Model'!$B$15,IF(L456&gt;='Scoring Model'!$B$16,'Scoring Model'!$B$17,0))</f>
        <v>0</v>
      </c>
      <c r="AB456" s="3" t="n">
        <f aca="false">IF(SUMPRODUCT(--ISNUMBER(SEARCH('Scoring Model'!$D$16:$D$25,K456)))&gt;0,'Scoring Model'!$B$18,0)</f>
        <v>0</v>
      </c>
      <c r="AC456" s="3" t="n">
        <f aca="false">IF(SUMPRODUCT(--ISNUMBER(SEARCH('Scoring Model'!$G$16:$G$23,K456)))&gt;0,'Scoring Model'!$B$19,0)</f>
        <v>-30</v>
      </c>
      <c r="AD456" s="3" t="n">
        <f aca="false">IF(W456="Likely Spam","",SUM(X456:AC456))</f>
        <v>-5</v>
      </c>
      <c r="AE456" s="3" t="str">
        <f aca="false">IF(W456="Likely Spam","Spam",IF(AD456&gt;='Scoring Model'!$B$21,"Hot",IF(AD456&gt;='Scoring Model'!$B$22,"Warm","Nurture")))</f>
        <v>Nurture</v>
      </c>
      <c r="AF456" s="3" t="str">
        <f aca="false">IF(W456="Likely Spam","Flagged by spam rules",TRIM(IF(X456&gt;=20,"Strong source. ","")&amp;IF(Y456&gt;0,"Company email. ","")&amp;IF(Z456&gt;=15,"High-value product. ","")&amp;IF(AA456&gt;='Scoring Model'!$B$15,"High engagement. ","")&amp;IF(AB456&gt;0,"Buying intent in message. ","")&amp;IF(AC456&lt;0,"Negative intent in message. ","")))</f>
        <v>Strong source. Negative intent in message.</v>
      </c>
      <c r="AG456" s="11" t="n">
        <f aca="false">IF(W456="Likely Spam","",1/(1+EXP(-('Conversion Model'!$B$5+IFERROR(INDEX('Conversion Model'!$B$8:$B$14,MATCH(C456,'Conversion Model'!$A$8:$A$14,0)),0)+IFERROR(INDEX('Conversion Model'!$E$8:$E$9,MATCH(F456,'Conversion Model'!$D$8:$D$9,0)),0)+IFERROR(INDEX('Conversion Model'!$H$8:$H$12,MATCH(IF(LEFT(J456,8)="Payments","Payments",IF(LEFT(J456,7)="Lending","Lending",J456)),'Conversion Model'!$G$8:$G$12,0)),0)+MIN(L456,15)*'Conversion Model'!$B$17+IF(SUMPRODUCT(--ISNUMBER(SEARCH('Scoring Model'!$D$16:$D$25,K456)))&gt;0,'Conversion Model'!$B$18,0)+IF(SUMPRODUCT(--ISNUMBER(SEARCH('Scoring Model'!$G$16:$G$23,K456)))&gt;0,'Conversion Model'!$B$19,0)))))</f>
        <v>0.00179133712016906</v>
      </c>
      <c r="AH456" s="3" t="n">
        <f aca="false">IF(OR(O456="Qualified",O456="Won",O456="Lost"),1,IF(O456="Unqualified",0,""))</f>
        <v>0</v>
      </c>
    </row>
    <row r="457" customFormat="false" ht="15" hidden="false" customHeight="true" outlineLevel="0" collapsed="false">
      <c r="A457" s="3" t="s">
        <v>1688</v>
      </c>
      <c r="B457" s="9" t="n">
        <v>46143.5541666667</v>
      </c>
      <c r="C457" s="3" t="s">
        <v>91</v>
      </c>
      <c r="D457" s="3" t="s">
        <v>1623</v>
      </c>
      <c r="E457" s="3" t="s">
        <v>1689</v>
      </c>
      <c r="F457" s="3" t="s">
        <v>54</v>
      </c>
      <c r="G457" s="3"/>
      <c r="H457" s="3"/>
      <c r="I457" s="3" t="s">
        <v>116</v>
      </c>
      <c r="J457" s="3" t="s">
        <v>122</v>
      </c>
      <c r="K457" s="3" t="s">
        <v>213</v>
      </c>
      <c r="L457" s="3" t="n">
        <v>4</v>
      </c>
      <c r="M457" s="3" t="n">
        <v>24.8</v>
      </c>
      <c r="N457" s="3" t="s">
        <v>171</v>
      </c>
      <c r="O457" s="3" t="s">
        <v>194</v>
      </c>
      <c r="P457" s="10"/>
      <c r="Q457" s="3" t="n">
        <f aca="false">IF(F457="Disposable",1,0)</f>
        <v>0</v>
      </c>
      <c r="R457" s="3" t="n">
        <f aca="false">IF(SUMPRODUCT(--ISNUMBER(SEARCH('Spam Rules'!$A$22:$A$35,K457)))&gt;0,1,0)</f>
        <v>0</v>
      </c>
      <c r="S457" s="3" t="n">
        <f aca="false">IF(AND(F457="Free",G457=""),1,0)</f>
        <v>1</v>
      </c>
      <c r="T457" s="3" t="n">
        <f aca="false">IF(LEN(TRIM(K457))&lt;15,1,0)</f>
        <v>0</v>
      </c>
      <c r="U457" s="3" t="n">
        <f aca="false">IF(COUNTIF($E$2:$E$801,E457)&gt;1,1,0)</f>
        <v>0</v>
      </c>
      <c r="V457" s="3" t="n">
        <f aca="false">Q457*'Spam Rules'!$H$6+R457*'Spam Rules'!$H$7+S457*'Spam Rules'!$H$8+T457*'Spam Rules'!$H$9+U457*'Spam Rules'!$H$10</f>
        <v>0</v>
      </c>
      <c r="W457" s="3" t="str">
        <f aca="false">IF(V457&gt;='Spam Rules'!$B$3,"Likely Spam","Genuine")</f>
        <v>Genuine</v>
      </c>
      <c r="X457" s="3" t="n">
        <f aca="false">IFERROR(INDEX('Scoring Model'!$B$5:$B$11,MATCH(C457,'Scoring Model'!$A$5:$A$11,0)),0)</f>
        <v>5</v>
      </c>
      <c r="Y457" s="3" t="n">
        <f aca="false">IFERROR(INDEX('Scoring Model'!$E$5:$E$7,MATCH(F457,'Scoring Model'!$D$5:$D$7,0)),0)</f>
        <v>0</v>
      </c>
      <c r="Z457" s="3" t="n">
        <f aca="false">IFERROR(INDEX('Scoring Model'!$H$5:$H$13,MATCH(J457,'Scoring Model'!$G$5:$G$13,0)),0)</f>
        <v>15</v>
      </c>
      <c r="AA457" s="3" t="n">
        <f aca="false">IF(L457&gt;='Scoring Model'!$B$14,'Scoring Model'!$B$15,IF(L457&gt;='Scoring Model'!$B$16,'Scoring Model'!$B$17,0))</f>
        <v>8</v>
      </c>
      <c r="AB457" s="3" t="n">
        <f aca="false">IF(SUMPRODUCT(--ISNUMBER(SEARCH('Scoring Model'!$D$16:$D$25,K457)))&gt;0,'Scoring Model'!$B$18,0)</f>
        <v>0</v>
      </c>
      <c r="AC457" s="3" t="n">
        <f aca="false">IF(SUMPRODUCT(--ISNUMBER(SEARCH('Scoring Model'!$G$16:$G$23,K457)))&gt;0,'Scoring Model'!$B$19,0)</f>
        <v>-30</v>
      </c>
      <c r="AD457" s="3" t="n">
        <f aca="false">IF(W457="Likely Spam","",SUM(X457:AC457))</f>
        <v>-2</v>
      </c>
      <c r="AE457" s="3" t="str">
        <f aca="false">IF(W457="Likely Spam","Spam",IF(AD457&gt;='Scoring Model'!$B$21,"Hot",IF(AD457&gt;='Scoring Model'!$B$22,"Warm","Nurture")))</f>
        <v>Nurture</v>
      </c>
      <c r="AF457" s="3" t="str">
        <f aca="false">IF(W457="Likely Spam","Flagged by spam rules",TRIM(IF(X457&gt;=20,"Strong source. ","")&amp;IF(Y457&gt;0,"Company email. ","")&amp;IF(Z457&gt;=15,"High-value product. ","")&amp;IF(AA457&gt;='Scoring Model'!$B$15,"High engagement. ","")&amp;IF(AB457&gt;0,"Buying intent in message. ","")&amp;IF(AC457&lt;0,"Negative intent in message. ","")))</f>
        <v>High-value product. Negative intent in message.</v>
      </c>
      <c r="AG457" s="11" t="n">
        <f aca="false">IF(W457="Likely Spam","",1/(1+EXP(-('Conversion Model'!$B$5+IFERROR(INDEX('Conversion Model'!$B$8:$B$14,MATCH(C457,'Conversion Model'!$A$8:$A$14,0)),0)+IFERROR(INDEX('Conversion Model'!$E$8:$E$9,MATCH(F457,'Conversion Model'!$D$8:$D$9,0)),0)+IFERROR(INDEX('Conversion Model'!$H$8:$H$12,MATCH(IF(LEFT(J457,8)="Payments","Payments",IF(LEFT(J457,7)="Lending","Lending",J457)),'Conversion Model'!$G$8:$G$12,0)),0)+MIN(L457,15)*'Conversion Model'!$B$17+IF(SUMPRODUCT(--ISNUMBER(SEARCH('Scoring Model'!$D$16:$D$25,K457)))&gt;0,'Conversion Model'!$B$18,0)+IF(SUMPRODUCT(--ISNUMBER(SEARCH('Scoring Model'!$G$16:$G$23,K457)))&gt;0,'Conversion Model'!$B$19,0)))))</f>
        <v>0.00884516308224579</v>
      </c>
      <c r="AH457" s="3" t="n">
        <f aca="false">IF(OR(O457="Qualified",O457="Won",O457="Lost"),1,IF(O457="Unqualified",0,""))</f>
        <v>0</v>
      </c>
    </row>
    <row r="458" customFormat="false" ht="15" hidden="false" customHeight="true" outlineLevel="0" collapsed="false">
      <c r="A458" s="3" t="s">
        <v>1690</v>
      </c>
      <c r="B458" s="9" t="n">
        <v>46144.2027777778</v>
      </c>
      <c r="C458" s="3" t="s">
        <v>128</v>
      </c>
      <c r="D458" s="3" t="s">
        <v>1470</v>
      </c>
      <c r="E458" s="3" t="s">
        <v>1691</v>
      </c>
      <c r="F458" s="3" t="s">
        <v>54</v>
      </c>
      <c r="G458" s="3" t="s">
        <v>1692</v>
      </c>
      <c r="H458" s="3"/>
      <c r="I458" s="3" t="s">
        <v>73</v>
      </c>
      <c r="J458" s="3" t="s">
        <v>81</v>
      </c>
      <c r="K458" s="3" t="s">
        <v>349</v>
      </c>
      <c r="L458" s="3" t="n">
        <v>2</v>
      </c>
      <c r="M458" s="3" t="n">
        <v>10.9</v>
      </c>
      <c r="N458" s="3" t="s">
        <v>96</v>
      </c>
      <c r="O458" s="3"/>
      <c r="P458" s="10"/>
      <c r="Q458" s="3" t="n">
        <f aca="false">IF(F458="Disposable",1,0)</f>
        <v>0</v>
      </c>
      <c r="R458" s="3" t="n">
        <f aca="false">IF(SUMPRODUCT(--ISNUMBER(SEARCH('Spam Rules'!$A$22:$A$35,K458)))&gt;0,1,0)</f>
        <v>0</v>
      </c>
      <c r="S458" s="3" t="n">
        <f aca="false">IF(AND(F458="Free",G458=""),1,0)</f>
        <v>0</v>
      </c>
      <c r="T458" s="3" t="n">
        <f aca="false">IF(LEN(TRIM(K458))&lt;15,1,0)</f>
        <v>0</v>
      </c>
      <c r="U458" s="3" t="n">
        <f aca="false">IF(COUNTIF($E$2:$E$801,E458)&gt;1,1,0)</f>
        <v>0</v>
      </c>
      <c r="V458" s="3" t="n">
        <f aca="false">Q458*'Spam Rules'!$H$6+R458*'Spam Rules'!$H$7+S458*'Spam Rules'!$H$8+T458*'Spam Rules'!$H$9+U458*'Spam Rules'!$H$10</f>
        <v>0</v>
      </c>
      <c r="W458" s="3" t="str">
        <f aca="false">IF(V458&gt;='Spam Rules'!$B$3,"Likely Spam","Genuine")</f>
        <v>Genuine</v>
      </c>
      <c r="X458" s="3" t="n">
        <f aca="false">IFERROR(INDEX('Scoring Model'!$B$5:$B$11,MATCH(C458,'Scoring Model'!$A$5:$A$11,0)),0)</f>
        <v>30</v>
      </c>
      <c r="Y458" s="3" t="n">
        <f aca="false">IFERROR(INDEX('Scoring Model'!$E$5:$E$7,MATCH(F458,'Scoring Model'!$D$5:$D$7,0)),0)</f>
        <v>0</v>
      </c>
      <c r="Z458" s="3" t="n">
        <f aca="false">IFERROR(INDEX('Scoring Model'!$H$5:$H$13,MATCH(J458,'Scoring Model'!$G$5:$G$13,0)),0)</f>
        <v>5</v>
      </c>
      <c r="AA458" s="3" t="n">
        <f aca="false">IF(L458&gt;='Scoring Model'!$B$14,'Scoring Model'!$B$15,IF(L458&gt;='Scoring Model'!$B$16,'Scoring Model'!$B$17,0))</f>
        <v>0</v>
      </c>
      <c r="AB458" s="3" t="n">
        <f aca="false">IF(SUMPRODUCT(--ISNUMBER(SEARCH('Scoring Model'!$D$16:$D$25,K458)))&gt;0,'Scoring Model'!$B$18,0)</f>
        <v>0</v>
      </c>
      <c r="AC458" s="3" t="n">
        <f aca="false">IF(SUMPRODUCT(--ISNUMBER(SEARCH('Scoring Model'!$G$16:$G$23,K458)))&gt;0,'Scoring Model'!$B$19,0)</f>
        <v>-30</v>
      </c>
      <c r="AD458" s="3" t="n">
        <f aca="false">IF(W458="Likely Spam","",SUM(X458:AC458))</f>
        <v>5</v>
      </c>
      <c r="AE458" s="3" t="str">
        <f aca="false">IF(W458="Likely Spam","Spam",IF(AD458&gt;='Scoring Model'!$B$21,"Hot",IF(AD458&gt;='Scoring Model'!$B$22,"Warm","Nurture")))</f>
        <v>Nurture</v>
      </c>
      <c r="AF458" s="3" t="str">
        <f aca="false">IF(W458="Likely Spam","Flagged by spam rules",TRIM(IF(X458&gt;=20,"Strong source. ","")&amp;IF(Y458&gt;0,"Company email. ","")&amp;IF(Z458&gt;=15,"High-value product. ","")&amp;IF(AA458&gt;='Scoring Model'!$B$15,"High engagement. ","")&amp;IF(AB458&gt;0,"Buying intent in message. ","")&amp;IF(AC458&lt;0,"Negative intent in message. ","")))</f>
        <v>Strong source. Negative intent in message.</v>
      </c>
      <c r="AG458" s="11" t="n">
        <f aca="false">IF(W458="Likely Spam","",1/(1+EXP(-('Conversion Model'!$B$5+IFERROR(INDEX('Conversion Model'!$B$8:$B$14,MATCH(C458,'Conversion Model'!$A$8:$A$14,0)),0)+IFERROR(INDEX('Conversion Model'!$E$8:$E$9,MATCH(F458,'Conversion Model'!$D$8:$D$9,0)),0)+IFERROR(INDEX('Conversion Model'!$H$8:$H$12,MATCH(IF(LEFT(J458,8)="Payments","Payments",IF(LEFT(J458,7)="Lending","Lending",J458)),'Conversion Model'!$G$8:$G$12,0)),0)+MIN(L458,15)*'Conversion Model'!$B$17+IF(SUMPRODUCT(--ISNUMBER(SEARCH('Scoring Model'!$D$16:$D$25,K458)))&gt;0,'Conversion Model'!$B$18,0)+IF(SUMPRODUCT(--ISNUMBER(SEARCH('Scoring Model'!$G$16:$G$23,K458)))&gt;0,'Conversion Model'!$B$19,0)))))</f>
        <v>0.00548084539731255</v>
      </c>
      <c r="AH458" s="3" t="str">
        <f aca="false">IF(OR(O458="Qualified",O458="Won",O458="Lost"),1,IF(O458="Unqualified",0,""))</f>
        <v/>
      </c>
    </row>
    <row r="459" customFormat="false" ht="15" hidden="false" customHeight="true" outlineLevel="0" collapsed="false">
      <c r="A459" s="3" t="s">
        <v>1693</v>
      </c>
      <c r="B459" s="9" t="n">
        <v>46144.3888888889</v>
      </c>
      <c r="C459" s="3" t="s">
        <v>51</v>
      </c>
      <c r="D459" s="3" t="s">
        <v>426</v>
      </c>
      <c r="E459" s="3" t="s">
        <v>1694</v>
      </c>
      <c r="F459" s="3" t="s">
        <v>22</v>
      </c>
      <c r="G459" s="3" t="s">
        <v>667</v>
      </c>
      <c r="H459" s="3" t="s">
        <v>668</v>
      </c>
      <c r="I459" s="3" t="s">
        <v>116</v>
      </c>
      <c r="J459" s="3" t="s">
        <v>117</v>
      </c>
      <c r="K459" s="3" t="s">
        <v>228</v>
      </c>
      <c r="L459" s="3" t="n">
        <v>5</v>
      </c>
      <c r="M459" s="3" t="n">
        <v>26.1</v>
      </c>
      <c r="N459" s="3" t="s">
        <v>96</v>
      </c>
      <c r="O459" s="3" t="s">
        <v>110</v>
      </c>
      <c r="P459" s="10"/>
      <c r="Q459" s="3" t="n">
        <f aca="false">IF(F459="Disposable",1,0)</f>
        <v>0</v>
      </c>
      <c r="R459" s="3" t="n">
        <f aca="false">IF(SUMPRODUCT(--ISNUMBER(SEARCH('Spam Rules'!$A$22:$A$35,K459)))&gt;0,1,0)</f>
        <v>0</v>
      </c>
      <c r="S459" s="3" t="n">
        <f aca="false">IF(AND(F459="Free",G459=""),1,0)</f>
        <v>0</v>
      </c>
      <c r="T459" s="3" t="n">
        <f aca="false">IF(LEN(TRIM(K459))&lt;15,1,0)</f>
        <v>0</v>
      </c>
      <c r="U459" s="3" t="n">
        <f aca="false">IF(COUNTIF($E$2:$E$801,E459)&gt;1,1,0)</f>
        <v>0</v>
      </c>
      <c r="V459" s="3" t="n">
        <f aca="false">Q459*'Spam Rules'!$H$6+R459*'Spam Rules'!$H$7+S459*'Spam Rules'!$H$8+T459*'Spam Rules'!$H$9+U459*'Spam Rules'!$H$10</f>
        <v>0</v>
      </c>
      <c r="W459" s="3" t="str">
        <f aca="false">IF(V459&gt;='Spam Rules'!$B$3,"Likely Spam","Genuine")</f>
        <v>Genuine</v>
      </c>
      <c r="X459" s="3" t="n">
        <f aca="false">IFERROR(INDEX('Scoring Model'!$B$5:$B$11,MATCH(C459,'Scoring Model'!$A$5:$A$11,0)),0)</f>
        <v>10</v>
      </c>
      <c r="Y459" s="3" t="n">
        <f aca="false">IFERROR(INDEX('Scoring Model'!$E$5:$E$7,MATCH(F459,'Scoring Model'!$D$5:$D$7,0)),0)</f>
        <v>20</v>
      </c>
      <c r="Z459" s="3" t="n">
        <f aca="false">IFERROR(INDEX('Scoring Model'!$H$5:$H$13,MATCH(J459,'Scoring Model'!$G$5:$G$13,0)),0)</f>
        <v>15</v>
      </c>
      <c r="AA459" s="3" t="n">
        <f aca="false">IF(L459&gt;='Scoring Model'!$B$14,'Scoring Model'!$B$15,IF(L459&gt;='Scoring Model'!$B$16,'Scoring Model'!$B$17,0))</f>
        <v>8</v>
      </c>
      <c r="AB459" s="3" t="n">
        <f aca="false">IF(SUMPRODUCT(--ISNUMBER(SEARCH('Scoring Model'!$D$16:$D$25,K459)))&gt;0,'Scoring Model'!$B$18,0)</f>
        <v>15</v>
      </c>
      <c r="AC459" s="3" t="n">
        <f aca="false">IF(SUMPRODUCT(--ISNUMBER(SEARCH('Scoring Model'!$G$16:$G$23,K459)))&gt;0,'Scoring Model'!$B$19,0)</f>
        <v>0</v>
      </c>
      <c r="AD459" s="3" t="n">
        <f aca="false">IF(W459="Likely Spam","",SUM(X459:AC459))</f>
        <v>68</v>
      </c>
      <c r="AE459" s="3" t="str">
        <f aca="false">IF(W459="Likely Spam","Spam",IF(AD459&gt;='Scoring Model'!$B$21,"Hot",IF(AD459&gt;='Scoring Model'!$B$22,"Warm","Nurture")))</f>
        <v>Warm</v>
      </c>
      <c r="AF459" s="3" t="str">
        <f aca="false">IF(W459="Likely Spam","Flagged by spam rules",TRIM(IF(X459&gt;=20,"Strong source. ","")&amp;IF(Y459&gt;0,"Company email. ","")&amp;IF(Z459&gt;=15,"High-value product. ","")&amp;IF(AA459&gt;='Scoring Model'!$B$15,"High engagement. ","")&amp;IF(AB459&gt;0,"Buying intent in message. ","")&amp;IF(AC459&lt;0,"Negative intent in message. ","")))</f>
        <v>Company email. High-value product. Buying intent in message.</v>
      </c>
      <c r="AG459" s="11" t="n">
        <f aca="false">IF(W459="Likely Spam","",1/(1+EXP(-('Conversion Model'!$B$5+IFERROR(INDEX('Conversion Model'!$B$8:$B$14,MATCH(C459,'Conversion Model'!$A$8:$A$14,0)),0)+IFERROR(INDEX('Conversion Model'!$E$8:$E$9,MATCH(F459,'Conversion Model'!$D$8:$D$9,0)),0)+IFERROR(INDEX('Conversion Model'!$H$8:$H$12,MATCH(IF(LEFT(J459,8)="Payments","Payments",IF(LEFT(J459,7)="Lending","Lending",J459)),'Conversion Model'!$G$8:$G$12,0)),0)+MIN(L459,15)*'Conversion Model'!$B$17+IF(SUMPRODUCT(--ISNUMBER(SEARCH('Scoring Model'!$D$16:$D$25,K459)))&gt;0,'Conversion Model'!$B$18,0)+IF(SUMPRODUCT(--ISNUMBER(SEARCH('Scoring Model'!$G$16:$G$23,K459)))&gt;0,'Conversion Model'!$B$19,0)))))</f>
        <v>0.848128836343341</v>
      </c>
      <c r="AH459" s="3" t="n">
        <f aca="false">IF(OR(O459="Qualified",O459="Won",O459="Lost"),1,IF(O459="Unqualified",0,""))</f>
        <v>1</v>
      </c>
    </row>
    <row r="460" customFormat="false" ht="15" hidden="false" customHeight="true" outlineLevel="0" collapsed="false">
      <c r="A460" s="3" t="s">
        <v>1695</v>
      </c>
      <c r="B460" s="9" t="n">
        <v>46145.6541666667</v>
      </c>
      <c r="C460" s="3" t="s">
        <v>51</v>
      </c>
      <c r="D460" s="3" t="s">
        <v>1696</v>
      </c>
      <c r="E460" s="3" t="s">
        <v>1697</v>
      </c>
      <c r="F460" s="3" t="s">
        <v>22</v>
      </c>
      <c r="G460" s="3" t="s">
        <v>871</v>
      </c>
      <c r="H460" s="3" t="s">
        <v>1698</v>
      </c>
      <c r="I460" s="3" t="s">
        <v>204</v>
      </c>
      <c r="J460" s="3" t="s">
        <v>122</v>
      </c>
      <c r="K460" s="3" t="s">
        <v>589</v>
      </c>
      <c r="L460" s="3" t="n">
        <v>1</v>
      </c>
      <c r="M460" s="3" t="n">
        <v>52.1</v>
      </c>
      <c r="N460" s="3" t="s">
        <v>96</v>
      </c>
      <c r="O460" s="3"/>
      <c r="P460" s="10"/>
      <c r="Q460" s="3" t="n">
        <f aca="false">IF(F460="Disposable",1,0)</f>
        <v>0</v>
      </c>
      <c r="R460" s="3" t="n">
        <f aca="false">IF(SUMPRODUCT(--ISNUMBER(SEARCH('Spam Rules'!$A$22:$A$35,K460)))&gt;0,1,0)</f>
        <v>0</v>
      </c>
      <c r="S460" s="3" t="n">
        <f aca="false">IF(AND(F460="Free",G460=""),1,0)</f>
        <v>0</v>
      </c>
      <c r="T460" s="3" t="n">
        <f aca="false">IF(LEN(TRIM(K460))&lt;15,1,0)</f>
        <v>0</v>
      </c>
      <c r="U460" s="3" t="n">
        <f aca="false">IF(COUNTIF($E$2:$E$801,E460)&gt;1,1,0)</f>
        <v>0</v>
      </c>
      <c r="V460" s="3" t="n">
        <f aca="false">Q460*'Spam Rules'!$H$6+R460*'Spam Rules'!$H$7+S460*'Spam Rules'!$H$8+T460*'Spam Rules'!$H$9+U460*'Spam Rules'!$H$10</f>
        <v>0</v>
      </c>
      <c r="W460" s="3" t="str">
        <f aca="false">IF(V460&gt;='Spam Rules'!$B$3,"Likely Spam","Genuine")</f>
        <v>Genuine</v>
      </c>
      <c r="X460" s="3" t="n">
        <f aca="false">IFERROR(INDEX('Scoring Model'!$B$5:$B$11,MATCH(C460,'Scoring Model'!$A$5:$A$11,0)),0)</f>
        <v>10</v>
      </c>
      <c r="Y460" s="3" t="n">
        <f aca="false">IFERROR(INDEX('Scoring Model'!$E$5:$E$7,MATCH(F460,'Scoring Model'!$D$5:$D$7,0)),0)</f>
        <v>20</v>
      </c>
      <c r="Z460" s="3" t="n">
        <f aca="false">IFERROR(INDEX('Scoring Model'!$H$5:$H$13,MATCH(J460,'Scoring Model'!$G$5:$G$13,0)),0)</f>
        <v>15</v>
      </c>
      <c r="AA460" s="3" t="n">
        <f aca="false">IF(L460&gt;='Scoring Model'!$B$14,'Scoring Model'!$B$15,IF(L460&gt;='Scoring Model'!$B$16,'Scoring Model'!$B$17,0))</f>
        <v>0</v>
      </c>
      <c r="AB460" s="3" t="n">
        <f aca="false">IF(SUMPRODUCT(--ISNUMBER(SEARCH('Scoring Model'!$D$16:$D$25,K460)))&gt;0,'Scoring Model'!$B$18,0)</f>
        <v>15</v>
      </c>
      <c r="AC460" s="3" t="n">
        <f aca="false">IF(SUMPRODUCT(--ISNUMBER(SEARCH('Scoring Model'!$G$16:$G$23,K460)))&gt;0,'Scoring Model'!$B$19,0)</f>
        <v>0</v>
      </c>
      <c r="AD460" s="3" t="n">
        <f aca="false">IF(W460="Likely Spam","",SUM(X460:AC460))</f>
        <v>60</v>
      </c>
      <c r="AE460" s="3" t="str">
        <f aca="false">IF(W460="Likely Spam","Spam",IF(AD460&gt;='Scoring Model'!$B$21,"Hot",IF(AD460&gt;='Scoring Model'!$B$22,"Warm","Nurture")))</f>
        <v>Warm</v>
      </c>
      <c r="AF460" s="3" t="str">
        <f aca="false">IF(W460="Likely Spam","Flagged by spam rules",TRIM(IF(X460&gt;=20,"Strong source. ","")&amp;IF(Y460&gt;0,"Company email. ","")&amp;IF(Z460&gt;=15,"High-value product. ","")&amp;IF(AA460&gt;='Scoring Model'!$B$15,"High engagement. ","")&amp;IF(AB460&gt;0,"Buying intent in message. ","")&amp;IF(AC460&lt;0,"Negative intent in message. ","")))</f>
        <v>Company email. High-value product. Buying intent in message.</v>
      </c>
      <c r="AG460" s="11" t="n">
        <f aca="false">IF(W460="Likely Spam","",1/(1+EXP(-('Conversion Model'!$B$5+IFERROR(INDEX('Conversion Model'!$B$8:$B$14,MATCH(C460,'Conversion Model'!$A$8:$A$14,0)),0)+IFERROR(INDEX('Conversion Model'!$E$8:$E$9,MATCH(F460,'Conversion Model'!$D$8:$D$9,0)),0)+IFERROR(INDEX('Conversion Model'!$H$8:$H$12,MATCH(IF(LEFT(J460,8)="Payments","Payments",IF(LEFT(J460,7)="Lending","Lending",J460)),'Conversion Model'!$G$8:$G$12,0)),0)+MIN(L460,15)*'Conversion Model'!$B$17+IF(SUMPRODUCT(--ISNUMBER(SEARCH('Scoring Model'!$D$16:$D$25,K460)))&gt;0,'Conversion Model'!$B$18,0)+IF(SUMPRODUCT(--ISNUMBER(SEARCH('Scoring Model'!$G$16:$G$23,K460)))&gt;0,'Conversion Model'!$B$19,0)))))</f>
        <v>0.081435562050249</v>
      </c>
      <c r="AH460" s="3" t="str">
        <f aca="false">IF(OR(O460="Qualified",O460="Won",O460="Lost"),1,IF(O460="Unqualified",0,""))</f>
        <v/>
      </c>
    </row>
    <row r="461" customFormat="false" ht="15" hidden="false" customHeight="true" outlineLevel="0" collapsed="false">
      <c r="A461" s="3" t="s">
        <v>1699</v>
      </c>
      <c r="B461" s="9" t="n">
        <v>46145.6548611111</v>
      </c>
      <c r="C461" s="3" t="s">
        <v>160</v>
      </c>
      <c r="D461" s="3" t="s">
        <v>1700</v>
      </c>
      <c r="E461" s="3" t="s">
        <v>1701</v>
      </c>
      <c r="F461" s="3" t="s">
        <v>54</v>
      </c>
      <c r="G461" s="3" t="s">
        <v>225</v>
      </c>
      <c r="H461" s="3"/>
      <c r="I461" s="3" t="s">
        <v>260</v>
      </c>
      <c r="J461" s="3" t="s">
        <v>122</v>
      </c>
      <c r="K461" s="3" t="s">
        <v>74</v>
      </c>
      <c r="L461" s="3" t="n">
        <v>3</v>
      </c>
      <c r="M461" s="3" t="n">
        <v>69.8</v>
      </c>
      <c r="N461" s="3" t="s">
        <v>171</v>
      </c>
      <c r="O461" s="3"/>
      <c r="P461" s="10"/>
      <c r="Q461" s="3" t="n">
        <f aca="false">IF(F461="Disposable",1,0)</f>
        <v>0</v>
      </c>
      <c r="R461" s="3" t="n">
        <f aca="false">IF(SUMPRODUCT(--ISNUMBER(SEARCH('Spam Rules'!$A$22:$A$35,K461)))&gt;0,1,0)</f>
        <v>0</v>
      </c>
      <c r="S461" s="3" t="n">
        <f aca="false">IF(AND(F461="Free",G461=""),1,0)</f>
        <v>0</v>
      </c>
      <c r="T461" s="3" t="n">
        <f aca="false">IF(LEN(TRIM(K461))&lt;15,1,0)</f>
        <v>0</v>
      </c>
      <c r="U461" s="3" t="n">
        <f aca="false">IF(COUNTIF($E$2:$E$801,E461)&gt;1,1,0)</f>
        <v>0</v>
      </c>
      <c r="V461" s="3" t="n">
        <f aca="false">Q461*'Spam Rules'!$H$6+R461*'Spam Rules'!$H$7+S461*'Spam Rules'!$H$8+T461*'Spam Rules'!$H$9+U461*'Spam Rules'!$H$10</f>
        <v>0</v>
      </c>
      <c r="W461" s="3" t="str">
        <f aca="false">IF(V461&gt;='Spam Rules'!$B$3,"Likely Spam","Genuine")</f>
        <v>Genuine</v>
      </c>
      <c r="X461" s="3" t="n">
        <f aca="false">IFERROR(INDEX('Scoring Model'!$B$5:$B$11,MATCH(C461,'Scoring Model'!$A$5:$A$11,0)),0)</f>
        <v>25</v>
      </c>
      <c r="Y461" s="3" t="n">
        <f aca="false">IFERROR(INDEX('Scoring Model'!$E$5:$E$7,MATCH(F461,'Scoring Model'!$D$5:$D$7,0)),0)</f>
        <v>0</v>
      </c>
      <c r="Z461" s="3" t="n">
        <f aca="false">IFERROR(INDEX('Scoring Model'!$H$5:$H$13,MATCH(J461,'Scoring Model'!$G$5:$G$13,0)),0)</f>
        <v>15</v>
      </c>
      <c r="AA461" s="3" t="n">
        <f aca="false">IF(L461&gt;='Scoring Model'!$B$14,'Scoring Model'!$B$15,IF(L461&gt;='Scoring Model'!$B$16,'Scoring Model'!$B$17,0))</f>
        <v>0</v>
      </c>
      <c r="AB461" s="3" t="n">
        <f aca="false">IF(SUMPRODUCT(--ISNUMBER(SEARCH('Scoring Model'!$D$16:$D$25,K461)))&gt;0,'Scoring Model'!$B$18,0)</f>
        <v>0</v>
      </c>
      <c r="AC461" s="3" t="n">
        <f aca="false">IF(SUMPRODUCT(--ISNUMBER(SEARCH('Scoring Model'!$G$16:$G$23,K461)))&gt;0,'Scoring Model'!$B$19,0)</f>
        <v>-30</v>
      </c>
      <c r="AD461" s="3" t="n">
        <f aca="false">IF(W461="Likely Spam","",SUM(X461:AC461))</f>
        <v>10</v>
      </c>
      <c r="AE461" s="3" t="str">
        <f aca="false">IF(W461="Likely Spam","Spam",IF(AD461&gt;='Scoring Model'!$B$21,"Hot",IF(AD461&gt;='Scoring Model'!$B$22,"Warm","Nurture")))</f>
        <v>Nurture</v>
      </c>
      <c r="AF461" s="3" t="str">
        <f aca="false">IF(W461="Likely Spam","Flagged by spam rules",TRIM(IF(X461&gt;=20,"Strong source. ","")&amp;IF(Y461&gt;0,"Company email. ","")&amp;IF(Z461&gt;=15,"High-value product. ","")&amp;IF(AA461&gt;='Scoring Model'!$B$15,"High engagement. ","")&amp;IF(AB461&gt;0,"Buying intent in message. ","")&amp;IF(AC461&lt;0,"Negative intent in message. ","")))</f>
        <v>Strong source. High-value product. Negative intent in message.</v>
      </c>
      <c r="AG461" s="11" t="n">
        <f aca="false">IF(W461="Likely Spam","",1/(1+EXP(-('Conversion Model'!$B$5+IFERROR(INDEX('Conversion Model'!$B$8:$B$14,MATCH(C461,'Conversion Model'!$A$8:$A$14,0)),0)+IFERROR(INDEX('Conversion Model'!$E$8:$E$9,MATCH(F461,'Conversion Model'!$D$8:$D$9,0)),0)+IFERROR(INDEX('Conversion Model'!$H$8:$H$12,MATCH(IF(LEFT(J461,8)="Payments","Payments",IF(LEFT(J461,7)="Lending","Lending",J461)),'Conversion Model'!$G$8:$G$12,0)),0)+MIN(L461,15)*'Conversion Model'!$B$17+IF(SUMPRODUCT(--ISNUMBER(SEARCH('Scoring Model'!$D$16:$D$25,K461)))&gt;0,'Conversion Model'!$B$18,0)+IF(SUMPRODUCT(--ISNUMBER(SEARCH('Scoring Model'!$G$16:$G$23,K461)))&gt;0,'Conversion Model'!$B$19,0)))))</f>
        <v>0.00908503652176517</v>
      </c>
      <c r="AH461" s="3" t="str">
        <f aca="false">IF(OR(O461="Qualified",O461="Won",O461="Lost"),1,IF(O461="Unqualified",0,""))</f>
        <v/>
      </c>
    </row>
    <row r="462" customFormat="false" ht="15" hidden="false" customHeight="true" outlineLevel="0" collapsed="false">
      <c r="A462" s="3" t="s">
        <v>1702</v>
      </c>
      <c r="B462" s="9" t="n">
        <v>46146.3847222222</v>
      </c>
      <c r="C462" s="3" t="s">
        <v>160</v>
      </c>
      <c r="D462" s="3" t="s">
        <v>1703</v>
      </c>
      <c r="E462" s="3" t="s">
        <v>1704</v>
      </c>
      <c r="F462" s="3" t="s">
        <v>22</v>
      </c>
      <c r="G462" s="3" t="s">
        <v>237</v>
      </c>
      <c r="H462" s="3" t="s">
        <v>238</v>
      </c>
      <c r="I462" s="3" t="s">
        <v>227</v>
      </c>
      <c r="J462" s="3" t="s">
        <v>122</v>
      </c>
      <c r="K462" s="3" t="s">
        <v>239</v>
      </c>
      <c r="L462" s="3" t="n">
        <v>1</v>
      </c>
      <c r="M462" s="3"/>
      <c r="N462" s="3" t="s">
        <v>96</v>
      </c>
      <c r="O462" s="3"/>
      <c r="P462" s="10"/>
      <c r="Q462" s="3" t="n">
        <f aca="false">IF(F462="Disposable",1,0)</f>
        <v>0</v>
      </c>
      <c r="R462" s="3" t="n">
        <f aca="false">IF(SUMPRODUCT(--ISNUMBER(SEARCH('Spam Rules'!$A$22:$A$35,K462)))&gt;0,1,0)</f>
        <v>1</v>
      </c>
      <c r="S462" s="3" t="n">
        <f aca="false">IF(AND(F462="Free",G462=""),1,0)</f>
        <v>0</v>
      </c>
      <c r="T462" s="3" t="n">
        <f aca="false">IF(LEN(TRIM(K462))&lt;15,1,0)</f>
        <v>0</v>
      </c>
      <c r="U462" s="3" t="n">
        <f aca="false">IF(COUNTIF($E$2:$E$801,E462)&gt;1,1,0)</f>
        <v>0</v>
      </c>
      <c r="V462" s="3" t="n">
        <f aca="false">Q462*'Spam Rules'!$H$6+R462*'Spam Rules'!$H$7+S462*'Spam Rules'!$H$8+T462*'Spam Rules'!$H$9+U462*'Spam Rules'!$H$10</f>
        <v>1</v>
      </c>
      <c r="W462" s="3" t="str">
        <f aca="false">IF(V462&gt;='Spam Rules'!$B$3,"Likely Spam","Genuine")</f>
        <v>Likely Spam</v>
      </c>
      <c r="X462" s="3" t="n">
        <f aca="false">IFERROR(INDEX('Scoring Model'!$B$5:$B$11,MATCH(C462,'Scoring Model'!$A$5:$A$11,0)),0)</f>
        <v>25</v>
      </c>
      <c r="Y462" s="3" t="n">
        <f aca="false">IFERROR(INDEX('Scoring Model'!$E$5:$E$7,MATCH(F462,'Scoring Model'!$D$5:$D$7,0)),0)</f>
        <v>20</v>
      </c>
      <c r="Z462" s="3" t="n">
        <f aca="false">IFERROR(INDEX('Scoring Model'!$H$5:$H$13,MATCH(J462,'Scoring Model'!$G$5:$G$13,0)),0)</f>
        <v>15</v>
      </c>
      <c r="AA462" s="3" t="n">
        <f aca="false">IF(L462&gt;='Scoring Model'!$B$14,'Scoring Model'!$B$15,IF(L462&gt;='Scoring Model'!$B$16,'Scoring Model'!$B$17,0))</f>
        <v>0</v>
      </c>
      <c r="AB462" s="3" t="n">
        <f aca="false">IF(SUMPRODUCT(--ISNUMBER(SEARCH('Scoring Model'!$D$16:$D$25,K462)))&gt;0,'Scoring Model'!$B$18,0)</f>
        <v>0</v>
      </c>
      <c r="AC462" s="3" t="n">
        <f aca="false">IF(SUMPRODUCT(--ISNUMBER(SEARCH('Scoring Model'!$G$16:$G$23,K462)))&gt;0,'Scoring Model'!$B$19,0)</f>
        <v>0</v>
      </c>
      <c r="AD462" s="3" t="str">
        <f aca="false">IF(W462="Likely Spam","",SUM(X462:AC462))</f>
        <v/>
      </c>
      <c r="AE462" s="3" t="str">
        <f aca="false">IF(W462="Likely Spam","Spam",IF(AD462&gt;='Scoring Model'!$B$21,"Hot",IF(AD462&gt;='Scoring Model'!$B$22,"Warm","Nurture")))</f>
        <v>Spam</v>
      </c>
      <c r="AF462" s="3" t="str">
        <f aca="false">IF(W462="Likely Spam","Flagged by spam rules",TRIM(IF(X462&gt;=20,"Strong source. ","")&amp;IF(Y462&gt;0,"Company email. ","")&amp;IF(Z462&gt;=15,"High-value product. ","")&amp;IF(AA462&gt;='Scoring Model'!$B$15,"High engagement. ","")&amp;IF(AB462&gt;0,"Buying intent in message. ","")&amp;IF(AC462&lt;0,"Negative intent in message. ","")))</f>
        <v>Flagged by spam rules</v>
      </c>
      <c r="AG462" s="11" t="str">
        <f aca="false">IF(W462="Likely Spam","",1/(1+EXP(-('Conversion Model'!$B$5+IFERROR(INDEX('Conversion Model'!$B$8:$B$14,MATCH(C462,'Conversion Model'!$A$8:$A$14,0)),0)+IFERROR(INDEX('Conversion Model'!$E$8:$E$9,MATCH(F462,'Conversion Model'!$D$8:$D$9,0)),0)+IFERROR(INDEX('Conversion Model'!$H$8:$H$12,MATCH(IF(LEFT(J462,8)="Payments","Payments",IF(LEFT(J462,7)="Lending","Lending",J462)),'Conversion Model'!$G$8:$G$12,0)),0)+MIN(L462,15)*'Conversion Model'!$B$17+IF(SUMPRODUCT(--ISNUMBER(SEARCH('Scoring Model'!$D$16:$D$25,K462)))&gt;0,'Conversion Model'!$B$18,0)+IF(SUMPRODUCT(--ISNUMBER(SEARCH('Scoring Model'!$G$16:$G$23,K462)))&gt;0,'Conversion Model'!$B$19,0)))))</f>
        <v/>
      </c>
      <c r="AH462" s="3" t="str">
        <f aca="false">IF(OR(O462="Qualified",O462="Won",O462="Lost"),1,IF(O462="Unqualified",0,""))</f>
        <v/>
      </c>
    </row>
    <row r="463" customFormat="false" ht="15" hidden="false" customHeight="true" outlineLevel="0" collapsed="false">
      <c r="A463" s="3" t="s">
        <v>1705</v>
      </c>
      <c r="B463" s="9" t="n">
        <v>46146.4958333333</v>
      </c>
      <c r="C463" s="3" t="s">
        <v>51</v>
      </c>
      <c r="D463" s="3" t="s">
        <v>1706</v>
      </c>
      <c r="E463" s="3" t="s">
        <v>1707</v>
      </c>
      <c r="F463" s="3" t="s">
        <v>63</v>
      </c>
      <c r="G463" s="3"/>
      <c r="H463" s="3"/>
      <c r="I463" s="3" t="s">
        <v>73</v>
      </c>
      <c r="J463" s="3" t="s">
        <v>122</v>
      </c>
      <c r="K463" s="3" t="s">
        <v>322</v>
      </c>
      <c r="L463" s="3" t="n">
        <v>1</v>
      </c>
      <c r="M463" s="3" t="n">
        <v>35.8</v>
      </c>
      <c r="N463" s="3" t="s">
        <v>67</v>
      </c>
      <c r="O463" s="3" t="s">
        <v>68</v>
      </c>
      <c r="P463" s="10"/>
      <c r="Q463" s="3" t="n">
        <f aca="false">IF(F463="Disposable",1,0)</f>
        <v>1</v>
      </c>
      <c r="R463" s="3" t="n">
        <f aca="false">IF(SUMPRODUCT(--ISNUMBER(SEARCH('Spam Rules'!$A$22:$A$35,K463)))&gt;0,1,0)</f>
        <v>0</v>
      </c>
      <c r="S463" s="3" t="n">
        <f aca="false">IF(AND(F463="Free",G463=""),1,0)</f>
        <v>0</v>
      </c>
      <c r="T463" s="3" t="n">
        <f aca="false">IF(LEN(TRIM(K463))&lt;15,1,0)</f>
        <v>1</v>
      </c>
      <c r="U463" s="3" t="n">
        <f aca="false">IF(COUNTIF($E$2:$E$801,E463)&gt;1,1,0)</f>
        <v>0</v>
      </c>
      <c r="V463" s="3" t="n">
        <f aca="false">Q463*'Spam Rules'!$H$6+R463*'Spam Rules'!$H$7+S463*'Spam Rules'!$H$8+T463*'Spam Rules'!$H$9+U463*'Spam Rules'!$H$10</f>
        <v>2</v>
      </c>
      <c r="W463" s="3" t="str">
        <f aca="false">IF(V463&gt;='Spam Rules'!$B$3,"Likely Spam","Genuine")</f>
        <v>Likely Spam</v>
      </c>
      <c r="X463" s="3" t="n">
        <f aca="false">IFERROR(INDEX('Scoring Model'!$B$5:$B$11,MATCH(C463,'Scoring Model'!$A$5:$A$11,0)),0)</f>
        <v>10</v>
      </c>
      <c r="Y463" s="3" t="n">
        <f aca="false">IFERROR(INDEX('Scoring Model'!$E$5:$E$7,MATCH(F463,'Scoring Model'!$D$5:$D$7,0)),0)</f>
        <v>0</v>
      </c>
      <c r="Z463" s="3" t="n">
        <f aca="false">IFERROR(INDEX('Scoring Model'!$H$5:$H$13,MATCH(J463,'Scoring Model'!$G$5:$G$13,0)),0)</f>
        <v>15</v>
      </c>
      <c r="AA463" s="3" t="n">
        <f aca="false">IF(L463&gt;='Scoring Model'!$B$14,'Scoring Model'!$B$15,IF(L463&gt;='Scoring Model'!$B$16,'Scoring Model'!$B$17,0))</f>
        <v>0</v>
      </c>
      <c r="AB463" s="3" t="n">
        <f aca="false">IF(SUMPRODUCT(--ISNUMBER(SEARCH('Scoring Model'!$D$16:$D$25,K463)))&gt;0,'Scoring Model'!$B$18,0)</f>
        <v>0</v>
      </c>
      <c r="AC463" s="3" t="n">
        <f aca="false">IF(SUMPRODUCT(--ISNUMBER(SEARCH('Scoring Model'!$G$16:$G$23,K463)))&gt;0,'Scoring Model'!$B$19,0)</f>
        <v>0</v>
      </c>
      <c r="AD463" s="3" t="str">
        <f aca="false">IF(W463="Likely Spam","",SUM(X463:AC463))</f>
        <v/>
      </c>
      <c r="AE463" s="3" t="str">
        <f aca="false">IF(W463="Likely Spam","Spam",IF(AD463&gt;='Scoring Model'!$B$21,"Hot",IF(AD463&gt;='Scoring Model'!$B$22,"Warm","Nurture")))</f>
        <v>Spam</v>
      </c>
      <c r="AF463" s="3" t="str">
        <f aca="false">IF(W463="Likely Spam","Flagged by spam rules",TRIM(IF(X463&gt;=20,"Strong source. ","")&amp;IF(Y463&gt;0,"Company email. ","")&amp;IF(Z463&gt;=15,"High-value product. ","")&amp;IF(AA463&gt;='Scoring Model'!$B$15,"High engagement. ","")&amp;IF(AB463&gt;0,"Buying intent in message. ","")&amp;IF(AC463&lt;0,"Negative intent in message. ","")))</f>
        <v>Flagged by spam rules</v>
      </c>
      <c r="AG463" s="11" t="str">
        <f aca="false">IF(W463="Likely Spam","",1/(1+EXP(-('Conversion Model'!$B$5+IFERROR(INDEX('Conversion Model'!$B$8:$B$14,MATCH(C463,'Conversion Model'!$A$8:$A$14,0)),0)+IFERROR(INDEX('Conversion Model'!$E$8:$E$9,MATCH(F463,'Conversion Model'!$D$8:$D$9,0)),0)+IFERROR(INDEX('Conversion Model'!$H$8:$H$12,MATCH(IF(LEFT(J463,8)="Payments","Payments",IF(LEFT(J463,7)="Lending","Lending",J463)),'Conversion Model'!$G$8:$G$12,0)),0)+MIN(L463,15)*'Conversion Model'!$B$17+IF(SUMPRODUCT(--ISNUMBER(SEARCH('Scoring Model'!$D$16:$D$25,K463)))&gt;0,'Conversion Model'!$B$18,0)+IF(SUMPRODUCT(--ISNUMBER(SEARCH('Scoring Model'!$G$16:$G$23,K463)))&gt;0,'Conversion Model'!$B$19,0)))))</f>
        <v/>
      </c>
      <c r="AH463" s="3" t="str">
        <f aca="false">IF(OR(O463="Qualified",O463="Won",O463="Lost"),1,IF(O463="Unqualified",0,""))</f>
        <v/>
      </c>
    </row>
    <row r="464" customFormat="false" ht="15" hidden="false" customHeight="true" outlineLevel="0" collapsed="false">
      <c r="A464" s="3" t="s">
        <v>1708</v>
      </c>
      <c r="B464" s="9" t="n">
        <v>46146.9541666667</v>
      </c>
      <c r="C464" s="3" t="s">
        <v>51</v>
      </c>
      <c r="D464" s="3" t="s">
        <v>1709</v>
      </c>
      <c r="E464" s="3" t="s">
        <v>1710</v>
      </c>
      <c r="F464" s="3" t="s">
        <v>63</v>
      </c>
      <c r="G464" s="3"/>
      <c r="H464" s="3"/>
      <c r="I464" s="3" t="s">
        <v>260</v>
      </c>
      <c r="J464" s="3" t="s">
        <v>65</v>
      </c>
      <c r="K464" s="3" t="s">
        <v>82</v>
      </c>
      <c r="L464" s="3" t="n">
        <v>1</v>
      </c>
      <c r="M464" s="3" t="n">
        <v>11.4</v>
      </c>
      <c r="N464" s="3" t="s">
        <v>96</v>
      </c>
      <c r="O464" s="3" t="s">
        <v>68</v>
      </c>
      <c r="P464" s="10"/>
      <c r="Q464" s="3" t="n">
        <f aca="false">IF(F464="Disposable",1,0)</f>
        <v>1</v>
      </c>
      <c r="R464" s="3" t="n">
        <f aca="false">IF(SUMPRODUCT(--ISNUMBER(SEARCH('Spam Rules'!$A$22:$A$35,K464)))&gt;0,1,0)</f>
        <v>1</v>
      </c>
      <c r="S464" s="3" t="n">
        <f aca="false">IF(AND(F464="Free",G464=""),1,0)</f>
        <v>0</v>
      </c>
      <c r="T464" s="3" t="n">
        <f aca="false">IF(LEN(TRIM(K464))&lt;15,1,0)</f>
        <v>0</v>
      </c>
      <c r="U464" s="3" t="n">
        <f aca="false">IF(COUNTIF($E$2:$E$801,E464)&gt;1,1,0)</f>
        <v>0</v>
      </c>
      <c r="V464" s="3" t="n">
        <f aca="false">Q464*'Spam Rules'!$H$6+R464*'Spam Rules'!$H$7+S464*'Spam Rules'!$H$8+T464*'Spam Rules'!$H$9+U464*'Spam Rules'!$H$10</f>
        <v>2</v>
      </c>
      <c r="W464" s="3" t="str">
        <f aca="false">IF(V464&gt;='Spam Rules'!$B$3,"Likely Spam","Genuine")</f>
        <v>Likely Spam</v>
      </c>
      <c r="X464" s="3" t="n">
        <f aca="false">IFERROR(INDEX('Scoring Model'!$B$5:$B$11,MATCH(C464,'Scoring Model'!$A$5:$A$11,0)),0)</f>
        <v>10</v>
      </c>
      <c r="Y464" s="3" t="n">
        <f aca="false">IFERROR(INDEX('Scoring Model'!$E$5:$E$7,MATCH(F464,'Scoring Model'!$D$5:$D$7,0)),0)</f>
        <v>0</v>
      </c>
      <c r="Z464" s="3" t="n">
        <f aca="false">IFERROR(INDEX('Scoring Model'!$H$5:$H$13,MATCH(J464,'Scoring Model'!$G$5:$G$13,0)),0)</f>
        <v>0</v>
      </c>
      <c r="AA464" s="3" t="n">
        <f aca="false">IF(L464&gt;='Scoring Model'!$B$14,'Scoring Model'!$B$15,IF(L464&gt;='Scoring Model'!$B$16,'Scoring Model'!$B$17,0))</f>
        <v>0</v>
      </c>
      <c r="AB464" s="3" t="n">
        <f aca="false">IF(SUMPRODUCT(--ISNUMBER(SEARCH('Scoring Model'!$D$16:$D$25,K464)))&gt;0,'Scoring Model'!$B$18,0)</f>
        <v>0</v>
      </c>
      <c r="AC464" s="3" t="n">
        <f aca="false">IF(SUMPRODUCT(--ISNUMBER(SEARCH('Scoring Model'!$G$16:$G$23,K464)))&gt;0,'Scoring Model'!$B$19,0)</f>
        <v>0</v>
      </c>
      <c r="AD464" s="3" t="str">
        <f aca="false">IF(W464="Likely Spam","",SUM(X464:AC464))</f>
        <v/>
      </c>
      <c r="AE464" s="3" t="str">
        <f aca="false">IF(W464="Likely Spam","Spam",IF(AD464&gt;='Scoring Model'!$B$21,"Hot",IF(AD464&gt;='Scoring Model'!$B$22,"Warm","Nurture")))</f>
        <v>Spam</v>
      </c>
      <c r="AF464" s="3" t="str">
        <f aca="false">IF(W464="Likely Spam","Flagged by spam rules",TRIM(IF(X464&gt;=20,"Strong source. ","")&amp;IF(Y464&gt;0,"Company email. ","")&amp;IF(Z464&gt;=15,"High-value product. ","")&amp;IF(AA464&gt;='Scoring Model'!$B$15,"High engagement. ","")&amp;IF(AB464&gt;0,"Buying intent in message. ","")&amp;IF(AC464&lt;0,"Negative intent in message. ","")))</f>
        <v>Flagged by spam rules</v>
      </c>
      <c r="AG464" s="11" t="str">
        <f aca="false">IF(W464="Likely Spam","",1/(1+EXP(-('Conversion Model'!$B$5+IFERROR(INDEX('Conversion Model'!$B$8:$B$14,MATCH(C464,'Conversion Model'!$A$8:$A$14,0)),0)+IFERROR(INDEX('Conversion Model'!$E$8:$E$9,MATCH(F464,'Conversion Model'!$D$8:$D$9,0)),0)+IFERROR(INDEX('Conversion Model'!$H$8:$H$12,MATCH(IF(LEFT(J464,8)="Payments","Payments",IF(LEFT(J464,7)="Lending","Lending",J464)),'Conversion Model'!$G$8:$G$12,0)),0)+MIN(L464,15)*'Conversion Model'!$B$17+IF(SUMPRODUCT(--ISNUMBER(SEARCH('Scoring Model'!$D$16:$D$25,K464)))&gt;0,'Conversion Model'!$B$18,0)+IF(SUMPRODUCT(--ISNUMBER(SEARCH('Scoring Model'!$G$16:$G$23,K464)))&gt;0,'Conversion Model'!$B$19,0)))))</f>
        <v/>
      </c>
      <c r="AH464" s="3" t="str">
        <f aca="false">IF(OR(O464="Qualified",O464="Won",O464="Lost"),1,IF(O464="Unqualified",0,""))</f>
        <v/>
      </c>
    </row>
    <row r="465" customFormat="false" ht="15" hidden="false" customHeight="true" outlineLevel="0" collapsed="false">
      <c r="A465" s="3" t="s">
        <v>1711</v>
      </c>
      <c r="B465" s="9" t="n">
        <v>46147.1256944445</v>
      </c>
      <c r="C465" s="3" t="s">
        <v>135</v>
      </c>
      <c r="D465" s="3" t="s">
        <v>1712</v>
      </c>
      <c r="E465" s="3" t="s">
        <v>1713</v>
      </c>
      <c r="F465" s="3" t="s">
        <v>22</v>
      </c>
      <c r="G465" s="3" t="s">
        <v>474</v>
      </c>
      <c r="H465" s="3" t="s">
        <v>1010</v>
      </c>
      <c r="I465" s="3" t="s">
        <v>80</v>
      </c>
      <c r="J465" s="3" t="s">
        <v>122</v>
      </c>
      <c r="K465" s="3" t="s">
        <v>189</v>
      </c>
      <c r="L465" s="3" t="n">
        <v>3</v>
      </c>
      <c r="M465" s="3" t="n">
        <v>28.2</v>
      </c>
      <c r="N465" s="3" t="s">
        <v>67</v>
      </c>
      <c r="O465" s="3" t="s">
        <v>133</v>
      </c>
      <c r="P465" s="10"/>
      <c r="Q465" s="3" t="n">
        <f aca="false">IF(F465="Disposable",1,0)</f>
        <v>0</v>
      </c>
      <c r="R465" s="3" t="n">
        <f aca="false">IF(SUMPRODUCT(--ISNUMBER(SEARCH('Spam Rules'!$A$22:$A$35,K465)))&gt;0,1,0)</f>
        <v>0</v>
      </c>
      <c r="S465" s="3" t="n">
        <f aca="false">IF(AND(F465="Free",G465=""),1,0)</f>
        <v>0</v>
      </c>
      <c r="T465" s="3" t="n">
        <f aca="false">IF(LEN(TRIM(K465))&lt;15,1,0)</f>
        <v>0</v>
      </c>
      <c r="U465" s="3" t="n">
        <f aca="false">IF(COUNTIF($E$2:$E$801,E465)&gt;1,1,0)</f>
        <v>0</v>
      </c>
      <c r="V465" s="3" t="n">
        <f aca="false">Q465*'Spam Rules'!$H$6+R465*'Spam Rules'!$H$7+S465*'Spam Rules'!$H$8+T465*'Spam Rules'!$H$9+U465*'Spam Rules'!$H$10</f>
        <v>0</v>
      </c>
      <c r="W465" s="3" t="str">
        <f aca="false">IF(V465&gt;='Spam Rules'!$B$3,"Likely Spam","Genuine")</f>
        <v>Genuine</v>
      </c>
      <c r="X465" s="3" t="n">
        <f aca="false">IFERROR(INDEX('Scoring Model'!$B$5:$B$11,MATCH(C465,'Scoring Model'!$A$5:$A$11,0)),0)</f>
        <v>20</v>
      </c>
      <c r="Y465" s="3" t="n">
        <f aca="false">IFERROR(INDEX('Scoring Model'!$E$5:$E$7,MATCH(F465,'Scoring Model'!$D$5:$D$7,0)),0)</f>
        <v>20</v>
      </c>
      <c r="Z465" s="3" t="n">
        <f aca="false">IFERROR(INDEX('Scoring Model'!$H$5:$H$13,MATCH(J465,'Scoring Model'!$G$5:$G$13,0)),0)</f>
        <v>15</v>
      </c>
      <c r="AA465" s="3" t="n">
        <f aca="false">IF(L465&gt;='Scoring Model'!$B$14,'Scoring Model'!$B$15,IF(L465&gt;='Scoring Model'!$B$16,'Scoring Model'!$B$17,0))</f>
        <v>0</v>
      </c>
      <c r="AB465" s="3" t="n">
        <f aca="false">IF(SUMPRODUCT(--ISNUMBER(SEARCH('Scoring Model'!$D$16:$D$25,K465)))&gt;0,'Scoring Model'!$B$18,0)</f>
        <v>15</v>
      </c>
      <c r="AC465" s="3" t="n">
        <f aca="false">IF(SUMPRODUCT(--ISNUMBER(SEARCH('Scoring Model'!$G$16:$G$23,K465)))&gt;0,'Scoring Model'!$B$19,0)</f>
        <v>0</v>
      </c>
      <c r="AD465" s="3" t="n">
        <f aca="false">IF(W465="Likely Spam","",SUM(X465:AC465))</f>
        <v>70</v>
      </c>
      <c r="AE465" s="3" t="str">
        <f aca="false">IF(W465="Likely Spam","Spam",IF(AD465&gt;='Scoring Model'!$B$21,"Hot",IF(AD465&gt;='Scoring Model'!$B$22,"Warm","Nurture")))</f>
        <v>Hot</v>
      </c>
      <c r="AF465" s="3" t="str">
        <f aca="false">IF(W465="Likely Spam","Flagged by spam rules",TRIM(IF(X465&gt;=20,"Strong source. ","")&amp;IF(Y465&gt;0,"Company email. ","")&amp;IF(Z465&gt;=15,"High-value product. ","")&amp;IF(AA465&gt;='Scoring Model'!$B$15,"High engagement. ","")&amp;IF(AB465&gt;0,"Buying intent in message. ","")&amp;IF(AC465&lt;0,"Negative intent in message. ","")))</f>
        <v>Strong source. Company email. High-value product. Buying intent in message.</v>
      </c>
      <c r="AG465" s="11" t="n">
        <f aca="false">IF(W465="Likely Spam","",1/(1+EXP(-('Conversion Model'!$B$5+IFERROR(INDEX('Conversion Model'!$B$8:$B$14,MATCH(C465,'Conversion Model'!$A$8:$A$14,0)),0)+IFERROR(INDEX('Conversion Model'!$E$8:$E$9,MATCH(F465,'Conversion Model'!$D$8:$D$9,0)),0)+IFERROR(INDEX('Conversion Model'!$H$8:$H$12,MATCH(IF(LEFT(J465,8)="Payments","Payments",IF(LEFT(J465,7)="Lending","Lending",J465)),'Conversion Model'!$G$8:$G$12,0)),0)+MIN(L465,15)*'Conversion Model'!$B$17+IF(SUMPRODUCT(--ISNUMBER(SEARCH('Scoring Model'!$D$16:$D$25,K465)))&gt;0,'Conversion Model'!$B$18,0)+IF(SUMPRODUCT(--ISNUMBER(SEARCH('Scoring Model'!$G$16:$G$23,K465)))&gt;0,'Conversion Model'!$B$19,0)))))</f>
        <v>0.514246143065613</v>
      </c>
      <c r="AH465" s="3" t="str">
        <f aca="false">IF(OR(O465="Qualified",O465="Won",O465="Lost"),1,IF(O465="Unqualified",0,""))</f>
        <v/>
      </c>
    </row>
    <row r="466" customFormat="false" ht="15" hidden="false" customHeight="true" outlineLevel="0" collapsed="false">
      <c r="A466" s="3" t="s">
        <v>1714</v>
      </c>
      <c r="B466" s="9" t="n">
        <v>46148.39375</v>
      </c>
      <c r="C466" s="3" t="s">
        <v>91</v>
      </c>
      <c r="D466" s="3" t="s">
        <v>1016</v>
      </c>
      <c r="E466" s="3" t="s">
        <v>1715</v>
      </c>
      <c r="F466" s="3" t="s">
        <v>22</v>
      </c>
      <c r="G466" s="3" t="s">
        <v>321</v>
      </c>
      <c r="H466" s="3" t="s">
        <v>388</v>
      </c>
      <c r="I466" s="3" t="s">
        <v>188</v>
      </c>
      <c r="J466" s="3" t="s">
        <v>65</v>
      </c>
      <c r="K466" s="3" t="s">
        <v>66</v>
      </c>
      <c r="L466" s="3" t="n">
        <v>1</v>
      </c>
      <c r="M466" s="3"/>
      <c r="N466" s="3" t="s">
        <v>96</v>
      </c>
      <c r="O466" s="3" t="s">
        <v>68</v>
      </c>
      <c r="P466" s="10"/>
      <c r="Q466" s="3" t="n">
        <f aca="false">IF(F466="Disposable",1,0)</f>
        <v>0</v>
      </c>
      <c r="R466" s="3" t="n">
        <f aca="false">IF(SUMPRODUCT(--ISNUMBER(SEARCH('Spam Rules'!$A$22:$A$35,K466)))&gt;0,1,0)</f>
        <v>1</v>
      </c>
      <c r="S466" s="3" t="n">
        <f aca="false">IF(AND(F466="Free",G466=""),1,0)</f>
        <v>0</v>
      </c>
      <c r="T466" s="3" t="n">
        <f aca="false">IF(LEN(TRIM(K466))&lt;15,1,0)</f>
        <v>0</v>
      </c>
      <c r="U466" s="3" t="n">
        <f aca="false">IF(COUNTIF($E$2:$E$801,E466)&gt;1,1,0)</f>
        <v>0</v>
      </c>
      <c r="V466" s="3" t="n">
        <f aca="false">Q466*'Spam Rules'!$H$6+R466*'Spam Rules'!$H$7+S466*'Spam Rules'!$H$8+T466*'Spam Rules'!$H$9+U466*'Spam Rules'!$H$10</f>
        <v>1</v>
      </c>
      <c r="W466" s="3" t="str">
        <f aca="false">IF(V466&gt;='Spam Rules'!$B$3,"Likely Spam","Genuine")</f>
        <v>Likely Spam</v>
      </c>
      <c r="X466" s="3" t="n">
        <f aca="false">IFERROR(INDEX('Scoring Model'!$B$5:$B$11,MATCH(C466,'Scoring Model'!$A$5:$A$11,0)),0)</f>
        <v>5</v>
      </c>
      <c r="Y466" s="3" t="n">
        <f aca="false">IFERROR(INDEX('Scoring Model'!$E$5:$E$7,MATCH(F466,'Scoring Model'!$D$5:$D$7,0)),0)</f>
        <v>20</v>
      </c>
      <c r="Z466" s="3" t="n">
        <f aca="false">IFERROR(INDEX('Scoring Model'!$H$5:$H$13,MATCH(J466,'Scoring Model'!$G$5:$G$13,0)),0)</f>
        <v>0</v>
      </c>
      <c r="AA466" s="3" t="n">
        <f aca="false">IF(L466&gt;='Scoring Model'!$B$14,'Scoring Model'!$B$15,IF(L466&gt;='Scoring Model'!$B$16,'Scoring Model'!$B$17,0))</f>
        <v>0</v>
      </c>
      <c r="AB466" s="3" t="n">
        <f aca="false">IF(SUMPRODUCT(--ISNUMBER(SEARCH('Scoring Model'!$D$16:$D$25,K466)))&gt;0,'Scoring Model'!$B$18,0)</f>
        <v>0</v>
      </c>
      <c r="AC466" s="3" t="n">
        <f aca="false">IF(SUMPRODUCT(--ISNUMBER(SEARCH('Scoring Model'!$G$16:$G$23,K466)))&gt;0,'Scoring Model'!$B$19,0)</f>
        <v>0</v>
      </c>
      <c r="AD466" s="3" t="str">
        <f aca="false">IF(W466="Likely Spam","",SUM(X466:AC466))</f>
        <v/>
      </c>
      <c r="AE466" s="3" t="str">
        <f aca="false">IF(W466="Likely Spam","Spam",IF(AD466&gt;='Scoring Model'!$B$21,"Hot",IF(AD466&gt;='Scoring Model'!$B$22,"Warm","Nurture")))</f>
        <v>Spam</v>
      </c>
      <c r="AF466" s="3" t="str">
        <f aca="false">IF(W466="Likely Spam","Flagged by spam rules",TRIM(IF(X466&gt;=20,"Strong source. ","")&amp;IF(Y466&gt;0,"Company email. ","")&amp;IF(Z466&gt;=15,"High-value product. ","")&amp;IF(AA466&gt;='Scoring Model'!$B$15,"High engagement. ","")&amp;IF(AB466&gt;0,"Buying intent in message. ","")&amp;IF(AC466&lt;0,"Negative intent in message. ","")))</f>
        <v>Flagged by spam rules</v>
      </c>
      <c r="AG466" s="11" t="str">
        <f aca="false">IF(W466="Likely Spam","",1/(1+EXP(-('Conversion Model'!$B$5+IFERROR(INDEX('Conversion Model'!$B$8:$B$14,MATCH(C466,'Conversion Model'!$A$8:$A$14,0)),0)+IFERROR(INDEX('Conversion Model'!$E$8:$E$9,MATCH(F466,'Conversion Model'!$D$8:$D$9,0)),0)+IFERROR(INDEX('Conversion Model'!$H$8:$H$12,MATCH(IF(LEFT(J466,8)="Payments","Payments",IF(LEFT(J466,7)="Lending","Lending",J466)),'Conversion Model'!$G$8:$G$12,0)),0)+MIN(L466,15)*'Conversion Model'!$B$17+IF(SUMPRODUCT(--ISNUMBER(SEARCH('Scoring Model'!$D$16:$D$25,K466)))&gt;0,'Conversion Model'!$B$18,0)+IF(SUMPRODUCT(--ISNUMBER(SEARCH('Scoring Model'!$G$16:$G$23,K466)))&gt;0,'Conversion Model'!$B$19,0)))))</f>
        <v/>
      </c>
      <c r="AH466" s="3" t="str">
        <f aca="false">IF(OR(O466="Qualified",O466="Won",O466="Lost"),1,IF(O466="Unqualified",0,""))</f>
        <v/>
      </c>
    </row>
    <row r="467" customFormat="false" ht="15" hidden="false" customHeight="true" outlineLevel="0" collapsed="false">
      <c r="A467" s="3" t="s">
        <v>1716</v>
      </c>
      <c r="B467" s="9" t="n">
        <v>46148.8590277778</v>
      </c>
      <c r="C467" s="3" t="s">
        <v>76</v>
      </c>
      <c r="D467" s="3" t="s">
        <v>1462</v>
      </c>
      <c r="E467" s="3" t="s">
        <v>1717</v>
      </c>
      <c r="F467" s="3" t="s">
        <v>54</v>
      </c>
      <c r="G467" s="3"/>
      <c r="H467" s="3"/>
      <c r="I467" s="3" t="s">
        <v>56</v>
      </c>
      <c r="J467" s="3" t="s">
        <v>65</v>
      </c>
      <c r="K467" s="3" t="s">
        <v>363</v>
      </c>
      <c r="L467" s="3" t="n">
        <v>2</v>
      </c>
      <c r="M467" s="3" t="n">
        <v>73.3</v>
      </c>
      <c r="N467" s="3" t="s">
        <v>67</v>
      </c>
      <c r="O467" s="3"/>
      <c r="P467" s="10"/>
      <c r="Q467" s="3" t="n">
        <f aca="false">IF(F467="Disposable",1,0)</f>
        <v>0</v>
      </c>
      <c r="R467" s="3" t="n">
        <f aca="false">IF(SUMPRODUCT(--ISNUMBER(SEARCH('Spam Rules'!$A$22:$A$35,K467)))&gt;0,1,0)</f>
        <v>1</v>
      </c>
      <c r="S467" s="3" t="n">
        <f aca="false">IF(AND(F467="Free",G467=""),1,0)</f>
        <v>1</v>
      </c>
      <c r="T467" s="3" t="n">
        <f aca="false">IF(LEN(TRIM(K467))&lt;15,1,0)</f>
        <v>0</v>
      </c>
      <c r="U467" s="3" t="n">
        <f aca="false">IF(COUNTIF($E$2:$E$801,E467)&gt;1,1,0)</f>
        <v>0</v>
      </c>
      <c r="V467" s="3" t="n">
        <f aca="false">Q467*'Spam Rules'!$H$6+R467*'Spam Rules'!$H$7+S467*'Spam Rules'!$H$8+T467*'Spam Rules'!$H$9+U467*'Spam Rules'!$H$10</f>
        <v>1</v>
      </c>
      <c r="W467" s="3" t="str">
        <f aca="false">IF(V467&gt;='Spam Rules'!$B$3,"Likely Spam","Genuine")</f>
        <v>Likely Spam</v>
      </c>
      <c r="X467" s="3" t="n">
        <f aca="false">IFERROR(INDEX('Scoring Model'!$B$5:$B$11,MATCH(C467,'Scoring Model'!$A$5:$A$11,0)),0)</f>
        <v>0</v>
      </c>
      <c r="Y467" s="3" t="n">
        <f aca="false">IFERROR(INDEX('Scoring Model'!$E$5:$E$7,MATCH(F467,'Scoring Model'!$D$5:$D$7,0)),0)</f>
        <v>0</v>
      </c>
      <c r="Z467" s="3" t="n">
        <f aca="false">IFERROR(INDEX('Scoring Model'!$H$5:$H$13,MATCH(J467,'Scoring Model'!$G$5:$G$13,0)),0)</f>
        <v>0</v>
      </c>
      <c r="AA467" s="3" t="n">
        <f aca="false">IF(L467&gt;='Scoring Model'!$B$14,'Scoring Model'!$B$15,IF(L467&gt;='Scoring Model'!$B$16,'Scoring Model'!$B$17,0))</f>
        <v>0</v>
      </c>
      <c r="AB467" s="3" t="n">
        <f aca="false">IF(SUMPRODUCT(--ISNUMBER(SEARCH('Scoring Model'!$D$16:$D$25,K467)))&gt;0,'Scoring Model'!$B$18,0)</f>
        <v>0</v>
      </c>
      <c r="AC467" s="3" t="n">
        <f aca="false">IF(SUMPRODUCT(--ISNUMBER(SEARCH('Scoring Model'!$G$16:$G$23,K467)))&gt;0,'Scoring Model'!$B$19,0)</f>
        <v>0</v>
      </c>
      <c r="AD467" s="3" t="str">
        <f aca="false">IF(W467="Likely Spam","",SUM(X467:AC467))</f>
        <v/>
      </c>
      <c r="AE467" s="3" t="str">
        <f aca="false">IF(W467="Likely Spam","Spam",IF(AD467&gt;='Scoring Model'!$B$21,"Hot",IF(AD467&gt;='Scoring Model'!$B$22,"Warm","Nurture")))</f>
        <v>Spam</v>
      </c>
      <c r="AF467" s="3" t="str">
        <f aca="false">IF(W467="Likely Spam","Flagged by spam rules",TRIM(IF(X467&gt;=20,"Strong source. ","")&amp;IF(Y467&gt;0,"Company email. ","")&amp;IF(Z467&gt;=15,"High-value product. ","")&amp;IF(AA467&gt;='Scoring Model'!$B$15,"High engagement. ","")&amp;IF(AB467&gt;0,"Buying intent in message. ","")&amp;IF(AC467&lt;0,"Negative intent in message. ","")))</f>
        <v>Flagged by spam rules</v>
      </c>
      <c r="AG467" s="11" t="str">
        <f aca="false">IF(W467="Likely Spam","",1/(1+EXP(-('Conversion Model'!$B$5+IFERROR(INDEX('Conversion Model'!$B$8:$B$14,MATCH(C467,'Conversion Model'!$A$8:$A$14,0)),0)+IFERROR(INDEX('Conversion Model'!$E$8:$E$9,MATCH(F467,'Conversion Model'!$D$8:$D$9,0)),0)+IFERROR(INDEX('Conversion Model'!$H$8:$H$12,MATCH(IF(LEFT(J467,8)="Payments","Payments",IF(LEFT(J467,7)="Lending","Lending",J467)),'Conversion Model'!$G$8:$G$12,0)),0)+MIN(L467,15)*'Conversion Model'!$B$17+IF(SUMPRODUCT(--ISNUMBER(SEARCH('Scoring Model'!$D$16:$D$25,K467)))&gt;0,'Conversion Model'!$B$18,0)+IF(SUMPRODUCT(--ISNUMBER(SEARCH('Scoring Model'!$G$16:$G$23,K467)))&gt;0,'Conversion Model'!$B$19,0)))))</f>
        <v/>
      </c>
      <c r="AH467" s="3" t="str">
        <f aca="false">IF(OR(O467="Qualified",O467="Won",O467="Lost"),1,IF(O467="Unqualified",0,""))</f>
        <v/>
      </c>
    </row>
    <row r="468" customFormat="false" ht="15" hidden="false" customHeight="true" outlineLevel="0" collapsed="false">
      <c r="A468" s="3" t="s">
        <v>1718</v>
      </c>
      <c r="B468" s="9" t="n">
        <v>46149.4722222222</v>
      </c>
      <c r="C468" s="3" t="s">
        <v>51</v>
      </c>
      <c r="D468" s="3" t="s">
        <v>1719</v>
      </c>
      <c r="E468" s="3" t="s">
        <v>1720</v>
      </c>
      <c r="F468" s="3" t="s">
        <v>54</v>
      </c>
      <c r="G468" s="3"/>
      <c r="H468" s="3"/>
      <c r="I468" s="3" t="s">
        <v>204</v>
      </c>
      <c r="J468" s="3" t="s">
        <v>81</v>
      </c>
      <c r="K468" s="3" t="s">
        <v>349</v>
      </c>
      <c r="L468" s="3" t="n">
        <v>2</v>
      </c>
      <c r="M468" s="3" t="n">
        <v>11</v>
      </c>
      <c r="N468" s="3" t="s">
        <v>171</v>
      </c>
      <c r="O468" s="3" t="s">
        <v>194</v>
      </c>
      <c r="P468" s="10"/>
      <c r="Q468" s="3" t="n">
        <f aca="false">IF(F468="Disposable",1,0)</f>
        <v>0</v>
      </c>
      <c r="R468" s="3" t="n">
        <f aca="false">IF(SUMPRODUCT(--ISNUMBER(SEARCH('Spam Rules'!$A$22:$A$35,K468)))&gt;0,1,0)</f>
        <v>0</v>
      </c>
      <c r="S468" s="3" t="n">
        <f aca="false">IF(AND(F468="Free",G468=""),1,0)</f>
        <v>1</v>
      </c>
      <c r="T468" s="3" t="n">
        <f aca="false">IF(LEN(TRIM(K468))&lt;15,1,0)</f>
        <v>0</v>
      </c>
      <c r="U468" s="3" t="n">
        <f aca="false">IF(COUNTIF($E$2:$E$801,E468)&gt;1,1,0)</f>
        <v>0</v>
      </c>
      <c r="V468" s="3" t="n">
        <f aca="false">Q468*'Spam Rules'!$H$6+R468*'Spam Rules'!$H$7+S468*'Spam Rules'!$H$8+T468*'Spam Rules'!$H$9+U468*'Spam Rules'!$H$10</f>
        <v>0</v>
      </c>
      <c r="W468" s="3" t="str">
        <f aca="false">IF(V468&gt;='Spam Rules'!$B$3,"Likely Spam","Genuine")</f>
        <v>Genuine</v>
      </c>
      <c r="X468" s="3" t="n">
        <f aca="false">IFERROR(INDEX('Scoring Model'!$B$5:$B$11,MATCH(C468,'Scoring Model'!$A$5:$A$11,0)),0)</f>
        <v>10</v>
      </c>
      <c r="Y468" s="3" t="n">
        <f aca="false">IFERROR(INDEX('Scoring Model'!$E$5:$E$7,MATCH(F468,'Scoring Model'!$D$5:$D$7,0)),0)</f>
        <v>0</v>
      </c>
      <c r="Z468" s="3" t="n">
        <f aca="false">IFERROR(INDEX('Scoring Model'!$H$5:$H$13,MATCH(J468,'Scoring Model'!$G$5:$G$13,0)),0)</f>
        <v>5</v>
      </c>
      <c r="AA468" s="3" t="n">
        <f aca="false">IF(L468&gt;='Scoring Model'!$B$14,'Scoring Model'!$B$15,IF(L468&gt;='Scoring Model'!$B$16,'Scoring Model'!$B$17,0))</f>
        <v>0</v>
      </c>
      <c r="AB468" s="3" t="n">
        <f aca="false">IF(SUMPRODUCT(--ISNUMBER(SEARCH('Scoring Model'!$D$16:$D$25,K468)))&gt;0,'Scoring Model'!$B$18,0)</f>
        <v>0</v>
      </c>
      <c r="AC468" s="3" t="n">
        <f aca="false">IF(SUMPRODUCT(--ISNUMBER(SEARCH('Scoring Model'!$G$16:$G$23,K468)))&gt;0,'Scoring Model'!$B$19,0)</f>
        <v>-30</v>
      </c>
      <c r="AD468" s="3" t="n">
        <f aca="false">IF(W468="Likely Spam","",SUM(X468:AC468))</f>
        <v>-15</v>
      </c>
      <c r="AE468" s="3" t="str">
        <f aca="false">IF(W468="Likely Spam","Spam",IF(AD468&gt;='Scoring Model'!$B$21,"Hot",IF(AD468&gt;='Scoring Model'!$B$22,"Warm","Nurture")))</f>
        <v>Nurture</v>
      </c>
      <c r="AF468" s="3" t="str">
        <f aca="false">IF(W468="Likely Spam","Flagged by spam rules",TRIM(IF(X468&gt;=20,"Strong source. ","")&amp;IF(Y468&gt;0,"Company email. ","")&amp;IF(Z468&gt;=15,"High-value product. ","")&amp;IF(AA468&gt;='Scoring Model'!$B$15,"High engagement. ","")&amp;IF(AB468&gt;0,"Buying intent in message. ","")&amp;IF(AC468&lt;0,"Negative intent in message. ","")))</f>
        <v>Negative intent in message.</v>
      </c>
      <c r="AG468" s="11" t="n">
        <f aca="false">IF(W468="Likely Spam","",1/(1+EXP(-('Conversion Model'!$B$5+IFERROR(INDEX('Conversion Model'!$B$8:$B$14,MATCH(C468,'Conversion Model'!$A$8:$A$14,0)),0)+IFERROR(INDEX('Conversion Model'!$E$8:$E$9,MATCH(F468,'Conversion Model'!$D$8:$D$9,0)),0)+IFERROR(INDEX('Conversion Model'!$H$8:$H$12,MATCH(IF(LEFT(J468,8)="Payments","Payments",IF(LEFT(J468,7)="Lending","Lending",J468)),'Conversion Model'!$G$8:$G$12,0)),0)+MIN(L468,15)*'Conversion Model'!$B$17+IF(SUMPRODUCT(--ISNUMBER(SEARCH('Scoring Model'!$D$16:$D$25,K468)))&gt;0,'Conversion Model'!$B$18,0)+IF(SUMPRODUCT(--ISNUMBER(SEARCH('Scoring Model'!$G$16:$G$23,K468)))&gt;0,'Conversion Model'!$B$19,0)))))</f>
        <v>0.00166377666343457</v>
      </c>
      <c r="AH468" s="3" t="n">
        <f aca="false">IF(OR(O468="Qualified",O468="Won",O468="Lost"),1,IF(O468="Unqualified",0,""))</f>
        <v>0</v>
      </c>
    </row>
    <row r="469" customFormat="false" ht="15" hidden="false" customHeight="true" outlineLevel="0" collapsed="false">
      <c r="A469" s="3" t="s">
        <v>1721</v>
      </c>
      <c r="B469" s="9" t="n">
        <v>46149.675</v>
      </c>
      <c r="C469" s="3" t="s">
        <v>51</v>
      </c>
      <c r="D469" s="3" t="s">
        <v>1722</v>
      </c>
      <c r="E469" s="3" t="s">
        <v>1723</v>
      </c>
      <c r="F469" s="3" t="s">
        <v>63</v>
      </c>
      <c r="G469" s="3"/>
      <c r="H469" s="3"/>
      <c r="I469" s="3" t="s">
        <v>88</v>
      </c>
      <c r="J469" s="3" t="s">
        <v>65</v>
      </c>
      <c r="K469" s="3" t="s">
        <v>322</v>
      </c>
      <c r="L469" s="3" t="n">
        <v>2</v>
      </c>
      <c r="M469" s="3"/>
      <c r="N469" s="3" t="s">
        <v>67</v>
      </c>
      <c r="O469" s="3"/>
      <c r="P469" s="10"/>
      <c r="Q469" s="3" t="n">
        <f aca="false">IF(F469="Disposable",1,0)</f>
        <v>1</v>
      </c>
      <c r="R469" s="3" t="n">
        <f aca="false">IF(SUMPRODUCT(--ISNUMBER(SEARCH('Spam Rules'!$A$22:$A$35,K469)))&gt;0,1,0)</f>
        <v>0</v>
      </c>
      <c r="S469" s="3" t="n">
        <f aca="false">IF(AND(F469="Free",G469=""),1,0)</f>
        <v>0</v>
      </c>
      <c r="T469" s="3" t="n">
        <f aca="false">IF(LEN(TRIM(K469))&lt;15,1,0)</f>
        <v>1</v>
      </c>
      <c r="U469" s="3" t="n">
        <f aca="false">IF(COUNTIF($E$2:$E$801,E469)&gt;1,1,0)</f>
        <v>0</v>
      </c>
      <c r="V469" s="3" t="n">
        <f aca="false">Q469*'Spam Rules'!$H$6+R469*'Spam Rules'!$H$7+S469*'Spam Rules'!$H$8+T469*'Spam Rules'!$H$9+U469*'Spam Rules'!$H$10</f>
        <v>2</v>
      </c>
      <c r="W469" s="3" t="str">
        <f aca="false">IF(V469&gt;='Spam Rules'!$B$3,"Likely Spam","Genuine")</f>
        <v>Likely Spam</v>
      </c>
      <c r="X469" s="3" t="n">
        <f aca="false">IFERROR(INDEX('Scoring Model'!$B$5:$B$11,MATCH(C469,'Scoring Model'!$A$5:$A$11,0)),0)</f>
        <v>10</v>
      </c>
      <c r="Y469" s="3" t="n">
        <f aca="false">IFERROR(INDEX('Scoring Model'!$E$5:$E$7,MATCH(F469,'Scoring Model'!$D$5:$D$7,0)),0)</f>
        <v>0</v>
      </c>
      <c r="Z469" s="3" t="n">
        <f aca="false">IFERROR(INDEX('Scoring Model'!$H$5:$H$13,MATCH(J469,'Scoring Model'!$G$5:$G$13,0)),0)</f>
        <v>0</v>
      </c>
      <c r="AA469" s="3" t="n">
        <f aca="false">IF(L469&gt;='Scoring Model'!$B$14,'Scoring Model'!$B$15,IF(L469&gt;='Scoring Model'!$B$16,'Scoring Model'!$B$17,0))</f>
        <v>0</v>
      </c>
      <c r="AB469" s="3" t="n">
        <f aca="false">IF(SUMPRODUCT(--ISNUMBER(SEARCH('Scoring Model'!$D$16:$D$25,K469)))&gt;0,'Scoring Model'!$B$18,0)</f>
        <v>0</v>
      </c>
      <c r="AC469" s="3" t="n">
        <f aca="false">IF(SUMPRODUCT(--ISNUMBER(SEARCH('Scoring Model'!$G$16:$G$23,K469)))&gt;0,'Scoring Model'!$B$19,0)</f>
        <v>0</v>
      </c>
      <c r="AD469" s="3" t="str">
        <f aca="false">IF(W469="Likely Spam","",SUM(X469:AC469))</f>
        <v/>
      </c>
      <c r="AE469" s="3" t="str">
        <f aca="false">IF(W469="Likely Spam","Spam",IF(AD469&gt;='Scoring Model'!$B$21,"Hot",IF(AD469&gt;='Scoring Model'!$B$22,"Warm","Nurture")))</f>
        <v>Spam</v>
      </c>
      <c r="AF469" s="3" t="str">
        <f aca="false">IF(W469="Likely Spam","Flagged by spam rules",TRIM(IF(X469&gt;=20,"Strong source. ","")&amp;IF(Y469&gt;0,"Company email. ","")&amp;IF(Z469&gt;=15,"High-value product. ","")&amp;IF(AA469&gt;='Scoring Model'!$B$15,"High engagement. ","")&amp;IF(AB469&gt;0,"Buying intent in message. ","")&amp;IF(AC469&lt;0,"Negative intent in message. ","")))</f>
        <v>Flagged by spam rules</v>
      </c>
      <c r="AG469" s="11" t="str">
        <f aca="false">IF(W469="Likely Spam","",1/(1+EXP(-('Conversion Model'!$B$5+IFERROR(INDEX('Conversion Model'!$B$8:$B$14,MATCH(C469,'Conversion Model'!$A$8:$A$14,0)),0)+IFERROR(INDEX('Conversion Model'!$E$8:$E$9,MATCH(F469,'Conversion Model'!$D$8:$D$9,0)),0)+IFERROR(INDEX('Conversion Model'!$H$8:$H$12,MATCH(IF(LEFT(J469,8)="Payments","Payments",IF(LEFT(J469,7)="Lending","Lending",J469)),'Conversion Model'!$G$8:$G$12,0)),0)+MIN(L469,15)*'Conversion Model'!$B$17+IF(SUMPRODUCT(--ISNUMBER(SEARCH('Scoring Model'!$D$16:$D$25,K469)))&gt;0,'Conversion Model'!$B$18,0)+IF(SUMPRODUCT(--ISNUMBER(SEARCH('Scoring Model'!$G$16:$G$23,K469)))&gt;0,'Conversion Model'!$B$19,0)))))</f>
        <v/>
      </c>
      <c r="AH469" s="3" t="str">
        <f aca="false">IF(OR(O469="Qualified",O469="Won",O469="Lost"),1,IF(O469="Unqualified",0,""))</f>
        <v/>
      </c>
    </row>
    <row r="470" customFormat="false" ht="15" hidden="false" customHeight="true" outlineLevel="0" collapsed="false">
      <c r="A470" s="3" t="s">
        <v>1724</v>
      </c>
      <c r="B470" s="9" t="n">
        <v>46149.9069444445</v>
      </c>
      <c r="C470" s="3" t="s">
        <v>51</v>
      </c>
      <c r="D470" s="3" t="s">
        <v>426</v>
      </c>
      <c r="E470" s="3" t="s">
        <v>1725</v>
      </c>
      <c r="F470" s="3" t="s">
        <v>22</v>
      </c>
      <c r="G470" s="3" t="s">
        <v>1726</v>
      </c>
      <c r="H470" s="3" t="s">
        <v>1727</v>
      </c>
      <c r="I470" s="3" t="s">
        <v>227</v>
      </c>
      <c r="J470" s="3" t="s">
        <v>122</v>
      </c>
      <c r="K470" s="3" t="s">
        <v>228</v>
      </c>
      <c r="L470" s="3" t="n">
        <v>5</v>
      </c>
      <c r="M470" s="3" t="n">
        <v>8.1</v>
      </c>
      <c r="N470" s="3" t="s">
        <v>171</v>
      </c>
      <c r="O470" s="3" t="s">
        <v>147</v>
      </c>
      <c r="P470" s="10" t="n">
        <v>60000</v>
      </c>
      <c r="Q470" s="3" t="n">
        <f aca="false">IF(F470="Disposable",1,0)</f>
        <v>0</v>
      </c>
      <c r="R470" s="3" t="n">
        <f aca="false">IF(SUMPRODUCT(--ISNUMBER(SEARCH('Spam Rules'!$A$22:$A$35,K470)))&gt;0,1,0)</f>
        <v>0</v>
      </c>
      <c r="S470" s="3" t="n">
        <f aca="false">IF(AND(F470="Free",G470=""),1,0)</f>
        <v>0</v>
      </c>
      <c r="T470" s="3" t="n">
        <f aca="false">IF(LEN(TRIM(K470))&lt;15,1,0)</f>
        <v>0</v>
      </c>
      <c r="U470" s="3" t="n">
        <f aca="false">IF(COUNTIF($E$2:$E$801,E470)&gt;1,1,0)</f>
        <v>0</v>
      </c>
      <c r="V470" s="3" t="n">
        <f aca="false">Q470*'Spam Rules'!$H$6+R470*'Spam Rules'!$H$7+S470*'Spam Rules'!$H$8+T470*'Spam Rules'!$H$9+U470*'Spam Rules'!$H$10</f>
        <v>0</v>
      </c>
      <c r="W470" s="3" t="str">
        <f aca="false">IF(V470&gt;='Spam Rules'!$B$3,"Likely Spam","Genuine")</f>
        <v>Genuine</v>
      </c>
      <c r="X470" s="3" t="n">
        <f aca="false">IFERROR(INDEX('Scoring Model'!$B$5:$B$11,MATCH(C470,'Scoring Model'!$A$5:$A$11,0)),0)</f>
        <v>10</v>
      </c>
      <c r="Y470" s="3" t="n">
        <f aca="false">IFERROR(INDEX('Scoring Model'!$E$5:$E$7,MATCH(F470,'Scoring Model'!$D$5:$D$7,0)),0)</f>
        <v>20</v>
      </c>
      <c r="Z470" s="3" t="n">
        <f aca="false">IFERROR(INDEX('Scoring Model'!$H$5:$H$13,MATCH(J470,'Scoring Model'!$G$5:$G$13,0)),0)</f>
        <v>15</v>
      </c>
      <c r="AA470" s="3" t="n">
        <f aca="false">IF(L470&gt;='Scoring Model'!$B$14,'Scoring Model'!$B$15,IF(L470&gt;='Scoring Model'!$B$16,'Scoring Model'!$B$17,0))</f>
        <v>8</v>
      </c>
      <c r="AB470" s="3" t="n">
        <f aca="false">IF(SUMPRODUCT(--ISNUMBER(SEARCH('Scoring Model'!$D$16:$D$25,K470)))&gt;0,'Scoring Model'!$B$18,0)</f>
        <v>15</v>
      </c>
      <c r="AC470" s="3" t="n">
        <f aca="false">IF(SUMPRODUCT(--ISNUMBER(SEARCH('Scoring Model'!$G$16:$G$23,K470)))&gt;0,'Scoring Model'!$B$19,0)</f>
        <v>0</v>
      </c>
      <c r="AD470" s="3" t="n">
        <f aca="false">IF(W470="Likely Spam","",SUM(X470:AC470))</f>
        <v>68</v>
      </c>
      <c r="AE470" s="3" t="str">
        <f aca="false">IF(W470="Likely Spam","Spam",IF(AD470&gt;='Scoring Model'!$B$21,"Hot",IF(AD470&gt;='Scoring Model'!$B$22,"Warm","Nurture")))</f>
        <v>Warm</v>
      </c>
      <c r="AF470" s="3" t="str">
        <f aca="false">IF(W470="Likely Spam","Flagged by spam rules",TRIM(IF(X470&gt;=20,"Strong source. ","")&amp;IF(Y470&gt;0,"Company email. ","")&amp;IF(Z470&gt;=15,"High-value product. ","")&amp;IF(AA470&gt;='Scoring Model'!$B$15,"High engagement. ","")&amp;IF(AB470&gt;0,"Buying intent in message. ","")&amp;IF(AC470&lt;0,"Negative intent in message. ","")))</f>
        <v>Company email. High-value product. Buying intent in message.</v>
      </c>
      <c r="AG470" s="11" t="n">
        <f aca="false">IF(W470="Likely Spam","",1/(1+EXP(-('Conversion Model'!$B$5+IFERROR(INDEX('Conversion Model'!$B$8:$B$14,MATCH(C470,'Conversion Model'!$A$8:$A$14,0)),0)+IFERROR(INDEX('Conversion Model'!$E$8:$E$9,MATCH(F470,'Conversion Model'!$D$8:$D$9,0)),0)+IFERROR(INDEX('Conversion Model'!$H$8:$H$12,MATCH(IF(LEFT(J470,8)="Payments","Payments",IF(LEFT(J470,7)="Lending","Lending",J470)),'Conversion Model'!$G$8:$G$12,0)),0)+MIN(L470,15)*'Conversion Model'!$B$17+IF(SUMPRODUCT(--ISNUMBER(SEARCH('Scoring Model'!$D$16:$D$25,K470)))&gt;0,'Conversion Model'!$B$18,0)+IF(SUMPRODUCT(--ISNUMBER(SEARCH('Scoring Model'!$G$16:$G$23,K470)))&gt;0,'Conversion Model'!$B$19,0)))))</f>
        <v>0.686756726643902</v>
      </c>
      <c r="AH470" s="3" t="n">
        <f aca="false">IF(OR(O470="Qualified",O470="Won",O470="Lost"),1,IF(O470="Unqualified",0,""))</f>
        <v>1</v>
      </c>
    </row>
    <row r="471" customFormat="false" ht="15" hidden="false" customHeight="true" outlineLevel="0" collapsed="false">
      <c r="A471" s="3" t="s">
        <v>1728</v>
      </c>
      <c r="B471" s="9" t="n">
        <v>46150.0868055556</v>
      </c>
      <c r="C471" s="3" t="s">
        <v>91</v>
      </c>
      <c r="D471" s="3" t="s">
        <v>1729</v>
      </c>
      <c r="E471" s="3" t="s">
        <v>1730</v>
      </c>
      <c r="F471" s="3" t="s">
        <v>54</v>
      </c>
      <c r="G471" s="3"/>
      <c r="H471" s="3"/>
      <c r="I471" s="3" t="s">
        <v>260</v>
      </c>
      <c r="J471" s="3" t="s">
        <v>65</v>
      </c>
      <c r="K471" s="3" t="s">
        <v>193</v>
      </c>
      <c r="L471" s="3" t="n">
        <v>3</v>
      </c>
      <c r="M471" s="3" t="n">
        <v>13.2</v>
      </c>
      <c r="N471" s="3" t="s">
        <v>171</v>
      </c>
      <c r="O471" s="3" t="s">
        <v>194</v>
      </c>
      <c r="P471" s="10"/>
      <c r="Q471" s="3" t="n">
        <f aca="false">IF(F471="Disposable",1,0)</f>
        <v>0</v>
      </c>
      <c r="R471" s="3" t="n">
        <f aca="false">IF(SUMPRODUCT(--ISNUMBER(SEARCH('Spam Rules'!$A$22:$A$35,K471)))&gt;0,1,0)</f>
        <v>0</v>
      </c>
      <c r="S471" s="3" t="n">
        <f aca="false">IF(AND(F471="Free",G471=""),1,0)</f>
        <v>1</v>
      </c>
      <c r="T471" s="3" t="n">
        <f aca="false">IF(LEN(TRIM(K471))&lt;15,1,0)</f>
        <v>0</v>
      </c>
      <c r="U471" s="3" t="n">
        <f aca="false">IF(COUNTIF($E$2:$E$801,E471)&gt;1,1,0)</f>
        <v>0</v>
      </c>
      <c r="V471" s="3" t="n">
        <f aca="false">Q471*'Spam Rules'!$H$6+R471*'Spam Rules'!$H$7+S471*'Spam Rules'!$H$8+T471*'Spam Rules'!$H$9+U471*'Spam Rules'!$H$10</f>
        <v>0</v>
      </c>
      <c r="W471" s="3" t="str">
        <f aca="false">IF(V471&gt;='Spam Rules'!$B$3,"Likely Spam","Genuine")</f>
        <v>Genuine</v>
      </c>
      <c r="X471" s="3" t="n">
        <f aca="false">IFERROR(INDEX('Scoring Model'!$B$5:$B$11,MATCH(C471,'Scoring Model'!$A$5:$A$11,0)),0)</f>
        <v>5</v>
      </c>
      <c r="Y471" s="3" t="n">
        <f aca="false">IFERROR(INDEX('Scoring Model'!$E$5:$E$7,MATCH(F471,'Scoring Model'!$D$5:$D$7,0)),0)</f>
        <v>0</v>
      </c>
      <c r="Z471" s="3" t="n">
        <f aca="false">IFERROR(INDEX('Scoring Model'!$H$5:$H$13,MATCH(J471,'Scoring Model'!$G$5:$G$13,0)),0)</f>
        <v>0</v>
      </c>
      <c r="AA471" s="3" t="n">
        <f aca="false">IF(L471&gt;='Scoring Model'!$B$14,'Scoring Model'!$B$15,IF(L471&gt;='Scoring Model'!$B$16,'Scoring Model'!$B$17,0))</f>
        <v>0</v>
      </c>
      <c r="AB471" s="3" t="n">
        <f aca="false">IF(SUMPRODUCT(--ISNUMBER(SEARCH('Scoring Model'!$D$16:$D$25,K471)))&gt;0,'Scoring Model'!$B$18,0)</f>
        <v>0</v>
      </c>
      <c r="AC471" s="3" t="n">
        <f aca="false">IF(SUMPRODUCT(--ISNUMBER(SEARCH('Scoring Model'!$G$16:$G$23,K471)))&gt;0,'Scoring Model'!$B$19,0)</f>
        <v>-30</v>
      </c>
      <c r="AD471" s="3" t="n">
        <f aca="false">IF(W471="Likely Spam","",SUM(X471:AC471))</f>
        <v>-25</v>
      </c>
      <c r="AE471" s="3" t="str">
        <f aca="false">IF(W471="Likely Spam","Spam",IF(AD471&gt;='Scoring Model'!$B$21,"Hot",IF(AD471&gt;='Scoring Model'!$B$22,"Warm","Nurture")))</f>
        <v>Nurture</v>
      </c>
      <c r="AF471" s="3" t="str">
        <f aca="false">IF(W471="Likely Spam","Flagged by spam rules",TRIM(IF(X471&gt;=20,"Strong source. ","")&amp;IF(Y471&gt;0,"Company email. ","")&amp;IF(Z471&gt;=15,"High-value product. ","")&amp;IF(AA471&gt;='Scoring Model'!$B$15,"High engagement. ","")&amp;IF(AB471&gt;0,"Buying intent in message. ","")&amp;IF(AC471&lt;0,"Negative intent in message. ","")))</f>
        <v>Negative intent in message.</v>
      </c>
      <c r="AG471" s="11" t="n">
        <f aca="false">IF(W471="Likely Spam","",1/(1+EXP(-('Conversion Model'!$B$5+IFERROR(INDEX('Conversion Model'!$B$8:$B$14,MATCH(C471,'Conversion Model'!$A$8:$A$14,0)),0)+IFERROR(INDEX('Conversion Model'!$E$8:$E$9,MATCH(F471,'Conversion Model'!$D$8:$D$9,0)),0)+IFERROR(INDEX('Conversion Model'!$H$8:$H$12,MATCH(IF(LEFT(J471,8)="Payments","Payments",IF(LEFT(J471,7)="Lending","Lending",J471)),'Conversion Model'!$G$8:$G$12,0)),0)+MIN(L471,15)*'Conversion Model'!$B$17+IF(SUMPRODUCT(--ISNUMBER(SEARCH('Scoring Model'!$D$16:$D$25,K471)))&gt;0,'Conversion Model'!$B$18,0)+IF(SUMPRODUCT(--ISNUMBER(SEARCH('Scoring Model'!$G$16:$G$23,K471)))&gt;0,'Conversion Model'!$B$19,0)))))</f>
        <v>0.00336820979124683</v>
      </c>
      <c r="AH471" s="3" t="n">
        <f aca="false">IF(OR(O471="Qualified",O471="Won",O471="Lost"),1,IF(O471="Unqualified",0,""))</f>
        <v>0</v>
      </c>
    </row>
    <row r="472" customFormat="false" ht="15" hidden="false" customHeight="true" outlineLevel="0" collapsed="false">
      <c r="A472" s="3" t="s">
        <v>1731</v>
      </c>
      <c r="B472" s="9" t="n">
        <v>46150.55625</v>
      </c>
      <c r="C472" s="3" t="s">
        <v>128</v>
      </c>
      <c r="D472" s="3" t="s">
        <v>1732</v>
      </c>
      <c r="E472" s="3" t="s">
        <v>1733</v>
      </c>
      <c r="F472" s="3" t="s">
        <v>22</v>
      </c>
      <c r="G472" s="3" t="s">
        <v>1140</v>
      </c>
      <c r="H472" s="3" t="s">
        <v>1734</v>
      </c>
      <c r="I472" s="3" t="s">
        <v>139</v>
      </c>
      <c r="J472" s="3" t="s">
        <v>245</v>
      </c>
      <c r="K472" s="3" t="s">
        <v>189</v>
      </c>
      <c r="L472" s="3" t="n">
        <v>6</v>
      </c>
      <c r="M472" s="3" t="n">
        <v>1.8</v>
      </c>
      <c r="N472" s="3" t="s">
        <v>67</v>
      </c>
      <c r="O472" s="3" t="s">
        <v>110</v>
      </c>
      <c r="P472" s="10"/>
      <c r="Q472" s="3" t="n">
        <f aca="false">IF(F472="Disposable",1,0)</f>
        <v>0</v>
      </c>
      <c r="R472" s="3" t="n">
        <f aca="false">IF(SUMPRODUCT(--ISNUMBER(SEARCH('Spam Rules'!$A$22:$A$35,K472)))&gt;0,1,0)</f>
        <v>0</v>
      </c>
      <c r="S472" s="3" t="n">
        <f aca="false">IF(AND(F472="Free",G472=""),1,0)</f>
        <v>0</v>
      </c>
      <c r="T472" s="3" t="n">
        <f aca="false">IF(LEN(TRIM(K472))&lt;15,1,0)</f>
        <v>0</v>
      </c>
      <c r="U472" s="3" t="n">
        <f aca="false">IF(COUNTIF($E$2:$E$801,E472)&gt;1,1,0)</f>
        <v>0</v>
      </c>
      <c r="V472" s="3" t="n">
        <f aca="false">Q472*'Spam Rules'!$H$6+R472*'Spam Rules'!$H$7+S472*'Spam Rules'!$H$8+T472*'Spam Rules'!$H$9+U472*'Spam Rules'!$H$10</f>
        <v>0</v>
      </c>
      <c r="W472" s="3" t="str">
        <f aca="false">IF(V472&gt;='Spam Rules'!$B$3,"Likely Spam","Genuine")</f>
        <v>Genuine</v>
      </c>
      <c r="X472" s="3" t="n">
        <f aca="false">IFERROR(INDEX('Scoring Model'!$B$5:$B$11,MATCH(C472,'Scoring Model'!$A$5:$A$11,0)),0)</f>
        <v>30</v>
      </c>
      <c r="Y472" s="3" t="n">
        <f aca="false">IFERROR(INDEX('Scoring Model'!$E$5:$E$7,MATCH(F472,'Scoring Model'!$D$5:$D$7,0)),0)</f>
        <v>20</v>
      </c>
      <c r="Z472" s="3" t="n">
        <f aca="false">IFERROR(INDEX('Scoring Model'!$H$5:$H$13,MATCH(J472,'Scoring Model'!$G$5:$G$13,0)),0)</f>
        <v>15</v>
      </c>
      <c r="AA472" s="3" t="n">
        <f aca="false">IF(L472&gt;='Scoring Model'!$B$14,'Scoring Model'!$B$15,IF(L472&gt;='Scoring Model'!$B$16,'Scoring Model'!$B$17,0))</f>
        <v>8</v>
      </c>
      <c r="AB472" s="3" t="n">
        <f aca="false">IF(SUMPRODUCT(--ISNUMBER(SEARCH('Scoring Model'!$D$16:$D$25,K472)))&gt;0,'Scoring Model'!$B$18,0)</f>
        <v>15</v>
      </c>
      <c r="AC472" s="3" t="n">
        <f aca="false">IF(SUMPRODUCT(--ISNUMBER(SEARCH('Scoring Model'!$G$16:$G$23,K472)))&gt;0,'Scoring Model'!$B$19,0)</f>
        <v>0</v>
      </c>
      <c r="AD472" s="3" t="n">
        <f aca="false">IF(W472="Likely Spam","",SUM(X472:AC472))</f>
        <v>88</v>
      </c>
      <c r="AE472" s="3" t="str">
        <f aca="false">IF(W472="Likely Spam","Spam",IF(AD472&gt;='Scoring Model'!$B$21,"Hot",IF(AD472&gt;='Scoring Model'!$B$22,"Warm","Nurture")))</f>
        <v>Hot</v>
      </c>
      <c r="AF472" s="3" t="str">
        <f aca="false">IF(W472="Likely Spam","Flagged by spam rules",TRIM(IF(X472&gt;=20,"Strong source. ","")&amp;IF(Y472&gt;0,"Company email. ","")&amp;IF(Z472&gt;=15,"High-value product. ","")&amp;IF(AA472&gt;='Scoring Model'!$B$15,"High engagement. ","")&amp;IF(AB472&gt;0,"Buying intent in message. ","")&amp;IF(AC472&lt;0,"Negative intent in message. ","")))</f>
        <v>Strong source. Company email. High-value product. Buying intent in message.</v>
      </c>
      <c r="AG472" s="11" t="n">
        <f aca="false">IF(W472="Likely Spam","",1/(1+EXP(-('Conversion Model'!$B$5+IFERROR(INDEX('Conversion Model'!$B$8:$B$14,MATCH(C472,'Conversion Model'!$A$8:$A$14,0)),0)+IFERROR(INDEX('Conversion Model'!$E$8:$E$9,MATCH(F472,'Conversion Model'!$D$8:$D$9,0)),0)+IFERROR(INDEX('Conversion Model'!$H$8:$H$12,MATCH(IF(LEFT(J472,8)="Payments","Payments",IF(LEFT(J472,7)="Lending","Lending",J472)),'Conversion Model'!$G$8:$G$12,0)),0)+MIN(L472,15)*'Conversion Model'!$B$17+IF(SUMPRODUCT(--ISNUMBER(SEARCH('Scoring Model'!$D$16:$D$25,K472)))&gt;0,'Conversion Model'!$B$18,0)+IF(SUMPRODUCT(--ISNUMBER(SEARCH('Scoring Model'!$G$16:$G$23,K472)))&gt;0,'Conversion Model'!$B$19,0)))))</f>
        <v>0.976293176292401</v>
      </c>
      <c r="AH472" s="3" t="n">
        <f aca="false">IF(OR(O472="Qualified",O472="Won",O472="Lost"),1,IF(O472="Unqualified",0,""))</f>
        <v>1</v>
      </c>
    </row>
    <row r="473" customFormat="false" ht="15" hidden="false" customHeight="true" outlineLevel="0" collapsed="false">
      <c r="A473" s="3" t="s">
        <v>1735</v>
      </c>
      <c r="B473" s="9" t="n">
        <v>46150.8215277778</v>
      </c>
      <c r="C473" s="3" t="s">
        <v>135</v>
      </c>
      <c r="D473" s="3" t="s">
        <v>1736</v>
      </c>
      <c r="E473" s="3" t="s">
        <v>1737</v>
      </c>
      <c r="F473" s="3" t="s">
        <v>22</v>
      </c>
      <c r="G473" s="3" t="s">
        <v>1738</v>
      </c>
      <c r="H473" s="3" t="s">
        <v>1739</v>
      </c>
      <c r="I473" s="3" t="s">
        <v>116</v>
      </c>
      <c r="J473" s="3" t="s">
        <v>117</v>
      </c>
      <c r="K473" s="3" t="s">
        <v>1493</v>
      </c>
      <c r="L473" s="3" t="n">
        <v>1</v>
      </c>
      <c r="M473" s="3" t="n">
        <v>10.6</v>
      </c>
      <c r="N473" s="3" t="s">
        <v>67</v>
      </c>
      <c r="O473" s="3"/>
      <c r="P473" s="10"/>
      <c r="Q473" s="3" t="n">
        <f aca="false">IF(F473="Disposable",1,0)</f>
        <v>0</v>
      </c>
      <c r="R473" s="3" t="n">
        <f aca="false">IF(SUMPRODUCT(--ISNUMBER(SEARCH('Spam Rules'!$A$22:$A$35,K473)))&gt;0,1,0)</f>
        <v>0</v>
      </c>
      <c r="S473" s="3" t="n">
        <f aca="false">IF(AND(F473="Free",G473=""),1,0)</f>
        <v>0</v>
      </c>
      <c r="T473" s="3" t="n">
        <f aca="false">IF(LEN(TRIM(K473))&lt;15,1,0)</f>
        <v>0</v>
      </c>
      <c r="U473" s="3" t="n">
        <f aca="false">IF(COUNTIF($E$2:$E$801,E473)&gt;1,1,0)</f>
        <v>0</v>
      </c>
      <c r="V473" s="3" t="n">
        <f aca="false">Q473*'Spam Rules'!$H$6+R473*'Spam Rules'!$H$7+S473*'Spam Rules'!$H$8+T473*'Spam Rules'!$H$9+U473*'Spam Rules'!$H$10</f>
        <v>0</v>
      </c>
      <c r="W473" s="3" t="str">
        <f aca="false">IF(V473&gt;='Spam Rules'!$B$3,"Likely Spam","Genuine")</f>
        <v>Genuine</v>
      </c>
      <c r="X473" s="3" t="n">
        <f aca="false">IFERROR(INDEX('Scoring Model'!$B$5:$B$11,MATCH(C473,'Scoring Model'!$A$5:$A$11,0)),0)</f>
        <v>20</v>
      </c>
      <c r="Y473" s="3" t="n">
        <f aca="false">IFERROR(INDEX('Scoring Model'!$E$5:$E$7,MATCH(F473,'Scoring Model'!$D$5:$D$7,0)),0)</f>
        <v>20</v>
      </c>
      <c r="Z473" s="3" t="n">
        <f aca="false">IFERROR(INDEX('Scoring Model'!$H$5:$H$13,MATCH(J473,'Scoring Model'!$G$5:$G$13,0)),0)</f>
        <v>15</v>
      </c>
      <c r="AA473" s="3" t="n">
        <f aca="false">IF(L473&gt;='Scoring Model'!$B$14,'Scoring Model'!$B$15,IF(L473&gt;='Scoring Model'!$B$16,'Scoring Model'!$B$17,0))</f>
        <v>0</v>
      </c>
      <c r="AB473" s="3" t="n">
        <f aca="false">IF(SUMPRODUCT(--ISNUMBER(SEARCH('Scoring Model'!$D$16:$D$25,K473)))&gt;0,'Scoring Model'!$B$18,0)</f>
        <v>15</v>
      </c>
      <c r="AC473" s="3" t="n">
        <f aca="false">IF(SUMPRODUCT(--ISNUMBER(SEARCH('Scoring Model'!$G$16:$G$23,K473)))&gt;0,'Scoring Model'!$B$19,0)</f>
        <v>0</v>
      </c>
      <c r="AD473" s="3" t="n">
        <f aca="false">IF(W473="Likely Spam","",SUM(X473:AC473))</f>
        <v>70</v>
      </c>
      <c r="AE473" s="3" t="str">
        <f aca="false">IF(W473="Likely Spam","Spam",IF(AD473&gt;='Scoring Model'!$B$21,"Hot",IF(AD473&gt;='Scoring Model'!$B$22,"Warm","Nurture")))</f>
        <v>Hot</v>
      </c>
      <c r="AF473" s="3" t="str">
        <f aca="false">IF(W473="Likely Spam","Flagged by spam rules",TRIM(IF(X473&gt;=20,"Strong source. ","")&amp;IF(Y473&gt;0,"Company email. ","")&amp;IF(Z473&gt;=15,"High-value product. ","")&amp;IF(AA473&gt;='Scoring Model'!$B$15,"High engagement. ","")&amp;IF(AB473&gt;0,"Buying intent in message. ","")&amp;IF(AC473&lt;0,"Negative intent in message. ","")))</f>
        <v>Strong source. Company email. High-value product. Buying intent in message.</v>
      </c>
      <c r="AG473" s="11" t="n">
        <f aca="false">IF(W473="Likely Spam","",1/(1+EXP(-('Conversion Model'!$B$5+IFERROR(INDEX('Conversion Model'!$B$8:$B$14,MATCH(C473,'Conversion Model'!$A$8:$A$14,0)),0)+IFERROR(INDEX('Conversion Model'!$E$8:$E$9,MATCH(F473,'Conversion Model'!$D$8:$D$9,0)),0)+IFERROR(INDEX('Conversion Model'!$H$8:$H$12,MATCH(IF(LEFT(J473,8)="Payments","Payments",IF(LEFT(J473,7)="Lending","Lending",J473)),'Conversion Model'!$G$8:$G$12,0)),0)+MIN(L473,15)*'Conversion Model'!$B$17+IF(SUMPRODUCT(--ISNUMBER(SEARCH('Scoring Model'!$D$16:$D$25,K473)))&gt;0,'Conversion Model'!$B$18,0)+IF(SUMPRODUCT(--ISNUMBER(SEARCH('Scoring Model'!$G$16:$G$23,K473)))&gt;0,'Conversion Model'!$B$19,0)))))</f>
        <v>0.351603105982435</v>
      </c>
      <c r="AH473" s="3" t="str">
        <f aca="false">IF(OR(O473="Qualified",O473="Won",O473="Lost"),1,IF(O473="Unqualified",0,""))</f>
        <v/>
      </c>
    </row>
    <row r="474" customFormat="false" ht="15" hidden="false" customHeight="true" outlineLevel="0" collapsed="false">
      <c r="A474" s="3" t="s">
        <v>1740</v>
      </c>
      <c r="B474" s="9" t="n">
        <v>46152.0513888889</v>
      </c>
      <c r="C474" s="3" t="s">
        <v>51</v>
      </c>
      <c r="D474" s="3" t="s">
        <v>1741</v>
      </c>
      <c r="E474" s="3" t="s">
        <v>1742</v>
      </c>
      <c r="F474" s="3" t="s">
        <v>63</v>
      </c>
      <c r="G474" s="3"/>
      <c r="H474" s="3"/>
      <c r="I474" s="3" t="s">
        <v>56</v>
      </c>
      <c r="J474" s="3" t="s">
        <v>65</v>
      </c>
      <c r="K474" s="3" t="s">
        <v>170</v>
      </c>
      <c r="L474" s="3" t="n">
        <v>2</v>
      </c>
      <c r="M474" s="3"/>
      <c r="N474" s="3" t="s">
        <v>96</v>
      </c>
      <c r="O474" s="3" t="s">
        <v>68</v>
      </c>
      <c r="P474" s="10"/>
      <c r="Q474" s="3" t="n">
        <f aca="false">IF(F474="Disposable",1,0)</f>
        <v>1</v>
      </c>
      <c r="R474" s="3" t="n">
        <f aca="false">IF(SUMPRODUCT(--ISNUMBER(SEARCH('Spam Rules'!$A$22:$A$35,K474)))&gt;0,1,0)</f>
        <v>0</v>
      </c>
      <c r="S474" s="3" t="n">
        <f aca="false">IF(AND(F474="Free",G474=""),1,0)</f>
        <v>0</v>
      </c>
      <c r="T474" s="3" t="n">
        <f aca="false">IF(LEN(TRIM(K474))&lt;15,1,0)</f>
        <v>1</v>
      </c>
      <c r="U474" s="3" t="n">
        <f aca="false">IF(COUNTIF($E$2:$E$801,E474)&gt;1,1,0)</f>
        <v>1</v>
      </c>
      <c r="V474" s="3" t="n">
        <f aca="false">Q474*'Spam Rules'!$H$6+R474*'Spam Rules'!$H$7+S474*'Spam Rules'!$H$8+T474*'Spam Rules'!$H$9+U474*'Spam Rules'!$H$10</f>
        <v>2</v>
      </c>
      <c r="W474" s="3" t="str">
        <f aca="false">IF(V474&gt;='Spam Rules'!$B$3,"Likely Spam","Genuine")</f>
        <v>Likely Spam</v>
      </c>
      <c r="X474" s="3" t="n">
        <f aca="false">IFERROR(INDEX('Scoring Model'!$B$5:$B$11,MATCH(C474,'Scoring Model'!$A$5:$A$11,0)),0)</f>
        <v>10</v>
      </c>
      <c r="Y474" s="3" t="n">
        <f aca="false">IFERROR(INDEX('Scoring Model'!$E$5:$E$7,MATCH(F474,'Scoring Model'!$D$5:$D$7,0)),0)</f>
        <v>0</v>
      </c>
      <c r="Z474" s="3" t="n">
        <f aca="false">IFERROR(INDEX('Scoring Model'!$H$5:$H$13,MATCH(J474,'Scoring Model'!$G$5:$G$13,0)),0)</f>
        <v>0</v>
      </c>
      <c r="AA474" s="3" t="n">
        <f aca="false">IF(L474&gt;='Scoring Model'!$B$14,'Scoring Model'!$B$15,IF(L474&gt;='Scoring Model'!$B$16,'Scoring Model'!$B$17,0))</f>
        <v>0</v>
      </c>
      <c r="AB474" s="3" t="n">
        <f aca="false">IF(SUMPRODUCT(--ISNUMBER(SEARCH('Scoring Model'!$D$16:$D$25,K474)))&gt;0,'Scoring Model'!$B$18,0)</f>
        <v>0</v>
      </c>
      <c r="AC474" s="3" t="n">
        <f aca="false">IF(SUMPRODUCT(--ISNUMBER(SEARCH('Scoring Model'!$G$16:$G$23,K474)))&gt;0,'Scoring Model'!$B$19,0)</f>
        <v>0</v>
      </c>
      <c r="AD474" s="3" t="str">
        <f aca="false">IF(W474="Likely Spam","",SUM(X474:AC474))</f>
        <v/>
      </c>
      <c r="AE474" s="3" t="str">
        <f aca="false">IF(W474="Likely Spam","Spam",IF(AD474&gt;='Scoring Model'!$B$21,"Hot",IF(AD474&gt;='Scoring Model'!$B$22,"Warm","Nurture")))</f>
        <v>Spam</v>
      </c>
      <c r="AF474" s="3" t="str">
        <f aca="false">IF(W474="Likely Spam","Flagged by spam rules",TRIM(IF(X474&gt;=20,"Strong source. ","")&amp;IF(Y474&gt;0,"Company email. ","")&amp;IF(Z474&gt;=15,"High-value product. ","")&amp;IF(AA474&gt;='Scoring Model'!$B$15,"High engagement. ","")&amp;IF(AB474&gt;0,"Buying intent in message. ","")&amp;IF(AC474&lt;0,"Negative intent in message. ","")))</f>
        <v>Flagged by spam rules</v>
      </c>
      <c r="AG474" s="11" t="str">
        <f aca="false">IF(W474="Likely Spam","",1/(1+EXP(-('Conversion Model'!$B$5+IFERROR(INDEX('Conversion Model'!$B$8:$B$14,MATCH(C474,'Conversion Model'!$A$8:$A$14,0)),0)+IFERROR(INDEX('Conversion Model'!$E$8:$E$9,MATCH(F474,'Conversion Model'!$D$8:$D$9,0)),0)+IFERROR(INDEX('Conversion Model'!$H$8:$H$12,MATCH(IF(LEFT(J474,8)="Payments","Payments",IF(LEFT(J474,7)="Lending","Lending",J474)),'Conversion Model'!$G$8:$G$12,0)),0)+MIN(L474,15)*'Conversion Model'!$B$17+IF(SUMPRODUCT(--ISNUMBER(SEARCH('Scoring Model'!$D$16:$D$25,K474)))&gt;0,'Conversion Model'!$B$18,0)+IF(SUMPRODUCT(--ISNUMBER(SEARCH('Scoring Model'!$G$16:$G$23,K474)))&gt;0,'Conversion Model'!$B$19,0)))))</f>
        <v/>
      </c>
      <c r="AH474" s="3" t="str">
        <f aca="false">IF(OR(O474="Qualified",O474="Won",O474="Lost"),1,IF(O474="Unqualified",0,""))</f>
        <v/>
      </c>
    </row>
    <row r="475" customFormat="false" ht="15" hidden="false" customHeight="true" outlineLevel="0" collapsed="false">
      <c r="A475" s="3" t="s">
        <v>1743</v>
      </c>
      <c r="B475" s="9" t="n">
        <v>46152.2534722222</v>
      </c>
      <c r="C475" s="3" t="s">
        <v>51</v>
      </c>
      <c r="D475" s="3" t="s">
        <v>1744</v>
      </c>
      <c r="E475" s="3" t="s">
        <v>1745</v>
      </c>
      <c r="F475" s="3" t="s">
        <v>54</v>
      </c>
      <c r="G475" s="3"/>
      <c r="H475" s="3"/>
      <c r="I475" s="3" t="s">
        <v>88</v>
      </c>
      <c r="J475" s="3" t="s">
        <v>81</v>
      </c>
      <c r="K475" s="3" t="s">
        <v>101</v>
      </c>
      <c r="L475" s="3" t="n">
        <v>2</v>
      </c>
      <c r="M475" s="3" t="n">
        <v>16.7</v>
      </c>
      <c r="N475" s="3" t="s">
        <v>59</v>
      </c>
      <c r="O475" s="3" t="s">
        <v>194</v>
      </c>
      <c r="P475" s="10"/>
      <c r="Q475" s="3" t="n">
        <f aca="false">IF(F475="Disposable",1,0)</f>
        <v>0</v>
      </c>
      <c r="R475" s="3" t="n">
        <f aca="false">IF(SUMPRODUCT(--ISNUMBER(SEARCH('Spam Rules'!$A$22:$A$35,K475)))&gt;0,1,0)</f>
        <v>0</v>
      </c>
      <c r="S475" s="3" t="n">
        <f aca="false">IF(AND(F475="Free",G475=""),1,0)</f>
        <v>1</v>
      </c>
      <c r="T475" s="3" t="n">
        <f aca="false">IF(LEN(TRIM(K475))&lt;15,1,0)</f>
        <v>0</v>
      </c>
      <c r="U475" s="3" t="n">
        <f aca="false">IF(COUNTIF($E$2:$E$801,E475)&gt;1,1,0)</f>
        <v>0</v>
      </c>
      <c r="V475" s="3" t="n">
        <f aca="false">Q475*'Spam Rules'!$H$6+R475*'Spam Rules'!$H$7+S475*'Spam Rules'!$H$8+T475*'Spam Rules'!$H$9+U475*'Spam Rules'!$H$10</f>
        <v>0</v>
      </c>
      <c r="W475" s="3" t="str">
        <f aca="false">IF(V475&gt;='Spam Rules'!$B$3,"Likely Spam","Genuine")</f>
        <v>Genuine</v>
      </c>
      <c r="X475" s="3" t="n">
        <f aca="false">IFERROR(INDEX('Scoring Model'!$B$5:$B$11,MATCH(C475,'Scoring Model'!$A$5:$A$11,0)),0)</f>
        <v>10</v>
      </c>
      <c r="Y475" s="3" t="n">
        <f aca="false">IFERROR(INDEX('Scoring Model'!$E$5:$E$7,MATCH(F475,'Scoring Model'!$D$5:$D$7,0)),0)</f>
        <v>0</v>
      </c>
      <c r="Z475" s="3" t="n">
        <f aca="false">IFERROR(INDEX('Scoring Model'!$H$5:$H$13,MATCH(J475,'Scoring Model'!$G$5:$G$13,0)),0)</f>
        <v>5</v>
      </c>
      <c r="AA475" s="3" t="n">
        <f aca="false">IF(L475&gt;='Scoring Model'!$B$14,'Scoring Model'!$B$15,IF(L475&gt;='Scoring Model'!$B$16,'Scoring Model'!$B$17,0))</f>
        <v>0</v>
      </c>
      <c r="AB475" s="3" t="n">
        <f aca="false">IF(SUMPRODUCT(--ISNUMBER(SEARCH('Scoring Model'!$D$16:$D$25,K475)))&gt;0,'Scoring Model'!$B$18,0)</f>
        <v>0</v>
      </c>
      <c r="AC475" s="3" t="n">
        <f aca="false">IF(SUMPRODUCT(--ISNUMBER(SEARCH('Scoring Model'!$G$16:$G$23,K475)))&gt;0,'Scoring Model'!$B$19,0)</f>
        <v>-30</v>
      </c>
      <c r="AD475" s="3" t="n">
        <f aca="false">IF(W475="Likely Spam","",SUM(X475:AC475))</f>
        <v>-15</v>
      </c>
      <c r="AE475" s="3" t="str">
        <f aca="false">IF(W475="Likely Spam","Spam",IF(AD475&gt;='Scoring Model'!$B$21,"Hot",IF(AD475&gt;='Scoring Model'!$B$22,"Warm","Nurture")))</f>
        <v>Nurture</v>
      </c>
      <c r="AF475" s="3" t="str">
        <f aca="false">IF(W475="Likely Spam","Flagged by spam rules",TRIM(IF(X475&gt;=20,"Strong source. ","")&amp;IF(Y475&gt;0,"Company email. ","")&amp;IF(Z475&gt;=15,"High-value product. ","")&amp;IF(AA475&gt;='Scoring Model'!$B$15,"High engagement. ","")&amp;IF(AB475&gt;0,"Buying intent in message. ","")&amp;IF(AC475&lt;0,"Negative intent in message. ","")))</f>
        <v>Negative intent in message.</v>
      </c>
      <c r="AG475" s="11" t="n">
        <f aca="false">IF(W475="Likely Spam","",1/(1+EXP(-('Conversion Model'!$B$5+IFERROR(INDEX('Conversion Model'!$B$8:$B$14,MATCH(C475,'Conversion Model'!$A$8:$A$14,0)),0)+IFERROR(INDEX('Conversion Model'!$E$8:$E$9,MATCH(F475,'Conversion Model'!$D$8:$D$9,0)),0)+IFERROR(INDEX('Conversion Model'!$H$8:$H$12,MATCH(IF(LEFT(J475,8)="Payments","Payments",IF(LEFT(J475,7)="Lending","Lending",J475)),'Conversion Model'!$G$8:$G$12,0)),0)+MIN(L475,15)*'Conversion Model'!$B$17+IF(SUMPRODUCT(--ISNUMBER(SEARCH('Scoring Model'!$D$16:$D$25,K475)))&gt;0,'Conversion Model'!$B$18,0)+IF(SUMPRODUCT(--ISNUMBER(SEARCH('Scoring Model'!$G$16:$G$23,K475)))&gt;0,'Conversion Model'!$B$19,0)))))</f>
        <v>0.00166377666343457</v>
      </c>
      <c r="AH475" s="3" t="n">
        <f aca="false">IF(OR(O475="Qualified",O475="Won",O475="Lost"),1,IF(O475="Unqualified",0,""))</f>
        <v>0</v>
      </c>
    </row>
    <row r="476" customFormat="false" ht="15" hidden="false" customHeight="true" outlineLevel="0" collapsed="false">
      <c r="A476" s="3" t="s">
        <v>1746</v>
      </c>
      <c r="B476" s="9" t="n">
        <v>46152.6354166667</v>
      </c>
      <c r="C476" s="3" t="s">
        <v>51</v>
      </c>
      <c r="D476" s="3" t="s">
        <v>1470</v>
      </c>
      <c r="E476" s="3" t="s">
        <v>1747</v>
      </c>
      <c r="F476" s="3" t="s">
        <v>54</v>
      </c>
      <c r="G476" s="3"/>
      <c r="H476" s="3"/>
      <c r="I476" s="3" t="s">
        <v>260</v>
      </c>
      <c r="J476" s="3" t="s">
        <v>122</v>
      </c>
      <c r="K476" s="3" t="s">
        <v>101</v>
      </c>
      <c r="L476" s="3" t="n">
        <v>2</v>
      </c>
      <c r="M476" s="3" t="n">
        <v>18</v>
      </c>
      <c r="N476" s="3" t="s">
        <v>67</v>
      </c>
      <c r="O476" s="3"/>
      <c r="P476" s="10"/>
      <c r="Q476" s="3" t="n">
        <f aca="false">IF(F476="Disposable",1,0)</f>
        <v>0</v>
      </c>
      <c r="R476" s="3" t="n">
        <f aca="false">IF(SUMPRODUCT(--ISNUMBER(SEARCH('Spam Rules'!$A$22:$A$35,K476)))&gt;0,1,0)</f>
        <v>0</v>
      </c>
      <c r="S476" s="3" t="n">
        <f aca="false">IF(AND(F476="Free",G476=""),1,0)</f>
        <v>1</v>
      </c>
      <c r="T476" s="3" t="n">
        <f aca="false">IF(LEN(TRIM(K476))&lt;15,1,0)</f>
        <v>0</v>
      </c>
      <c r="U476" s="3" t="n">
        <f aca="false">IF(COUNTIF($E$2:$E$801,E476)&gt;1,1,0)</f>
        <v>0</v>
      </c>
      <c r="V476" s="3" t="n">
        <f aca="false">Q476*'Spam Rules'!$H$6+R476*'Spam Rules'!$H$7+S476*'Spam Rules'!$H$8+T476*'Spam Rules'!$H$9+U476*'Spam Rules'!$H$10</f>
        <v>0</v>
      </c>
      <c r="W476" s="3" t="str">
        <f aca="false">IF(V476&gt;='Spam Rules'!$B$3,"Likely Spam","Genuine")</f>
        <v>Genuine</v>
      </c>
      <c r="X476" s="3" t="n">
        <f aca="false">IFERROR(INDEX('Scoring Model'!$B$5:$B$11,MATCH(C476,'Scoring Model'!$A$5:$A$11,0)),0)</f>
        <v>10</v>
      </c>
      <c r="Y476" s="3" t="n">
        <f aca="false">IFERROR(INDEX('Scoring Model'!$E$5:$E$7,MATCH(F476,'Scoring Model'!$D$5:$D$7,0)),0)</f>
        <v>0</v>
      </c>
      <c r="Z476" s="3" t="n">
        <f aca="false">IFERROR(INDEX('Scoring Model'!$H$5:$H$13,MATCH(J476,'Scoring Model'!$G$5:$G$13,0)),0)</f>
        <v>15</v>
      </c>
      <c r="AA476" s="3" t="n">
        <f aca="false">IF(L476&gt;='Scoring Model'!$B$14,'Scoring Model'!$B$15,IF(L476&gt;='Scoring Model'!$B$16,'Scoring Model'!$B$17,0))</f>
        <v>0</v>
      </c>
      <c r="AB476" s="3" t="n">
        <f aca="false">IF(SUMPRODUCT(--ISNUMBER(SEARCH('Scoring Model'!$D$16:$D$25,K476)))&gt;0,'Scoring Model'!$B$18,0)</f>
        <v>0</v>
      </c>
      <c r="AC476" s="3" t="n">
        <f aca="false">IF(SUMPRODUCT(--ISNUMBER(SEARCH('Scoring Model'!$G$16:$G$23,K476)))&gt;0,'Scoring Model'!$B$19,0)</f>
        <v>-30</v>
      </c>
      <c r="AD476" s="3" t="n">
        <f aca="false">IF(W476="Likely Spam","",SUM(X476:AC476))</f>
        <v>-5</v>
      </c>
      <c r="AE476" s="3" t="str">
        <f aca="false">IF(W476="Likely Spam","Spam",IF(AD476&gt;='Scoring Model'!$B$21,"Hot",IF(AD476&gt;='Scoring Model'!$B$22,"Warm","Nurture")))</f>
        <v>Nurture</v>
      </c>
      <c r="AF476" s="3" t="str">
        <f aca="false">IF(W476="Likely Spam","Flagged by spam rules",TRIM(IF(X476&gt;=20,"Strong source. ","")&amp;IF(Y476&gt;0,"Company email. ","")&amp;IF(Z476&gt;=15,"High-value product. ","")&amp;IF(AA476&gt;='Scoring Model'!$B$15,"High engagement. ","")&amp;IF(AB476&gt;0,"Buying intent in message. ","")&amp;IF(AC476&lt;0,"Negative intent in message. ","")))</f>
        <v>High-value product. Negative intent in message.</v>
      </c>
      <c r="AG476" s="11" t="n">
        <f aca="false">IF(W476="Likely Spam","",1/(1+EXP(-('Conversion Model'!$B$5+IFERROR(INDEX('Conversion Model'!$B$8:$B$14,MATCH(C476,'Conversion Model'!$A$8:$A$14,0)),0)+IFERROR(INDEX('Conversion Model'!$E$8:$E$9,MATCH(F476,'Conversion Model'!$D$8:$D$9,0)),0)+IFERROR(INDEX('Conversion Model'!$H$8:$H$12,MATCH(IF(LEFT(J476,8)="Payments","Payments",IF(LEFT(J476,7)="Lending","Lending",J476)),'Conversion Model'!$G$8:$G$12,0)),0)+MIN(L476,15)*'Conversion Model'!$B$17+IF(SUMPRODUCT(--ISNUMBER(SEARCH('Scoring Model'!$D$16:$D$25,K476)))&gt;0,'Conversion Model'!$B$18,0)+IF(SUMPRODUCT(--ISNUMBER(SEARCH('Scoring Model'!$G$16:$G$23,K476)))&gt;0,'Conversion Model'!$B$19,0)))))</f>
        <v>0.00244563950268667</v>
      </c>
      <c r="AH476" s="3" t="str">
        <f aca="false">IF(OR(O476="Qualified",O476="Won",O476="Lost"),1,IF(O476="Unqualified",0,""))</f>
        <v/>
      </c>
    </row>
    <row r="477" customFormat="false" ht="15" hidden="false" customHeight="true" outlineLevel="0" collapsed="false">
      <c r="A477" s="3" t="s">
        <v>1748</v>
      </c>
      <c r="B477" s="9" t="n">
        <v>46152.7041666667</v>
      </c>
      <c r="C477" s="3" t="s">
        <v>112</v>
      </c>
      <c r="D477" s="3" t="s">
        <v>1008</v>
      </c>
      <c r="E477" s="3" t="s">
        <v>1749</v>
      </c>
      <c r="F477" s="3" t="s">
        <v>63</v>
      </c>
      <c r="G477" s="3"/>
      <c r="H477" s="3"/>
      <c r="I477" s="3" t="s">
        <v>88</v>
      </c>
      <c r="J477" s="3" t="s">
        <v>65</v>
      </c>
      <c r="K477" s="3" t="s">
        <v>170</v>
      </c>
      <c r="L477" s="3" t="n">
        <v>1</v>
      </c>
      <c r="M477" s="3"/>
      <c r="N477" s="3" t="s">
        <v>96</v>
      </c>
      <c r="O477" s="3"/>
      <c r="P477" s="10"/>
      <c r="Q477" s="3" t="n">
        <f aca="false">IF(F477="Disposable",1,0)</f>
        <v>1</v>
      </c>
      <c r="R477" s="3" t="n">
        <f aca="false">IF(SUMPRODUCT(--ISNUMBER(SEARCH('Spam Rules'!$A$22:$A$35,K477)))&gt;0,1,0)</f>
        <v>0</v>
      </c>
      <c r="S477" s="3" t="n">
        <f aca="false">IF(AND(F477="Free",G477=""),1,0)</f>
        <v>0</v>
      </c>
      <c r="T477" s="3" t="n">
        <f aca="false">IF(LEN(TRIM(K477))&lt;15,1,0)</f>
        <v>1</v>
      </c>
      <c r="U477" s="3" t="n">
        <f aca="false">IF(COUNTIF($E$2:$E$801,E477)&gt;1,1,0)</f>
        <v>0</v>
      </c>
      <c r="V477" s="3" t="n">
        <f aca="false">Q477*'Spam Rules'!$H$6+R477*'Spam Rules'!$H$7+S477*'Spam Rules'!$H$8+T477*'Spam Rules'!$H$9+U477*'Spam Rules'!$H$10</f>
        <v>2</v>
      </c>
      <c r="W477" s="3" t="str">
        <f aca="false">IF(V477&gt;='Spam Rules'!$B$3,"Likely Spam","Genuine")</f>
        <v>Likely Spam</v>
      </c>
      <c r="X477" s="3" t="n">
        <f aca="false">IFERROR(INDEX('Scoring Model'!$B$5:$B$11,MATCH(C477,'Scoring Model'!$A$5:$A$11,0)),0)</f>
        <v>15</v>
      </c>
      <c r="Y477" s="3" t="n">
        <f aca="false">IFERROR(INDEX('Scoring Model'!$E$5:$E$7,MATCH(F477,'Scoring Model'!$D$5:$D$7,0)),0)</f>
        <v>0</v>
      </c>
      <c r="Z477" s="3" t="n">
        <f aca="false">IFERROR(INDEX('Scoring Model'!$H$5:$H$13,MATCH(J477,'Scoring Model'!$G$5:$G$13,0)),0)</f>
        <v>0</v>
      </c>
      <c r="AA477" s="3" t="n">
        <f aca="false">IF(L477&gt;='Scoring Model'!$B$14,'Scoring Model'!$B$15,IF(L477&gt;='Scoring Model'!$B$16,'Scoring Model'!$B$17,0))</f>
        <v>0</v>
      </c>
      <c r="AB477" s="3" t="n">
        <f aca="false">IF(SUMPRODUCT(--ISNUMBER(SEARCH('Scoring Model'!$D$16:$D$25,K477)))&gt;0,'Scoring Model'!$B$18,0)</f>
        <v>0</v>
      </c>
      <c r="AC477" s="3" t="n">
        <f aca="false">IF(SUMPRODUCT(--ISNUMBER(SEARCH('Scoring Model'!$G$16:$G$23,K477)))&gt;0,'Scoring Model'!$B$19,0)</f>
        <v>0</v>
      </c>
      <c r="AD477" s="3" t="str">
        <f aca="false">IF(W477="Likely Spam","",SUM(X477:AC477))</f>
        <v/>
      </c>
      <c r="AE477" s="3" t="str">
        <f aca="false">IF(W477="Likely Spam","Spam",IF(AD477&gt;='Scoring Model'!$B$21,"Hot",IF(AD477&gt;='Scoring Model'!$B$22,"Warm","Nurture")))</f>
        <v>Spam</v>
      </c>
      <c r="AF477" s="3" t="str">
        <f aca="false">IF(W477="Likely Spam","Flagged by spam rules",TRIM(IF(X477&gt;=20,"Strong source. ","")&amp;IF(Y477&gt;0,"Company email. ","")&amp;IF(Z477&gt;=15,"High-value product. ","")&amp;IF(AA477&gt;='Scoring Model'!$B$15,"High engagement. ","")&amp;IF(AB477&gt;0,"Buying intent in message. ","")&amp;IF(AC477&lt;0,"Negative intent in message. ","")))</f>
        <v>Flagged by spam rules</v>
      </c>
      <c r="AG477" s="11" t="str">
        <f aca="false">IF(W477="Likely Spam","",1/(1+EXP(-('Conversion Model'!$B$5+IFERROR(INDEX('Conversion Model'!$B$8:$B$14,MATCH(C477,'Conversion Model'!$A$8:$A$14,0)),0)+IFERROR(INDEX('Conversion Model'!$E$8:$E$9,MATCH(F477,'Conversion Model'!$D$8:$D$9,0)),0)+IFERROR(INDEX('Conversion Model'!$H$8:$H$12,MATCH(IF(LEFT(J477,8)="Payments","Payments",IF(LEFT(J477,7)="Lending","Lending",J477)),'Conversion Model'!$G$8:$G$12,0)),0)+MIN(L477,15)*'Conversion Model'!$B$17+IF(SUMPRODUCT(--ISNUMBER(SEARCH('Scoring Model'!$D$16:$D$25,K477)))&gt;0,'Conversion Model'!$B$18,0)+IF(SUMPRODUCT(--ISNUMBER(SEARCH('Scoring Model'!$G$16:$G$23,K477)))&gt;0,'Conversion Model'!$B$19,0)))))</f>
        <v/>
      </c>
      <c r="AH477" s="3" t="str">
        <f aca="false">IF(OR(O477="Qualified",O477="Won",O477="Lost"),1,IF(O477="Unqualified",0,""))</f>
        <v/>
      </c>
    </row>
    <row r="478" customFormat="false" ht="15" hidden="false" customHeight="true" outlineLevel="0" collapsed="false">
      <c r="A478" s="3" t="s">
        <v>1750</v>
      </c>
      <c r="B478" s="9" t="n">
        <v>46153.6368055556</v>
      </c>
      <c r="C478" s="3" t="s">
        <v>91</v>
      </c>
      <c r="D478" s="3" t="s">
        <v>1751</v>
      </c>
      <c r="E478" s="3" t="s">
        <v>1752</v>
      </c>
      <c r="F478" s="3" t="s">
        <v>22</v>
      </c>
      <c r="G478" s="3" t="s">
        <v>487</v>
      </c>
      <c r="H478" s="3" t="s">
        <v>488</v>
      </c>
      <c r="I478" s="3" t="s">
        <v>204</v>
      </c>
      <c r="J478" s="3" t="s">
        <v>122</v>
      </c>
      <c r="K478" s="3" t="s">
        <v>657</v>
      </c>
      <c r="L478" s="3" t="n">
        <v>1</v>
      </c>
      <c r="M478" s="3" t="n">
        <v>37.5</v>
      </c>
      <c r="N478" s="3" t="s">
        <v>67</v>
      </c>
      <c r="O478" s="3"/>
      <c r="P478" s="10"/>
      <c r="Q478" s="3" t="n">
        <f aca="false">IF(F478="Disposable",1,0)</f>
        <v>0</v>
      </c>
      <c r="R478" s="3" t="n">
        <f aca="false">IF(SUMPRODUCT(--ISNUMBER(SEARCH('Spam Rules'!$A$22:$A$35,K478)))&gt;0,1,0)</f>
        <v>1</v>
      </c>
      <c r="S478" s="3" t="n">
        <f aca="false">IF(AND(F478="Free",G478=""),1,0)</f>
        <v>0</v>
      </c>
      <c r="T478" s="3" t="n">
        <f aca="false">IF(LEN(TRIM(K478))&lt;15,1,0)</f>
        <v>0</v>
      </c>
      <c r="U478" s="3" t="n">
        <f aca="false">IF(COUNTIF($E$2:$E$801,E478)&gt;1,1,0)</f>
        <v>0</v>
      </c>
      <c r="V478" s="3" t="n">
        <f aca="false">Q478*'Spam Rules'!$H$6+R478*'Spam Rules'!$H$7+S478*'Spam Rules'!$H$8+T478*'Spam Rules'!$H$9+U478*'Spam Rules'!$H$10</f>
        <v>1</v>
      </c>
      <c r="W478" s="3" t="str">
        <f aca="false">IF(V478&gt;='Spam Rules'!$B$3,"Likely Spam","Genuine")</f>
        <v>Likely Spam</v>
      </c>
      <c r="X478" s="3" t="n">
        <f aca="false">IFERROR(INDEX('Scoring Model'!$B$5:$B$11,MATCH(C478,'Scoring Model'!$A$5:$A$11,0)),0)</f>
        <v>5</v>
      </c>
      <c r="Y478" s="3" t="n">
        <f aca="false">IFERROR(INDEX('Scoring Model'!$E$5:$E$7,MATCH(F478,'Scoring Model'!$D$5:$D$7,0)),0)</f>
        <v>20</v>
      </c>
      <c r="Z478" s="3" t="n">
        <f aca="false">IFERROR(INDEX('Scoring Model'!$H$5:$H$13,MATCH(J478,'Scoring Model'!$G$5:$G$13,0)),0)</f>
        <v>15</v>
      </c>
      <c r="AA478" s="3" t="n">
        <f aca="false">IF(L478&gt;='Scoring Model'!$B$14,'Scoring Model'!$B$15,IF(L478&gt;='Scoring Model'!$B$16,'Scoring Model'!$B$17,0))</f>
        <v>0</v>
      </c>
      <c r="AB478" s="3" t="n">
        <f aca="false">IF(SUMPRODUCT(--ISNUMBER(SEARCH('Scoring Model'!$D$16:$D$25,K478)))&gt;0,'Scoring Model'!$B$18,0)</f>
        <v>0</v>
      </c>
      <c r="AC478" s="3" t="n">
        <f aca="false">IF(SUMPRODUCT(--ISNUMBER(SEARCH('Scoring Model'!$G$16:$G$23,K478)))&gt;0,'Scoring Model'!$B$19,0)</f>
        <v>0</v>
      </c>
      <c r="AD478" s="3" t="str">
        <f aca="false">IF(W478="Likely Spam","",SUM(X478:AC478))</f>
        <v/>
      </c>
      <c r="AE478" s="3" t="str">
        <f aca="false">IF(W478="Likely Spam","Spam",IF(AD478&gt;='Scoring Model'!$B$21,"Hot",IF(AD478&gt;='Scoring Model'!$B$22,"Warm","Nurture")))</f>
        <v>Spam</v>
      </c>
      <c r="AF478" s="3" t="str">
        <f aca="false">IF(W478="Likely Spam","Flagged by spam rules",TRIM(IF(X478&gt;=20,"Strong source. ","")&amp;IF(Y478&gt;0,"Company email. ","")&amp;IF(Z478&gt;=15,"High-value product. ","")&amp;IF(AA478&gt;='Scoring Model'!$B$15,"High engagement. ","")&amp;IF(AB478&gt;0,"Buying intent in message. ","")&amp;IF(AC478&lt;0,"Negative intent in message. ","")))</f>
        <v>Flagged by spam rules</v>
      </c>
      <c r="AG478" s="11" t="str">
        <f aca="false">IF(W478="Likely Spam","",1/(1+EXP(-('Conversion Model'!$B$5+IFERROR(INDEX('Conversion Model'!$B$8:$B$14,MATCH(C478,'Conversion Model'!$A$8:$A$14,0)),0)+IFERROR(INDEX('Conversion Model'!$E$8:$E$9,MATCH(F478,'Conversion Model'!$D$8:$D$9,0)),0)+IFERROR(INDEX('Conversion Model'!$H$8:$H$12,MATCH(IF(LEFT(J478,8)="Payments","Payments",IF(LEFT(J478,7)="Lending","Lending",J478)),'Conversion Model'!$G$8:$G$12,0)),0)+MIN(L478,15)*'Conversion Model'!$B$17+IF(SUMPRODUCT(--ISNUMBER(SEARCH('Scoring Model'!$D$16:$D$25,K478)))&gt;0,'Conversion Model'!$B$18,0)+IF(SUMPRODUCT(--ISNUMBER(SEARCH('Scoring Model'!$G$16:$G$23,K478)))&gt;0,'Conversion Model'!$B$19,0)))))</f>
        <v/>
      </c>
      <c r="AH478" s="3" t="str">
        <f aca="false">IF(OR(O478="Qualified",O478="Won",O478="Lost"),1,IF(O478="Unqualified",0,""))</f>
        <v/>
      </c>
    </row>
    <row r="479" customFormat="false" ht="15" hidden="false" customHeight="true" outlineLevel="0" collapsed="false">
      <c r="A479" s="3" t="s">
        <v>1753</v>
      </c>
      <c r="B479" s="9" t="n">
        <v>46154.0645833333</v>
      </c>
      <c r="C479" s="3" t="s">
        <v>135</v>
      </c>
      <c r="D479" s="3" t="s">
        <v>1394</v>
      </c>
      <c r="E479" s="3" t="s">
        <v>1754</v>
      </c>
      <c r="F479" s="3" t="s">
        <v>54</v>
      </c>
      <c r="G479" s="3" t="s">
        <v>72</v>
      </c>
      <c r="H479" s="3"/>
      <c r="I479" s="3" t="s">
        <v>64</v>
      </c>
      <c r="J479" s="3" t="s">
        <v>165</v>
      </c>
      <c r="K479" s="3" t="s">
        <v>1755</v>
      </c>
      <c r="L479" s="3" t="n">
        <v>8</v>
      </c>
      <c r="M479" s="3" t="n">
        <v>89.7</v>
      </c>
      <c r="N479" s="3" t="s">
        <v>67</v>
      </c>
      <c r="O479" s="3" t="s">
        <v>147</v>
      </c>
      <c r="P479" s="10" t="n">
        <v>60000</v>
      </c>
      <c r="Q479" s="3" t="n">
        <f aca="false">IF(F479="Disposable",1,0)</f>
        <v>0</v>
      </c>
      <c r="R479" s="3" t="n">
        <f aca="false">IF(SUMPRODUCT(--ISNUMBER(SEARCH('Spam Rules'!$A$22:$A$35,K479)))&gt;0,1,0)</f>
        <v>0</v>
      </c>
      <c r="S479" s="3" t="n">
        <f aca="false">IF(AND(F479="Free",G479=""),1,0)</f>
        <v>0</v>
      </c>
      <c r="T479" s="3" t="n">
        <f aca="false">IF(LEN(TRIM(K479))&lt;15,1,0)</f>
        <v>0</v>
      </c>
      <c r="U479" s="3" t="n">
        <f aca="false">IF(COUNTIF($E$2:$E$801,E479)&gt;1,1,0)</f>
        <v>0</v>
      </c>
      <c r="V479" s="3" t="n">
        <f aca="false">Q479*'Spam Rules'!$H$6+R479*'Spam Rules'!$H$7+S479*'Spam Rules'!$H$8+T479*'Spam Rules'!$H$9+U479*'Spam Rules'!$H$10</f>
        <v>0</v>
      </c>
      <c r="W479" s="3" t="str">
        <f aca="false">IF(V479&gt;='Spam Rules'!$B$3,"Likely Spam","Genuine")</f>
        <v>Genuine</v>
      </c>
      <c r="X479" s="3" t="n">
        <f aca="false">IFERROR(INDEX('Scoring Model'!$B$5:$B$11,MATCH(C479,'Scoring Model'!$A$5:$A$11,0)),0)</f>
        <v>20</v>
      </c>
      <c r="Y479" s="3" t="n">
        <f aca="false">IFERROR(INDEX('Scoring Model'!$E$5:$E$7,MATCH(F479,'Scoring Model'!$D$5:$D$7,0)),0)</f>
        <v>0</v>
      </c>
      <c r="Z479" s="3" t="n">
        <f aca="false">IFERROR(INDEX('Scoring Model'!$H$5:$H$13,MATCH(J479,'Scoring Model'!$G$5:$G$13,0)),0)</f>
        <v>15</v>
      </c>
      <c r="AA479" s="3" t="n">
        <f aca="false">IF(L479&gt;='Scoring Model'!$B$14,'Scoring Model'!$B$15,IF(L479&gt;='Scoring Model'!$B$16,'Scoring Model'!$B$17,0))</f>
        <v>15</v>
      </c>
      <c r="AB479" s="3" t="n">
        <f aca="false">IF(SUMPRODUCT(--ISNUMBER(SEARCH('Scoring Model'!$D$16:$D$25,K479)))&gt;0,'Scoring Model'!$B$18,0)</f>
        <v>15</v>
      </c>
      <c r="AC479" s="3" t="n">
        <f aca="false">IF(SUMPRODUCT(--ISNUMBER(SEARCH('Scoring Model'!$G$16:$G$23,K479)))&gt;0,'Scoring Model'!$B$19,0)</f>
        <v>0</v>
      </c>
      <c r="AD479" s="3" t="n">
        <f aca="false">IF(W479="Likely Spam","",SUM(X479:AC479))</f>
        <v>65</v>
      </c>
      <c r="AE479" s="3" t="str">
        <f aca="false">IF(W479="Likely Spam","Spam",IF(AD479&gt;='Scoring Model'!$B$21,"Hot",IF(AD479&gt;='Scoring Model'!$B$22,"Warm","Nurture")))</f>
        <v>Warm</v>
      </c>
      <c r="AF479" s="3" t="str">
        <f aca="false">IF(W479="Likely Spam","Flagged by spam rules",TRIM(IF(X479&gt;=20,"Strong source. ","")&amp;IF(Y479&gt;0,"Company email. ","")&amp;IF(Z479&gt;=15,"High-value product. ","")&amp;IF(AA479&gt;='Scoring Model'!$B$15,"High engagement. ","")&amp;IF(AB479&gt;0,"Buying intent in message. ","")&amp;IF(AC479&lt;0,"Negative intent in message. ","")))</f>
        <v>Strong source. High-value product. High engagement. Buying intent in message.</v>
      </c>
      <c r="AG479" s="11" t="n">
        <f aca="false">IF(W479="Likely Spam","",1/(1+EXP(-('Conversion Model'!$B$5+IFERROR(INDEX('Conversion Model'!$B$8:$B$14,MATCH(C479,'Conversion Model'!$A$8:$A$14,0)),0)+IFERROR(INDEX('Conversion Model'!$E$8:$E$9,MATCH(F479,'Conversion Model'!$D$8:$D$9,0)),0)+IFERROR(INDEX('Conversion Model'!$H$8:$H$12,MATCH(IF(LEFT(J479,8)="Payments","Payments",IF(LEFT(J479,7)="Lending","Lending",J479)),'Conversion Model'!$G$8:$G$12,0)),0)+MIN(L479,15)*'Conversion Model'!$B$17+IF(SUMPRODUCT(--ISNUMBER(SEARCH('Scoring Model'!$D$16:$D$25,K479)))&gt;0,'Conversion Model'!$B$18,0)+IF(SUMPRODUCT(--ISNUMBER(SEARCH('Scoring Model'!$G$16:$G$23,K479)))&gt;0,'Conversion Model'!$B$19,0)))))</f>
        <v>0.960304020049299</v>
      </c>
      <c r="AH479" s="3" t="n">
        <f aca="false">IF(OR(O479="Qualified",O479="Won",O479="Lost"),1,IF(O479="Unqualified",0,""))</f>
        <v>1</v>
      </c>
    </row>
    <row r="480" customFormat="false" ht="15" hidden="false" customHeight="true" outlineLevel="0" collapsed="false">
      <c r="A480" s="3" t="s">
        <v>1756</v>
      </c>
      <c r="B480" s="9" t="n">
        <v>46154.7708333333</v>
      </c>
      <c r="C480" s="3" t="s">
        <v>135</v>
      </c>
      <c r="D480" s="3" t="s">
        <v>1757</v>
      </c>
      <c r="E480" s="3" t="s">
        <v>1758</v>
      </c>
      <c r="F480" s="3" t="s">
        <v>22</v>
      </c>
      <c r="G480" s="3" t="s">
        <v>667</v>
      </c>
      <c r="H480" s="3" t="s">
        <v>668</v>
      </c>
      <c r="I480" s="3" t="s">
        <v>80</v>
      </c>
      <c r="J480" s="3" t="s">
        <v>117</v>
      </c>
      <c r="K480" s="3" t="s">
        <v>1759</v>
      </c>
      <c r="L480" s="3" t="n">
        <v>9</v>
      </c>
      <c r="M480" s="3" t="n">
        <v>35.3</v>
      </c>
      <c r="N480" s="3" t="s">
        <v>67</v>
      </c>
      <c r="O480" s="3" t="s">
        <v>147</v>
      </c>
      <c r="P480" s="10" t="n">
        <v>24000</v>
      </c>
      <c r="Q480" s="3" t="n">
        <f aca="false">IF(F480="Disposable",1,0)</f>
        <v>0</v>
      </c>
      <c r="R480" s="3" t="n">
        <f aca="false">IF(SUMPRODUCT(--ISNUMBER(SEARCH('Spam Rules'!$A$22:$A$35,K480)))&gt;0,1,0)</f>
        <v>0</v>
      </c>
      <c r="S480" s="3" t="n">
        <f aca="false">IF(AND(F480="Free",G480=""),1,0)</f>
        <v>0</v>
      </c>
      <c r="T480" s="3" t="n">
        <f aca="false">IF(LEN(TRIM(K480))&lt;15,1,0)</f>
        <v>0</v>
      </c>
      <c r="U480" s="3" t="n">
        <f aca="false">IF(COUNTIF($E$2:$E$801,E480)&gt;1,1,0)</f>
        <v>0</v>
      </c>
      <c r="V480" s="3" t="n">
        <f aca="false">Q480*'Spam Rules'!$H$6+R480*'Spam Rules'!$H$7+S480*'Spam Rules'!$H$8+T480*'Spam Rules'!$H$9+U480*'Spam Rules'!$H$10</f>
        <v>0</v>
      </c>
      <c r="W480" s="3" t="str">
        <f aca="false">IF(V480&gt;='Spam Rules'!$B$3,"Likely Spam","Genuine")</f>
        <v>Genuine</v>
      </c>
      <c r="X480" s="3" t="n">
        <f aca="false">IFERROR(INDEX('Scoring Model'!$B$5:$B$11,MATCH(C480,'Scoring Model'!$A$5:$A$11,0)),0)</f>
        <v>20</v>
      </c>
      <c r="Y480" s="3" t="n">
        <f aca="false">IFERROR(INDEX('Scoring Model'!$E$5:$E$7,MATCH(F480,'Scoring Model'!$D$5:$D$7,0)),0)</f>
        <v>20</v>
      </c>
      <c r="Z480" s="3" t="n">
        <f aca="false">IFERROR(INDEX('Scoring Model'!$H$5:$H$13,MATCH(J480,'Scoring Model'!$G$5:$G$13,0)),0)</f>
        <v>15</v>
      </c>
      <c r="AA480" s="3" t="n">
        <f aca="false">IF(L480&gt;='Scoring Model'!$B$14,'Scoring Model'!$B$15,IF(L480&gt;='Scoring Model'!$B$16,'Scoring Model'!$B$17,0))</f>
        <v>15</v>
      </c>
      <c r="AB480" s="3" t="n">
        <f aca="false">IF(SUMPRODUCT(--ISNUMBER(SEARCH('Scoring Model'!$D$16:$D$25,K480)))&gt;0,'Scoring Model'!$B$18,0)</f>
        <v>15</v>
      </c>
      <c r="AC480" s="3" t="n">
        <f aca="false">IF(SUMPRODUCT(--ISNUMBER(SEARCH('Scoring Model'!$G$16:$G$23,K480)))&gt;0,'Scoring Model'!$B$19,0)</f>
        <v>0</v>
      </c>
      <c r="AD480" s="3" t="n">
        <f aca="false">IF(W480="Likely Spam","",SUM(X480:AC480))</f>
        <v>85</v>
      </c>
      <c r="AE480" s="3" t="str">
        <f aca="false">IF(W480="Likely Spam","Spam",IF(AD480&gt;='Scoring Model'!$B$21,"Hot",IF(AD480&gt;='Scoring Model'!$B$22,"Warm","Nurture")))</f>
        <v>Hot</v>
      </c>
      <c r="AF480" s="3" t="str">
        <f aca="false">IF(W480="Likely Spam","Flagged by spam rules",TRIM(IF(X480&gt;=20,"Strong source. ","")&amp;IF(Y480&gt;0,"Company email. ","")&amp;IF(Z480&gt;=15,"High-value product. ","")&amp;IF(AA480&gt;='Scoring Model'!$B$15,"High engagement. ","")&amp;IF(AB480&gt;0,"Buying intent in message. ","")&amp;IF(AC480&lt;0,"Negative intent in message. ","")))</f>
        <v>Strong source. Company email. High-value product. High engagement. Buying intent in message.</v>
      </c>
      <c r="AG480" s="11" t="n">
        <f aca="false">IF(W480="Likely Spam","",1/(1+EXP(-('Conversion Model'!$B$5+IFERROR(INDEX('Conversion Model'!$B$8:$B$14,MATCH(C480,'Conversion Model'!$A$8:$A$14,0)),0)+IFERROR(INDEX('Conversion Model'!$E$8:$E$9,MATCH(F480,'Conversion Model'!$D$8:$D$9,0)),0)+IFERROR(INDEX('Conversion Model'!$H$8:$H$12,MATCH(IF(LEFT(J480,8)="Payments","Payments",IF(LEFT(J480,7)="Lending","Lending",J480)),'Conversion Model'!$G$8:$G$12,0)),0)+MIN(L480,15)*'Conversion Model'!$B$17+IF(SUMPRODUCT(--ISNUMBER(SEARCH('Scoring Model'!$D$16:$D$25,K480)))&gt;0,'Conversion Model'!$B$18,0)+IF(SUMPRODUCT(--ISNUMBER(SEARCH('Scoring Model'!$G$16:$G$23,K480)))&gt;0,'Conversion Model'!$B$19,0)))))</f>
        <v>0.99699359699962</v>
      </c>
      <c r="AH480" s="3" t="n">
        <f aca="false">IF(OR(O480="Qualified",O480="Won",O480="Lost"),1,IF(O480="Unqualified",0,""))</f>
        <v>1</v>
      </c>
    </row>
    <row r="481" customFormat="false" ht="15" hidden="false" customHeight="true" outlineLevel="0" collapsed="false">
      <c r="A481" s="3" t="s">
        <v>1760</v>
      </c>
      <c r="B481" s="9" t="n">
        <v>46155.1145833333</v>
      </c>
      <c r="C481" s="3" t="s">
        <v>51</v>
      </c>
      <c r="D481" s="3" t="s">
        <v>1761</v>
      </c>
      <c r="E481" s="3" t="s">
        <v>1762</v>
      </c>
      <c r="F481" s="3" t="s">
        <v>22</v>
      </c>
      <c r="G481" s="3" t="s">
        <v>79</v>
      </c>
      <c r="H481" s="3" t="s">
        <v>886</v>
      </c>
      <c r="I481" s="3" t="s">
        <v>260</v>
      </c>
      <c r="J481" s="3" t="s">
        <v>122</v>
      </c>
      <c r="K481" s="3" t="s">
        <v>95</v>
      </c>
      <c r="L481" s="3" t="n">
        <v>2</v>
      </c>
      <c r="M481" s="3" t="n">
        <v>13.4</v>
      </c>
      <c r="N481" s="3" t="s">
        <v>96</v>
      </c>
      <c r="O481" s="3" t="s">
        <v>68</v>
      </c>
      <c r="P481" s="10"/>
      <c r="Q481" s="3" t="n">
        <f aca="false">IF(F481="Disposable",1,0)</f>
        <v>0</v>
      </c>
      <c r="R481" s="3" t="n">
        <f aca="false">IF(SUMPRODUCT(--ISNUMBER(SEARCH('Spam Rules'!$A$22:$A$35,K481)))&gt;0,1,0)</f>
        <v>1</v>
      </c>
      <c r="S481" s="3" t="n">
        <f aca="false">IF(AND(F481="Free",G481=""),1,0)</f>
        <v>0</v>
      </c>
      <c r="T481" s="3" t="n">
        <f aca="false">IF(LEN(TRIM(K481))&lt;15,1,0)</f>
        <v>0</v>
      </c>
      <c r="U481" s="3" t="n">
        <f aca="false">IF(COUNTIF($E$2:$E$801,E481)&gt;1,1,0)</f>
        <v>1</v>
      </c>
      <c r="V481" s="3" t="n">
        <f aca="false">Q481*'Spam Rules'!$H$6+R481*'Spam Rules'!$H$7+S481*'Spam Rules'!$H$8+T481*'Spam Rules'!$H$9+U481*'Spam Rules'!$H$10</f>
        <v>1</v>
      </c>
      <c r="W481" s="3" t="str">
        <f aca="false">IF(V481&gt;='Spam Rules'!$B$3,"Likely Spam","Genuine")</f>
        <v>Likely Spam</v>
      </c>
      <c r="X481" s="3" t="n">
        <f aca="false">IFERROR(INDEX('Scoring Model'!$B$5:$B$11,MATCH(C481,'Scoring Model'!$A$5:$A$11,0)),0)</f>
        <v>10</v>
      </c>
      <c r="Y481" s="3" t="n">
        <f aca="false">IFERROR(INDEX('Scoring Model'!$E$5:$E$7,MATCH(F481,'Scoring Model'!$D$5:$D$7,0)),0)</f>
        <v>20</v>
      </c>
      <c r="Z481" s="3" t="n">
        <f aca="false">IFERROR(INDEX('Scoring Model'!$H$5:$H$13,MATCH(J481,'Scoring Model'!$G$5:$G$13,0)),0)</f>
        <v>15</v>
      </c>
      <c r="AA481" s="3" t="n">
        <f aca="false">IF(L481&gt;='Scoring Model'!$B$14,'Scoring Model'!$B$15,IF(L481&gt;='Scoring Model'!$B$16,'Scoring Model'!$B$17,0))</f>
        <v>0</v>
      </c>
      <c r="AB481" s="3" t="n">
        <f aca="false">IF(SUMPRODUCT(--ISNUMBER(SEARCH('Scoring Model'!$D$16:$D$25,K481)))&gt;0,'Scoring Model'!$B$18,0)</f>
        <v>0</v>
      </c>
      <c r="AC481" s="3" t="n">
        <f aca="false">IF(SUMPRODUCT(--ISNUMBER(SEARCH('Scoring Model'!$G$16:$G$23,K481)))&gt;0,'Scoring Model'!$B$19,0)</f>
        <v>0</v>
      </c>
      <c r="AD481" s="3" t="str">
        <f aca="false">IF(W481="Likely Spam","",SUM(X481:AC481))</f>
        <v/>
      </c>
      <c r="AE481" s="3" t="str">
        <f aca="false">IF(W481="Likely Spam","Spam",IF(AD481&gt;='Scoring Model'!$B$21,"Hot",IF(AD481&gt;='Scoring Model'!$B$22,"Warm","Nurture")))</f>
        <v>Spam</v>
      </c>
      <c r="AF481" s="3" t="str">
        <f aca="false">IF(W481="Likely Spam","Flagged by spam rules",TRIM(IF(X481&gt;=20,"Strong source. ","")&amp;IF(Y481&gt;0,"Company email. ","")&amp;IF(Z481&gt;=15,"High-value product. ","")&amp;IF(AA481&gt;='Scoring Model'!$B$15,"High engagement. ","")&amp;IF(AB481&gt;0,"Buying intent in message. ","")&amp;IF(AC481&lt;0,"Negative intent in message. ","")))</f>
        <v>Flagged by spam rules</v>
      </c>
      <c r="AG481" s="11" t="str">
        <f aca="false">IF(W481="Likely Spam","",1/(1+EXP(-('Conversion Model'!$B$5+IFERROR(INDEX('Conversion Model'!$B$8:$B$14,MATCH(C481,'Conversion Model'!$A$8:$A$14,0)),0)+IFERROR(INDEX('Conversion Model'!$E$8:$E$9,MATCH(F481,'Conversion Model'!$D$8:$D$9,0)),0)+IFERROR(INDEX('Conversion Model'!$H$8:$H$12,MATCH(IF(LEFT(J481,8)="Payments","Payments",IF(LEFT(J481,7)="Lending","Lending",J481)),'Conversion Model'!$G$8:$G$12,0)),0)+MIN(L481,15)*'Conversion Model'!$B$17+IF(SUMPRODUCT(--ISNUMBER(SEARCH('Scoring Model'!$D$16:$D$25,K481)))&gt;0,'Conversion Model'!$B$18,0)+IF(SUMPRODUCT(--ISNUMBER(SEARCH('Scoring Model'!$G$16:$G$23,K481)))&gt;0,'Conversion Model'!$B$19,0)))))</f>
        <v/>
      </c>
      <c r="AH481" s="3" t="str">
        <f aca="false">IF(OR(O481="Qualified",O481="Won",O481="Lost"),1,IF(O481="Unqualified",0,""))</f>
        <v/>
      </c>
    </row>
    <row r="482" customFormat="false" ht="15" hidden="false" customHeight="true" outlineLevel="0" collapsed="false">
      <c r="A482" s="3" t="s">
        <v>1763</v>
      </c>
      <c r="B482" s="9" t="n">
        <v>46155.2229166667</v>
      </c>
      <c r="C482" s="3" t="s">
        <v>91</v>
      </c>
      <c r="D482" s="3" t="s">
        <v>1764</v>
      </c>
      <c r="E482" s="3" t="s">
        <v>1765</v>
      </c>
      <c r="F482" s="3" t="s">
        <v>54</v>
      </c>
      <c r="G482" s="3" t="s">
        <v>1766</v>
      </c>
      <c r="H482" s="3"/>
      <c r="I482" s="3" t="s">
        <v>204</v>
      </c>
      <c r="J482" s="3" t="s">
        <v>57</v>
      </c>
      <c r="K482" s="3" t="s">
        <v>1767</v>
      </c>
      <c r="L482" s="3" t="n">
        <v>5</v>
      </c>
      <c r="M482" s="3" t="n">
        <v>8.4</v>
      </c>
      <c r="N482" s="3" t="s">
        <v>67</v>
      </c>
      <c r="O482" s="3" t="s">
        <v>194</v>
      </c>
      <c r="P482" s="10"/>
      <c r="Q482" s="3" t="n">
        <f aca="false">IF(F482="Disposable",1,0)</f>
        <v>0</v>
      </c>
      <c r="R482" s="3" t="n">
        <f aca="false">IF(SUMPRODUCT(--ISNUMBER(SEARCH('Spam Rules'!$A$22:$A$35,K482)))&gt;0,1,0)</f>
        <v>0</v>
      </c>
      <c r="S482" s="3" t="n">
        <f aca="false">IF(AND(F482="Free",G482=""),1,0)</f>
        <v>0</v>
      </c>
      <c r="T482" s="3" t="n">
        <f aca="false">IF(LEN(TRIM(K482))&lt;15,1,0)</f>
        <v>0</v>
      </c>
      <c r="U482" s="3" t="n">
        <f aca="false">IF(COUNTIF($E$2:$E$801,E482)&gt;1,1,0)</f>
        <v>0</v>
      </c>
      <c r="V482" s="3" t="n">
        <f aca="false">Q482*'Spam Rules'!$H$6+R482*'Spam Rules'!$H$7+S482*'Spam Rules'!$H$8+T482*'Spam Rules'!$H$9+U482*'Spam Rules'!$H$10</f>
        <v>0</v>
      </c>
      <c r="W482" s="3" t="str">
        <f aca="false">IF(V482&gt;='Spam Rules'!$B$3,"Likely Spam","Genuine")</f>
        <v>Genuine</v>
      </c>
      <c r="X482" s="3" t="n">
        <f aca="false">IFERROR(INDEX('Scoring Model'!$B$5:$B$11,MATCH(C482,'Scoring Model'!$A$5:$A$11,0)),0)</f>
        <v>5</v>
      </c>
      <c r="Y482" s="3" t="n">
        <f aca="false">IFERROR(INDEX('Scoring Model'!$E$5:$E$7,MATCH(F482,'Scoring Model'!$D$5:$D$7,0)),0)</f>
        <v>0</v>
      </c>
      <c r="Z482" s="3" t="n">
        <f aca="false">IFERROR(INDEX('Scoring Model'!$H$5:$H$13,MATCH(J482,'Scoring Model'!$G$5:$G$13,0)),0)</f>
        <v>15</v>
      </c>
      <c r="AA482" s="3" t="n">
        <f aca="false">IF(L482&gt;='Scoring Model'!$B$14,'Scoring Model'!$B$15,IF(L482&gt;='Scoring Model'!$B$16,'Scoring Model'!$B$17,0))</f>
        <v>8</v>
      </c>
      <c r="AB482" s="3" t="n">
        <f aca="false">IF(SUMPRODUCT(--ISNUMBER(SEARCH('Scoring Model'!$D$16:$D$25,K482)))&gt;0,'Scoring Model'!$B$18,0)</f>
        <v>15</v>
      </c>
      <c r="AC482" s="3" t="n">
        <f aca="false">IF(SUMPRODUCT(--ISNUMBER(SEARCH('Scoring Model'!$G$16:$G$23,K482)))&gt;0,'Scoring Model'!$B$19,0)</f>
        <v>0</v>
      </c>
      <c r="AD482" s="3" t="n">
        <f aca="false">IF(W482="Likely Spam","",SUM(X482:AC482))</f>
        <v>43</v>
      </c>
      <c r="AE482" s="3" t="str">
        <f aca="false">IF(W482="Likely Spam","Spam",IF(AD482&gt;='Scoring Model'!$B$21,"Hot",IF(AD482&gt;='Scoring Model'!$B$22,"Warm","Nurture")))</f>
        <v>Nurture</v>
      </c>
      <c r="AF482" s="3" t="str">
        <f aca="false">IF(W482="Likely Spam","Flagged by spam rules",TRIM(IF(X482&gt;=20,"Strong source. ","")&amp;IF(Y482&gt;0,"Company email. ","")&amp;IF(Z482&gt;=15,"High-value product. ","")&amp;IF(AA482&gt;='Scoring Model'!$B$15,"High engagement. ","")&amp;IF(AB482&gt;0,"Buying intent in message. ","")&amp;IF(AC482&lt;0,"Negative intent in message. ","")))</f>
        <v>High-value product. Buying intent in message.</v>
      </c>
      <c r="AG482" s="11" t="n">
        <f aca="false">IF(W482="Likely Spam","",1/(1+EXP(-('Conversion Model'!$B$5+IFERROR(INDEX('Conversion Model'!$B$8:$B$14,MATCH(C482,'Conversion Model'!$A$8:$A$14,0)),0)+IFERROR(INDEX('Conversion Model'!$E$8:$E$9,MATCH(F482,'Conversion Model'!$D$8:$D$9,0)),0)+IFERROR(INDEX('Conversion Model'!$H$8:$H$12,MATCH(IF(LEFT(J482,8)="Payments","Payments",IF(LEFT(J482,7)="Lending","Lending",J482)),'Conversion Model'!$G$8:$G$12,0)),0)+MIN(L482,15)*'Conversion Model'!$B$17+IF(SUMPRODUCT(--ISNUMBER(SEARCH('Scoring Model'!$D$16:$D$25,K482)))&gt;0,'Conversion Model'!$B$18,0)+IF(SUMPRODUCT(--ISNUMBER(SEARCH('Scoring Model'!$G$16:$G$23,K482)))&gt;0,'Conversion Model'!$B$19,0)))))</f>
        <v>0.399391780448725</v>
      </c>
      <c r="AH482" s="3" t="n">
        <f aca="false">IF(OR(O482="Qualified",O482="Won",O482="Lost"),1,IF(O482="Unqualified",0,""))</f>
        <v>0</v>
      </c>
    </row>
    <row r="483" customFormat="false" ht="15" hidden="false" customHeight="true" outlineLevel="0" collapsed="false">
      <c r="A483" s="3" t="s">
        <v>1768</v>
      </c>
      <c r="B483" s="9" t="n">
        <v>46155.5520833333</v>
      </c>
      <c r="C483" s="3" t="s">
        <v>128</v>
      </c>
      <c r="D483" s="3" t="s">
        <v>850</v>
      </c>
      <c r="E483" s="3" t="s">
        <v>1769</v>
      </c>
      <c r="F483" s="3" t="s">
        <v>22</v>
      </c>
      <c r="G483" s="3" t="s">
        <v>599</v>
      </c>
      <c r="H483" s="3" t="s">
        <v>1770</v>
      </c>
      <c r="I483" s="3" t="s">
        <v>88</v>
      </c>
      <c r="J483" s="3" t="s">
        <v>145</v>
      </c>
      <c r="K483" s="3" t="s">
        <v>228</v>
      </c>
      <c r="L483" s="3" t="n">
        <v>6</v>
      </c>
      <c r="M483" s="3" t="n">
        <v>32.2</v>
      </c>
      <c r="N483" s="3" t="s">
        <v>171</v>
      </c>
      <c r="O483" s="3" t="s">
        <v>147</v>
      </c>
      <c r="P483" s="10" t="n">
        <v>60000</v>
      </c>
      <c r="Q483" s="3" t="n">
        <f aca="false">IF(F483="Disposable",1,0)</f>
        <v>0</v>
      </c>
      <c r="R483" s="3" t="n">
        <f aca="false">IF(SUMPRODUCT(--ISNUMBER(SEARCH('Spam Rules'!$A$22:$A$35,K483)))&gt;0,1,0)</f>
        <v>0</v>
      </c>
      <c r="S483" s="3" t="n">
        <f aca="false">IF(AND(F483="Free",G483=""),1,0)</f>
        <v>0</v>
      </c>
      <c r="T483" s="3" t="n">
        <f aca="false">IF(LEN(TRIM(K483))&lt;15,1,0)</f>
        <v>0</v>
      </c>
      <c r="U483" s="3" t="n">
        <f aca="false">IF(COUNTIF($E$2:$E$801,E483)&gt;1,1,0)</f>
        <v>0</v>
      </c>
      <c r="V483" s="3" t="n">
        <f aca="false">Q483*'Spam Rules'!$H$6+R483*'Spam Rules'!$H$7+S483*'Spam Rules'!$H$8+T483*'Spam Rules'!$H$9+U483*'Spam Rules'!$H$10</f>
        <v>0</v>
      </c>
      <c r="W483" s="3" t="str">
        <f aca="false">IF(V483&gt;='Spam Rules'!$B$3,"Likely Spam","Genuine")</f>
        <v>Genuine</v>
      </c>
      <c r="X483" s="3" t="n">
        <f aca="false">IFERROR(INDEX('Scoring Model'!$B$5:$B$11,MATCH(C483,'Scoring Model'!$A$5:$A$11,0)),0)</f>
        <v>30</v>
      </c>
      <c r="Y483" s="3" t="n">
        <f aca="false">IFERROR(INDEX('Scoring Model'!$E$5:$E$7,MATCH(F483,'Scoring Model'!$D$5:$D$7,0)),0)</f>
        <v>20</v>
      </c>
      <c r="Z483" s="3" t="n">
        <f aca="false">IFERROR(INDEX('Scoring Model'!$H$5:$H$13,MATCH(J483,'Scoring Model'!$G$5:$G$13,0)),0)</f>
        <v>5</v>
      </c>
      <c r="AA483" s="3" t="n">
        <f aca="false">IF(L483&gt;='Scoring Model'!$B$14,'Scoring Model'!$B$15,IF(L483&gt;='Scoring Model'!$B$16,'Scoring Model'!$B$17,0))</f>
        <v>8</v>
      </c>
      <c r="AB483" s="3" t="n">
        <f aca="false">IF(SUMPRODUCT(--ISNUMBER(SEARCH('Scoring Model'!$D$16:$D$25,K483)))&gt;0,'Scoring Model'!$B$18,0)</f>
        <v>15</v>
      </c>
      <c r="AC483" s="3" t="n">
        <f aca="false">IF(SUMPRODUCT(--ISNUMBER(SEARCH('Scoring Model'!$G$16:$G$23,K483)))&gt;0,'Scoring Model'!$B$19,0)</f>
        <v>0</v>
      </c>
      <c r="AD483" s="3" t="n">
        <f aca="false">IF(W483="Likely Spam","",SUM(X483:AC483))</f>
        <v>78</v>
      </c>
      <c r="AE483" s="3" t="str">
        <f aca="false">IF(W483="Likely Spam","Spam",IF(AD483&gt;='Scoring Model'!$B$21,"Hot",IF(AD483&gt;='Scoring Model'!$B$22,"Warm","Nurture")))</f>
        <v>Hot</v>
      </c>
      <c r="AF483" s="3" t="str">
        <f aca="false">IF(W483="Likely Spam","Flagged by spam rules",TRIM(IF(X483&gt;=20,"Strong source. ","")&amp;IF(Y483&gt;0,"Company email. ","")&amp;IF(Z483&gt;=15,"High-value product. ","")&amp;IF(AA483&gt;='Scoring Model'!$B$15,"High engagement. ","")&amp;IF(AB483&gt;0,"Buying intent in message. ","")&amp;IF(AC483&lt;0,"Negative intent in message. ","")))</f>
        <v>Strong source. Company email. Buying intent in message.</v>
      </c>
      <c r="AG483" s="11" t="n">
        <f aca="false">IF(W483="Likely Spam","",1/(1+EXP(-('Conversion Model'!$B$5+IFERROR(INDEX('Conversion Model'!$B$8:$B$14,MATCH(C483,'Conversion Model'!$A$8:$A$14,0)),0)+IFERROR(INDEX('Conversion Model'!$E$8:$E$9,MATCH(F483,'Conversion Model'!$D$8:$D$9,0)),0)+IFERROR(INDEX('Conversion Model'!$H$8:$H$12,MATCH(IF(LEFT(J483,8)="Payments","Payments",IF(LEFT(J483,7)="Lending","Lending",J483)),'Conversion Model'!$G$8:$G$12,0)),0)+MIN(L483,15)*'Conversion Model'!$B$17+IF(SUMPRODUCT(--ISNUMBER(SEARCH('Scoring Model'!$D$16:$D$25,K483)))&gt;0,'Conversion Model'!$B$18,0)+IF(SUMPRODUCT(--ISNUMBER(SEARCH('Scoring Model'!$G$16:$G$23,K483)))&gt;0,'Conversion Model'!$B$19,0)))))</f>
        <v>0.950074096424819</v>
      </c>
      <c r="AH483" s="3" t="n">
        <f aca="false">IF(OR(O483="Qualified",O483="Won",O483="Lost"),1,IF(O483="Unqualified",0,""))</f>
        <v>1</v>
      </c>
    </row>
    <row r="484" customFormat="false" ht="15" hidden="false" customHeight="true" outlineLevel="0" collapsed="false">
      <c r="A484" s="3" t="s">
        <v>1771</v>
      </c>
      <c r="B484" s="9" t="n">
        <v>46155.9090277778</v>
      </c>
      <c r="C484" s="3" t="s">
        <v>135</v>
      </c>
      <c r="D484" s="3" t="s">
        <v>1772</v>
      </c>
      <c r="E484" s="3" t="s">
        <v>1773</v>
      </c>
      <c r="F484" s="3" t="s">
        <v>22</v>
      </c>
      <c r="G484" s="3" t="s">
        <v>1315</v>
      </c>
      <c r="H484" s="3" t="s">
        <v>1316</v>
      </c>
      <c r="I484" s="3" t="s">
        <v>94</v>
      </c>
      <c r="J484" s="3" t="s">
        <v>81</v>
      </c>
      <c r="K484" s="3" t="s">
        <v>101</v>
      </c>
      <c r="L484" s="3" t="n">
        <v>4</v>
      </c>
      <c r="M484" s="3" t="n">
        <v>1.8</v>
      </c>
      <c r="N484" s="3" t="s">
        <v>171</v>
      </c>
      <c r="O484" s="3" t="s">
        <v>194</v>
      </c>
      <c r="P484" s="10"/>
      <c r="Q484" s="3" t="n">
        <f aca="false">IF(F484="Disposable",1,0)</f>
        <v>0</v>
      </c>
      <c r="R484" s="3" t="n">
        <f aca="false">IF(SUMPRODUCT(--ISNUMBER(SEARCH('Spam Rules'!$A$22:$A$35,K484)))&gt;0,1,0)</f>
        <v>0</v>
      </c>
      <c r="S484" s="3" t="n">
        <f aca="false">IF(AND(F484="Free",G484=""),1,0)</f>
        <v>0</v>
      </c>
      <c r="T484" s="3" t="n">
        <f aca="false">IF(LEN(TRIM(K484))&lt;15,1,0)</f>
        <v>0</v>
      </c>
      <c r="U484" s="3" t="n">
        <f aca="false">IF(COUNTIF($E$2:$E$801,E484)&gt;1,1,0)</f>
        <v>0</v>
      </c>
      <c r="V484" s="3" t="n">
        <f aca="false">Q484*'Spam Rules'!$H$6+R484*'Spam Rules'!$H$7+S484*'Spam Rules'!$H$8+T484*'Spam Rules'!$H$9+U484*'Spam Rules'!$H$10</f>
        <v>0</v>
      </c>
      <c r="W484" s="3" t="str">
        <f aca="false">IF(V484&gt;='Spam Rules'!$B$3,"Likely Spam","Genuine")</f>
        <v>Genuine</v>
      </c>
      <c r="X484" s="3" t="n">
        <f aca="false">IFERROR(INDEX('Scoring Model'!$B$5:$B$11,MATCH(C484,'Scoring Model'!$A$5:$A$11,0)),0)</f>
        <v>20</v>
      </c>
      <c r="Y484" s="3" t="n">
        <f aca="false">IFERROR(INDEX('Scoring Model'!$E$5:$E$7,MATCH(F484,'Scoring Model'!$D$5:$D$7,0)),0)</f>
        <v>20</v>
      </c>
      <c r="Z484" s="3" t="n">
        <f aca="false">IFERROR(INDEX('Scoring Model'!$H$5:$H$13,MATCH(J484,'Scoring Model'!$G$5:$G$13,0)),0)</f>
        <v>5</v>
      </c>
      <c r="AA484" s="3" t="n">
        <f aca="false">IF(L484&gt;='Scoring Model'!$B$14,'Scoring Model'!$B$15,IF(L484&gt;='Scoring Model'!$B$16,'Scoring Model'!$B$17,0))</f>
        <v>8</v>
      </c>
      <c r="AB484" s="3" t="n">
        <f aca="false">IF(SUMPRODUCT(--ISNUMBER(SEARCH('Scoring Model'!$D$16:$D$25,K484)))&gt;0,'Scoring Model'!$B$18,0)</f>
        <v>0</v>
      </c>
      <c r="AC484" s="3" t="n">
        <f aca="false">IF(SUMPRODUCT(--ISNUMBER(SEARCH('Scoring Model'!$G$16:$G$23,K484)))&gt;0,'Scoring Model'!$B$19,0)</f>
        <v>-30</v>
      </c>
      <c r="AD484" s="3" t="n">
        <f aca="false">IF(W484="Likely Spam","",SUM(X484:AC484))</f>
        <v>23</v>
      </c>
      <c r="AE484" s="3" t="str">
        <f aca="false">IF(W484="Likely Spam","Spam",IF(AD484&gt;='Scoring Model'!$B$21,"Hot",IF(AD484&gt;='Scoring Model'!$B$22,"Warm","Nurture")))</f>
        <v>Nurture</v>
      </c>
      <c r="AF484" s="3" t="str">
        <f aca="false">IF(W484="Likely Spam","Flagged by spam rules",TRIM(IF(X484&gt;=20,"Strong source. ","")&amp;IF(Y484&gt;0,"Company email. ","")&amp;IF(Z484&gt;=15,"High-value product. ","")&amp;IF(AA484&gt;='Scoring Model'!$B$15,"High engagement. ","")&amp;IF(AB484&gt;0,"Buying intent in message. ","")&amp;IF(AC484&lt;0,"Negative intent in message. ","")))</f>
        <v>Strong source. Company email. Negative intent in message.</v>
      </c>
      <c r="AG484" s="11" t="n">
        <f aca="false">IF(W484="Likely Spam","",1/(1+EXP(-('Conversion Model'!$B$5+IFERROR(INDEX('Conversion Model'!$B$8:$B$14,MATCH(C484,'Conversion Model'!$A$8:$A$14,0)),0)+IFERROR(INDEX('Conversion Model'!$E$8:$E$9,MATCH(F484,'Conversion Model'!$D$8:$D$9,0)),0)+IFERROR(INDEX('Conversion Model'!$H$8:$H$12,MATCH(IF(LEFT(J484,8)="Payments","Payments",IF(LEFT(J484,7)="Lending","Lending",J484)),'Conversion Model'!$G$8:$G$12,0)),0)+MIN(L484,15)*'Conversion Model'!$B$17+IF(SUMPRODUCT(--ISNUMBER(SEARCH('Scoring Model'!$D$16:$D$25,K484)))&gt;0,'Conversion Model'!$B$18,0)+IF(SUMPRODUCT(--ISNUMBER(SEARCH('Scoring Model'!$G$16:$G$23,K484)))&gt;0,'Conversion Model'!$B$19,0)))))</f>
        <v>0.04582575640832</v>
      </c>
      <c r="AH484" s="3" t="n">
        <f aca="false">IF(OR(O484="Qualified",O484="Won",O484="Lost"),1,IF(O484="Unqualified",0,""))</f>
        <v>0</v>
      </c>
    </row>
    <row r="485" customFormat="false" ht="15" hidden="false" customHeight="true" outlineLevel="0" collapsed="false">
      <c r="A485" s="3" t="s">
        <v>1774</v>
      </c>
      <c r="B485" s="9" t="n">
        <v>46156.3423611111</v>
      </c>
      <c r="C485" s="3" t="s">
        <v>51</v>
      </c>
      <c r="D485" s="3" t="s">
        <v>1531</v>
      </c>
      <c r="E485" s="3" t="s">
        <v>1775</v>
      </c>
      <c r="F485" s="3" t="s">
        <v>54</v>
      </c>
      <c r="G485" s="3" t="s">
        <v>307</v>
      </c>
      <c r="H485" s="3"/>
      <c r="I485" s="3" t="s">
        <v>88</v>
      </c>
      <c r="J485" s="3" t="s">
        <v>117</v>
      </c>
      <c r="K485" s="3" t="s">
        <v>58</v>
      </c>
      <c r="L485" s="3" t="n">
        <v>6</v>
      </c>
      <c r="M485" s="3" t="n">
        <v>4.3</v>
      </c>
      <c r="N485" s="3" t="s">
        <v>96</v>
      </c>
      <c r="O485" s="3"/>
      <c r="P485" s="10"/>
      <c r="Q485" s="3" t="n">
        <f aca="false">IF(F485="Disposable",1,0)</f>
        <v>0</v>
      </c>
      <c r="R485" s="3" t="n">
        <f aca="false">IF(SUMPRODUCT(--ISNUMBER(SEARCH('Spam Rules'!$A$22:$A$35,K485)))&gt;0,1,0)</f>
        <v>0</v>
      </c>
      <c r="S485" s="3" t="n">
        <f aca="false">IF(AND(F485="Free",G485=""),1,0)</f>
        <v>0</v>
      </c>
      <c r="T485" s="3" t="n">
        <f aca="false">IF(LEN(TRIM(K485))&lt;15,1,0)</f>
        <v>0</v>
      </c>
      <c r="U485" s="3" t="n">
        <f aca="false">IF(COUNTIF($E$2:$E$801,E485)&gt;1,1,0)</f>
        <v>0</v>
      </c>
      <c r="V485" s="3" t="n">
        <f aca="false">Q485*'Spam Rules'!$H$6+R485*'Spam Rules'!$H$7+S485*'Spam Rules'!$H$8+T485*'Spam Rules'!$H$9+U485*'Spam Rules'!$H$10</f>
        <v>0</v>
      </c>
      <c r="W485" s="3" t="str">
        <f aca="false">IF(V485&gt;='Spam Rules'!$B$3,"Likely Spam","Genuine")</f>
        <v>Genuine</v>
      </c>
      <c r="X485" s="3" t="n">
        <f aca="false">IFERROR(INDEX('Scoring Model'!$B$5:$B$11,MATCH(C485,'Scoring Model'!$A$5:$A$11,0)),0)</f>
        <v>10</v>
      </c>
      <c r="Y485" s="3" t="n">
        <f aca="false">IFERROR(INDEX('Scoring Model'!$E$5:$E$7,MATCH(F485,'Scoring Model'!$D$5:$D$7,0)),0)</f>
        <v>0</v>
      </c>
      <c r="Z485" s="3" t="n">
        <f aca="false">IFERROR(INDEX('Scoring Model'!$H$5:$H$13,MATCH(J485,'Scoring Model'!$G$5:$G$13,0)),0)</f>
        <v>15</v>
      </c>
      <c r="AA485" s="3" t="n">
        <f aca="false">IF(L485&gt;='Scoring Model'!$B$14,'Scoring Model'!$B$15,IF(L485&gt;='Scoring Model'!$B$16,'Scoring Model'!$B$17,0))</f>
        <v>8</v>
      </c>
      <c r="AB485" s="3" t="n">
        <f aca="false">IF(SUMPRODUCT(--ISNUMBER(SEARCH('Scoring Model'!$D$16:$D$25,K485)))&gt;0,'Scoring Model'!$B$18,0)</f>
        <v>15</v>
      </c>
      <c r="AC485" s="3" t="n">
        <f aca="false">IF(SUMPRODUCT(--ISNUMBER(SEARCH('Scoring Model'!$G$16:$G$23,K485)))&gt;0,'Scoring Model'!$B$19,0)</f>
        <v>0</v>
      </c>
      <c r="AD485" s="3" t="n">
        <f aca="false">IF(W485="Likely Spam","",SUM(X485:AC485))</f>
        <v>48</v>
      </c>
      <c r="AE485" s="3" t="str">
        <f aca="false">IF(W485="Likely Spam","Spam",IF(AD485&gt;='Scoring Model'!$B$21,"Hot",IF(AD485&gt;='Scoring Model'!$B$22,"Warm","Nurture")))</f>
        <v>Warm</v>
      </c>
      <c r="AF485" s="3" t="str">
        <f aca="false">IF(W485="Likely Spam","Flagged by spam rules",TRIM(IF(X485&gt;=20,"Strong source. ","")&amp;IF(Y485&gt;0,"Company email. ","")&amp;IF(Z485&gt;=15,"High-value product. ","")&amp;IF(AA485&gt;='Scoring Model'!$B$15,"High engagement. ","")&amp;IF(AB485&gt;0,"Buying intent in message. ","")&amp;IF(AC485&lt;0,"Negative intent in message. ","")))</f>
        <v>High-value product. Buying intent in message.</v>
      </c>
      <c r="AG485" s="11" t="n">
        <f aca="false">IF(W485="Likely Spam","",1/(1+EXP(-('Conversion Model'!$B$5+IFERROR(INDEX('Conversion Model'!$B$8:$B$14,MATCH(C485,'Conversion Model'!$A$8:$A$14,0)),0)+IFERROR(INDEX('Conversion Model'!$E$8:$E$9,MATCH(F485,'Conversion Model'!$D$8:$D$9,0)),0)+IFERROR(INDEX('Conversion Model'!$H$8:$H$12,MATCH(IF(LEFT(J485,8)="Payments","Payments",IF(LEFT(J485,7)="Lending","Lending",J485)),'Conversion Model'!$G$8:$G$12,0)),0)+MIN(L485,15)*'Conversion Model'!$B$17+IF(SUMPRODUCT(--ISNUMBER(SEARCH('Scoring Model'!$D$16:$D$25,K485)))&gt;0,'Conversion Model'!$B$18,0)+IF(SUMPRODUCT(--ISNUMBER(SEARCH('Scoring Model'!$G$16:$G$23,K485)))&gt;0,'Conversion Model'!$B$19,0)))))</f>
        <v>0.837670961661056</v>
      </c>
      <c r="AH485" s="3" t="str">
        <f aca="false">IF(OR(O485="Qualified",O485="Won",O485="Lost"),1,IF(O485="Unqualified",0,""))</f>
        <v/>
      </c>
    </row>
    <row r="486" customFormat="false" ht="15" hidden="false" customHeight="true" outlineLevel="0" collapsed="false">
      <c r="A486" s="3" t="s">
        <v>1776</v>
      </c>
      <c r="B486" s="9" t="n">
        <v>46156.7722222222</v>
      </c>
      <c r="C486" s="3" t="s">
        <v>51</v>
      </c>
      <c r="D486" s="3" t="s">
        <v>1741</v>
      </c>
      <c r="E486" s="3" t="s">
        <v>1777</v>
      </c>
      <c r="F486" s="3" t="s">
        <v>22</v>
      </c>
      <c r="G486" s="3" t="s">
        <v>382</v>
      </c>
      <c r="H486" s="3" t="s">
        <v>383</v>
      </c>
      <c r="I486" s="3" t="s">
        <v>107</v>
      </c>
      <c r="J486" s="3" t="s">
        <v>145</v>
      </c>
      <c r="K486" s="3" t="s">
        <v>213</v>
      </c>
      <c r="L486" s="3" t="n">
        <v>2</v>
      </c>
      <c r="M486" s="3" t="n">
        <v>107.3</v>
      </c>
      <c r="N486" s="3" t="s">
        <v>96</v>
      </c>
      <c r="O486" s="3" t="s">
        <v>194</v>
      </c>
      <c r="P486" s="10"/>
      <c r="Q486" s="3" t="n">
        <f aca="false">IF(F486="Disposable",1,0)</f>
        <v>0</v>
      </c>
      <c r="R486" s="3" t="n">
        <f aca="false">IF(SUMPRODUCT(--ISNUMBER(SEARCH('Spam Rules'!$A$22:$A$35,K486)))&gt;0,1,0)</f>
        <v>0</v>
      </c>
      <c r="S486" s="3" t="n">
        <f aca="false">IF(AND(F486="Free",G486=""),1,0)</f>
        <v>0</v>
      </c>
      <c r="T486" s="3" t="n">
        <f aca="false">IF(LEN(TRIM(K486))&lt;15,1,0)</f>
        <v>0</v>
      </c>
      <c r="U486" s="3" t="n">
        <f aca="false">IF(COUNTIF($E$2:$E$801,E486)&gt;1,1,0)</f>
        <v>0</v>
      </c>
      <c r="V486" s="3" t="n">
        <f aca="false">Q486*'Spam Rules'!$H$6+R486*'Spam Rules'!$H$7+S486*'Spam Rules'!$H$8+T486*'Spam Rules'!$H$9+U486*'Spam Rules'!$H$10</f>
        <v>0</v>
      </c>
      <c r="W486" s="3" t="str">
        <f aca="false">IF(V486&gt;='Spam Rules'!$B$3,"Likely Spam","Genuine")</f>
        <v>Genuine</v>
      </c>
      <c r="X486" s="3" t="n">
        <f aca="false">IFERROR(INDEX('Scoring Model'!$B$5:$B$11,MATCH(C486,'Scoring Model'!$A$5:$A$11,0)),0)</f>
        <v>10</v>
      </c>
      <c r="Y486" s="3" t="n">
        <f aca="false">IFERROR(INDEX('Scoring Model'!$E$5:$E$7,MATCH(F486,'Scoring Model'!$D$5:$D$7,0)),0)</f>
        <v>20</v>
      </c>
      <c r="Z486" s="3" t="n">
        <f aca="false">IFERROR(INDEX('Scoring Model'!$H$5:$H$13,MATCH(J486,'Scoring Model'!$G$5:$G$13,0)),0)</f>
        <v>5</v>
      </c>
      <c r="AA486" s="3" t="n">
        <f aca="false">IF(L486&gt;='Scoring Model'!$B$14,'Scoring Model'!$B$15,IF(L486&gt;='Scoring Model'!$B$16,'Scoring Model'!$B$17,0))</f>
        <v>0</v>
      </c>
      <c r="AB486" s="3" t="n">
        <f aca="false">IF(SUMPRODUCT(--ISNUMBER(SEARCH('Scoring Model'!$D$16:$D$25,K486)))&gt;0,'Scoring Model'!$B$18,0)</f>
        <v>0</v>
      </c>
      <c r="AC486" s="3" t="n">
        <f aca="false">IF(SUMPRODUCT(--ISNUMBER(SEARCH('Scoring Model'!$G$16:$G$23,K486)))&gt;0,'Scoring Model'!$B$19,0)</f>
        <v>-30</v>
      </c>
      <c r="AD486" s="3" t="n">
        <f aca="false">IF(W486="Likely Spam","",SUM(X486:AC486))</f>
        <v>5</v>
      </c>
      <c r="AE486" s="3" t="str">
        <f aca="false">IF(W486="Likely Spam","Spam",IF(AD486&gt;='Scoring Model'!$B$21,"Hot",IF(AD486&gt;='Scoring Model'!$B$22,"Warm","Nurture")))</f>
        <v>Nurture</v>
      </c>
      <c r="AF486" s="3" t="str">
        <f aca="false">IF(W486="Likely Spam","Flagged by spam rules",TRIM(IF(X486&gt;=20,"Strong source. ","")&amp;IF(Y486&gt;0,"Company email. ","")&amp;IF(Z486&gt;=15,"High-value product. ","")&amp;IF(AA486&gt;='Scoring Model'!$B$15,"High engagement. ","")&amp;IF(AB486&gt;0,"Buying intent in message. ","")&amp;IF(AC486&lt;0,"Negative intent in message. ","")))</f>
        <v>Company email. Negative intent in message.</v>
      </c>
      <c r="AG486" s="11" t="n">
        <f aca="false">IF(W486="Likely Spam","",1/(1+EXP(-('Conversion Model'!$B$5+IFERROR(INDEX('Conversion Model'!$B$8:$B$14,MATCH(C486,'Conversion Model'!$A$8:$A$14,0)),0)+IFERROR(INDEX('Conversion Model'!$E$8:$E$9,MATCH(F486,'Conversion Model'!$D$8:$D$9,0)),0)+IFERROR(INDEX('Conversion Model'!$H$8:$H$12,MATCH(IF(LEFT(J486,8)="Payments","Payments",IF(LEFT(J486,7)="Lending","Lending",J486)),'Conversion Model'!$G$8:$G$12,0)),0)+MIN(L486,15)*'Conversion Model'!$B$17+IF(SUMPRODUCT(--ISNUMBER(SEARCH('Scoring Model'!$D$16:$D$25,K486)))&gt;0,'Conversion Model'!$B$18,0)+IF(SUMPRODUCT(--ISNUMBER(SEARCH('Scoring Model'!$G$16:$G$23,K486)))&gt;0,'Conversion Model'!$B$19,0)))))</f>
        <v>0.00691584673706392</v>
      </c>
      <c r="AH486" s="3" t="n">
        <f aca="false">IF(OR(O486="Qualified",O486="Won",O486="Lost"),1,IF(O486="Unqualified",0,""))</f>
        <v>0</v>
      </c>
    </row>
    <row r="487" customFormat="false" ht="15" hidden="false" customHeight="true" outlineLevel="0" collapsed="false">
      <c r="A487" s="3" t="s">
        <v>1778</v>
      </c>
      <c r="B487" s="9" t="n">
        <v>46157.1138888889</v>
      </c>
      <c r="C487" s="3" t="s">
        <v>51</v>
      </c>
      <c r="D487" s="3" t="s">
        <v>1329</v>
      </c>
      <c r="E487" s="3" t="s">
        <v>656</v>
      </c>
      <c r="F487" s="3" t="s">
        <v>22</v>
      </c>
      <c r="G487" s="3" t="s">
        <v>86</v>
      </c>
      <c r="H487" s="3" t="s">
        <v>87</v>
      </c>
      <c r="I487" s="3" t="s">
        <v>107</v>
      </c>
      <c r="J487" s="3" t="s">
        <v>65</v>
      </c>
      <c r="K487" s="3" t="s">
        <v>126</v>
      </c>
      <c r="L487" s="3" t="n">
        <v>2</v>
      </c>
      <c r="M487" s="3"/>
      <c r="N487" s="3" t="s">
        <v>67</v>
      </c>
      <c r="O487" s="3" t="s">
        <v>68</v>
      </c>
      <c r="P487" s="10"/>
      <c r="Q487" s="3" t="n">
        <f aca="false">IF(F487="Disposable",1,0)</f>
        <v>0</v>
      </c>
      <c r="R487" s="3" t="n">
        <f aca="false">IF(SUMPRODUCT(--ISNUMBER(SEARCH('Spam Rules'!$A$22:$A$35,K487)))&gt;0,1,0)</f>
        <v>0</v>
      </c>
      <c r="S487" s="3" t="n">
        <f aca="false">IF(AND(F487="Free",G487=""),1,0)</f>
        <v>0</v>
      </c>
      <c r="T487" s="3" t="n">
        <f aca="false">IF(LEN(TRIM(K487))&lt;15,1,0)</f>
        <v>1</v>
      </c>
      <c r="U487" s="3" t="n">
        <f aca="false">IF(COUNTIF($E$2:$E$801,E487)&gt;1,1,0)</f>
        <v>1</v>
      </c>
      <c r="V487" s="3" t="n">
        <f aca="false">Q487*'Spam Rules'!$H$6+R487*'Spam Rules'!$H$7+S487*'Spam Rules'!$H$8+T487*'Spam Rules'!$H$9+U487*'Spam Rules'!$H$10</f>
        <v>1</v>
      </c>
      <c r="W487" s="3" t="str">
        <f aca="false">IF(V487&gt;='Spam Rules'!$B$3,"Likely Spam","Genuine")</f>
        <v>Likely Spam</v>
      </c>
      <c r="X487" s="3" t="n">
        <f aca="false">IFERROR(INDEX('Scoring Model'!$B$5:$B$11,MATCH(C487,'Scoring Model'!$A$5:$A$11,0)),0)</f>
        <v>10</v>
      </c>
      <c r="Y487" s="3" t="n">
        <f aca="false">IFERROR(INDEX('Scoring Model'!$E$5:$E$7,MATCH(F487,'Scoring Model'!$D$5:$D$7,0)),0)</f>
        <v>20</v>
      </c>
      <c r="Z487" s="3" t="n">
        <f aca="false">IFERROR(INDEX('Scoring Model'!$H$5:$H$13,MATCH(J487,'Scoring Model'!$G$5:$G$13,0)),0)</f>
        <v>0</v>
      </c>
      <c r="AA487" s="3" t="n">
        <f aca="false">IF(L487&gt;='Scoring Model'!$B$14,'Scoring Model'!$B$15,IF(L487&gt;='Scoring Model'!$B$16,'Scoring Model'!$B$17,0))</f>
        <v>0</v>
      </c>
      <c r="AB487" s="3" t="n">
        <f aca="false">IF(SUMPRODUCT(--ISNUMBER(SEARCH('Scoring Model'!$D$16:$D$25,K487)))&gt;0,'Scoring Model'!$B$18,0)</f>
        <v>0</v>
      </c>
      <c r="AC487" s="3" t="n">
        <f aca="false">IF(SUMPRODUCT(--ISNUMBER(SEARCH('Scoring Model'!$G$16:$G$23,K487)))&gt;0,'Scoring Model'!$B$19,0)</f>
        <v>0</v>
      </c>
      <c r="AD487" s="3" t="str">
        <f aca="false">IF(W487="Likely Spam","",SUM(X487:AC487))</f>
        <v/>
      </c>
      <c r="AE487" s="3" t="str">
        <f aca="false">IF(W487="Likely Spam","Spam",IF(AD487&gt;='Scoring Model'!$B$21,"Hot",IF(AD487&gt;='Scoring Model'!$B$22,"Warm","Nurture")))</f>
        <v>Spam</v>
      </c>
      <c r="AF487" s="3" t="str">
        <f aca="false">IF(W487="Likely Spam","Flagged by spam rules",TRIM(IF(X487&gt;=20,"Strong source. ","")&amp;IF(Y487&gt;0,"Company email. ","")&amp;IF(Z487&gt;=15,"High-value product. ","")&amp;IF(AA487&gt;='Scoring Model'!$B$15,"High engagement. ","")&amp;IF(AB487&gt;0,"Buying intent in message. ","")&amp;IF(AC487&lt;0,"Negative intent in message. ","")))</f>
        <v>Flagged by spam rules</v>
      </c>
      <c r="AG487" s="11" t="str">
        <f aca="false">IF(W487="Likely Spam","",1/(1+EXP(-('Conversion Model'!$B$5+IFERROR(INDEX('Conversion Model'!$B$8:$B$14,MATCH(C487,'Conversion Model'!$A$8:$A$14,0)),0)+IFERROR(INDEX('Conversion Model'!$E$8:$E$9,MATCH(F487,'Conversion Model'!$D$8:$D$9,0)),0)+IFERROR(INDEX('Conversion Model'!$H$8:$H$12,MATCH(IF(LEFT(J487,8)="Payments","Payments",IF(LEFT(J487,7)="Lending","Lending",J487)),'Conversion Model'!$G$8:$G$12,0)),0)+MIN(L487,15)*'Conversion Model'!$B$17+IF(SUMPRODUCT(--ISNUMBER(SEARCH('Scoring Model'!$D$16:$D$25,K487)))&gt;0,'Conversion Model'!$B$18,0)+IF(SUMPRODUCT(--ISNUMBER(SEARCH('Scoring Model'!$G$16:$G$23,K487)))&gt;0,'Conversion Model'!$B$19,0)))))</f>
        <v/>
      </c>
      <c r="AH487" s="3" t="str">
        <f aca="false">IF(OR(O487="Qualified",O487="Won",O487="Lost"),1,IF(O487="Unqualified",0,""))</f>
        <v/>
      </c>
    </row>
    <row r="488" customFormat="false" ht="15" hidden="false" customHeight="true" outlineLevel="0" collapsed="false">
      <c r="A488" s="3" t="s">
        <v>1779</v>
      </c>
      <c r="B488" s="9" t="n">
        <v>46157.3548611111</v>
      </c>
      <c r="C488" s="3" t="s">
        <v>128</v>
      </c>
      <c r="D488" s="3" t="s">
        <v>1366</v>
      </c>
      <c r="E488" s="3" t="s">
        <v>1780</v>
      </c>
      <c r="F488" s="3" t="s">
        <v>22</v>
      </c>
      <c r="G488" s="3" t="s">
        <v>343</v>
      </c>
      <c r="H488" s="3" t="s">
        <v>344</v>
      </c>
      <c r="I488" s="3" t="s">
        <v>227</v>
      </c>
      <c r="J488" s="3" t="s">
        <v>108</v>
      </c>
      <c r="K488" s="3" t="s">
        <v>189</v>
      </c>
      <c r="L488" s="3" t="n">
        <v>3</v>
      </c>
      <c r="M488" s="3" t="n">
        <v>3.1</v>
      </c>
      <c r="N488" s="3" t="s">
        <v>96</v>
      </c>
      <c r="O488" s="3" t="s">
        <v>331</v>
      </c>
      <c r="P488" s="10"/>
      <c r="Q488" s="3" t="n">
        <f aca="false">IF(F488="Disposable",1,0)</f>
        <v>0</v>
      </c>
      <c r="R488" s="3" t="n">
        <f aca="false">IF(SUMPRODUCT(--ISNUMBER(SEARCH('Spam Rules'!$A$22:$A$35,K488)))&gt;0,1,0)</f>
        <v>0</v>
      </c>
      <c r="S488" s="3" t="n">
        <f aca="false">IF(AND(F488="Free",G488=""),1,0)</f>
        <v>0</v>
      </c>
      <c r="T488" s="3" t="n">
        <f aca="false">IF(LEN(TRIM(K488))&lt;15,1,0)</f>
        <v>0</v>
      </c>
      <c r="U488" s="3" t="n">
        <f aca="false">IF(COUNTIF($E$2:$E$801,E488)&gt;1,1,0)</f>
        <v>0</v>
      </c>
      <c r="V488" s="3" t="n">
        <f aca="false">Q488*'Spam Rules'!$H$6+R488*'Spam Rules'!$H$7+S488*'Spam Rules'!$H$8+T488*'Spam Rules'!$H$9+U488*'Spam Rules'!$H$10</f>
        <v>0</v>
      </c>
      <c r="W488" s="3" t="str">
        <f aca="false">IF(V488&gt;='Spam Rules'!$B$3,"Likely Spam","Genuine")</f>
        <v>Genuine</v>
      </c>
      <c r="X488" s="3" t="n">
        <f aca="false">IFERROR(INDEX('Scoring Model'!$B$5:$B$11,MATCH(C488,'Scoring Model'!$A$5:$A$11,0)),0)</f>
        <v>30</v>
      </c>
      <c r="Y488" s="3" t="n">
        <f aca="false">IFERROR(INDEX('Scoring Model'!$E$5:$E$7,MATCH(F488,'Scoring Model'!$D$5:$D$7,0)),0)</f>
        <v>20</v>
      </c>
      <c r="Z488" s="3" t="n">
        <f aca="false">IFERROR(INDEX('Scoring Model'!$H$5:$H$13,MATCH(J488,'Scoring Model'!$G$5:$G$13,0)),0)</f>
        <v>15</v>
      </c>
      <c r="AA488" s="3" t="n">
        <f aca="false">IF(L488&gt;='Scoring Model'!$B$14,'Scoring Model'!$B$15,IF(L488&gt;='Scoring Model'!$B$16,'Scoring Model'!$B$17,0))</f>
        <v>0</v>
      </c>
      <c r="AB488" s="3" t="n">
        <f aca="false">IF(SUMPRODUCT(--ISNUMBER(SEARCH('Scoring Model'!$D$16:$D$25,K488)))&gt;0,'Scoring Model'!$B$18,0)</f>
        <v>15</v>
      </c>
      <c r="AC488" s="3" t="n">
        <f aca="false">IF(SUMPRODUCT(--ISNUMBER(SEARCH('Scoring Model'!$G$16:$G$23,K488)))&gt;0,'Scoring Model'!$B$19,0)</f>
        <v>0</v>
      </c>
      <c r="AD488" s="3" t="n">
        <f aca="false">IF(W488="Likely Spam","",SUM(X488:AC488))</f>
        <v>80</v>
      </c>
      <c r="AE488" s="3" t="str">
        <f aca="false">IF(W488="Likely Spam","Spam",IF(AD488&gt;='Scoring Model'!$B$21,"Hot",IF(AD488&gt;='Scoring Model'!$B$22,"Warm","Nurture")))</f>
        <v>Hot</v>
      </c>
      <c r="AF488" s="3" t="str">
        <f aca="false">IF(W488="Likely Spam","Flagged by spam rules",TRIM(IF(X488&gt;=20,"Strong source. ","")&amp;IF(Y488&gt;0,"Company email. ","")&amp;IF(Z488&gt;=15,"High-value product. ","")&amp;IF(AA488&gt;='Scoring Model'!$B$15,"High engagement. ","")&amp;IF(AB488&gt;0,"Buying intent in message. ","")&amp;IF(AC488&lt;0,"Negative intent in message. ","")))</f>
        <v>Strong source. Company email. High-value product. Buying intent in message.</v>
      </c>
      <c r="AG488" s="11" t="n">
        <f aca="false">IF(W488="Likely Spam","",1/(1+EXP(-('Conversion Model'!$B$5+IFERROR(INDEX('Conversion Model'!$B$8:$B$14,MATCH(C488,'Conversion Model'!$A$8:$A$14,0)),0)+IFERROR(INDEX('Conversion Model'!$E$8:$E$9,MATCH(F488,'Conversion Model'!$D$8:$D$9,0)),0)+IFERROR(INDEX('Conversion Model'!$H$8:$H$12,MATCH(IF(LEFT(J488,8)="Payments","Payments",IF(LEFT(J488,7)="Lending","Lending",J488)),'Conversion Model'!$G$8:$G$12,0)),0)+MIN(L488,15)*'Conversion Model'!$B$17+IF(SUMPRODUCT(--ISNUMBER(SEARCH('Scoring Model'!$D$16:$D$25,K488)))&gt;0,'Conversion Model'!$B$18,0)+IF(SUMPRODUCT(--ISNUMBER(SEARCH('Scoring Model'!$G$16:$G$23,K488)))&gt;0,'Conversion Model'!$B$19,0)))))</f>
        <v>0.593149336128624</v>
      </c>
      <c r="AH488" s="3" t="n">
        <f aca="false">IF(OR(O488="Qualified",O488="Won",O488="Lost"),1,IF(O488="Unqualified",0,""))</f>
        <v>1</v>
      </c>
    </row>
    <row r="489" customFormat="false" ht="15" hidden="false" customHeight="true" outlineLevel="0" collapsed="false">
      <c r="A489" s="3" t="s">
        <v>1781</v>
      </c>
      <c r="B489" s="9" t="n">
        <v>46158.4423611111</v>
      </c>
      <c r="C489" s="3" t="s">
        <v>51</v>
      </c>
      <c r="D489" s="3" t="s">
        <v>1436</v>
      </c>
      <c r="E489" s="3" t="s">
        <v>1526</v>
      </c>
      <c r="F489" s="3" t="s">
        <v>54</v>
      </c>
      <c r="G489" s="3" t="s">
        <v>79</v>
      </c>
      <c r="H489" s="3"/>
      <c r="I489" s="3" t="s">
        <v>188</v>
      </c>
      <c r="J489" s="3" t="s">
        <v>122</v>
      </c>
      <c r="K489" s="3" t="s">
        <v>89</v>
      </c>
      <c r="L489" s="3" t="n">
        <v>1</v>
      </c>
      <c r="M489" s="3"/>
      <c r="N489" s="3" t="s">
        <v>96</v>
      </c>
      <c r="O489" s="3"/>
      <c r="P489" s="10"/>
      <c r="Q489" s="3" t="n">
        <f aca="false">IF(F489="Disposable",1,0)</f>
        <v>0</v>
      </c>
      <c r="R489" s="3" t="n">
        <f aca="false">IF(SUMPRODUCT(--ISNUMBER(SEARCH('Spam Rules'!$A$22:$A$35,K489)))&gt;0,1,0)</f>
        <v>1</v>
      </c>
      <c r="S489" s="3" t="n">
        <f aca="false">IF(AND(F489="Free",G489=""),1,0)</f>
        <v>0</v>
      </c>
      <c r="T489" s="3" t="n">
        <f aca="false">IF(LEN(TRIM(K489))&lt;15,1,0)</f>
        <v>0</v>
      </c>
      <c r="U489" s="3" t="n">
        <f aca="false">IF(COUNTIF($E$2:$E$801,E489)&gt;1,1,0)</f>
        <v>1</v>
      </c>
      <c r="V489" s="3" t="n">
        <f aca="false">Q489*'Spam Rules'!$H$6+R489*'Spam Rules'!$H$7+S489*'Spam Rules'!$H$8+T489*'Spam Rules'!$H$9+U489*'Spam Rules'!$H$10</f>
        <v>1</v>
      </c>
      <c r="W489" s="3" t="str">
        <f aca="false">IF(V489&gt;='Spam Rules'!$B$3,"Likely Spam","Genuine")</f>
        <v>Likely Spam</v>
      </c>
      <c r="X489" s="3" t="n">
        <f aca="false">IFERROR(INDEX('Scoring Model'!$B$5:$B$11,MATCH(C489,'Scoring Model'!$A$5:$A$11,0)),0)</f>
        <v>10</v>
      </c>
      <c r="Y489" s="3" t="n">
        <f aca="false">IFERROR(INDEX('Scoring Model'!$E$5:$E$7,MATCH(F489,'Scoring Model'!$D$5:$D$7,0)),0)</f>
        <v>0</v>
      </c>
      <c r="Z489" s="3" t="n">
        <f aca="false">IFERROR(INDEX('Scoring Model'!$H$5:$H$13,MATCH(J489,'Scoring Model'!$G$5:$G$13,0)),0)</f>
        <v>15</v>
      </c>
      <c r="AA489" s="3" t="n">
        <f aca="false">IF(L489&gt;='Scoring Model'!$B$14,'Scoring Model'!$B$15,IF(L489&gt;='Scoring Model'!$B$16,'Scoring Model'!$B$17,0))</f>
        <v>0</v>
      </c>
      <c r="AB489" s="3" t="n">
        <f aca="false">IF(SUMPRODUCT(--ISNUMBER(SEARCH('Scoring Model'!$D$16:$D$25,K489)))&gt;0,'Scoring Model'!$B$18,0)</f>
        <v>0</v>
      </c>
      <c r="AC489" s="3" t="n">
        <f aca="false">IF(SUMPRODUCT(--ISNUMBER(SEARCH('Scoring Model'!$G$16:$G$23,K489)))&gt;0,'Scoring Model'!$B$19,0)</f>
        <v>0</v>
      </c>
      <c r="AD489" s="3" t="str">
        <f aca="false">IF(W489="Likely Spam","",SUM(X489:AC489))</f>
        <v/>
      </c>
      <c r="AE489" s="3" t="str">
        <f aca="false">IF(W489="Likely Spam","Spam",IF(AD489&gt;='Scoring Model'!$B$21,"Hot",IF(AD489&gt;='Scoring Model'!$B$22,"Warm","Nurture")))</f>
        <v>Spam</v>
      </c>
      <c r="AF489" s="3" t="str">
        <f aca="false">IF(W489="Likely Spam","Flagged by spam rules",TRIM(IF(X489&gt;=20,"Strong source. ","")&amp;IF(Y489&gt;0,"Company email. ","")&amp;IF(Z489&gt;=15,"High-value product. ","")&amp;IF(AA489&gt;='Scoring Model'!$B$15,"High engagement. ","")&amp;IF(AB489&gt;0,"Buying intent in message. ","")&amp;IF(AC489&lt;0,"Negative intent in message. ","")))</f>
        <v>Flagged by spam rules</v>
      </c>
      <c r="AG489" s="11" t="str">
        <f aca="false">IF(W489="Likely Spam","",1/(1+EXP(-('Conversion Model'!$B$5+IFERROR(INDEX('Conversion Model'!$B$8:$B$14,MATCH(C489,'Conversion Model'!$A$8:$A$14,0)),0)+IFERROR(INDEX('Conversion Model'!$E$8:$E$9,MATCH(F489,'Conversion Model'!$D$8:$D$9,0)),0)+IFERROR(INDEX('Conversion Model'!$H$8:$H$12,MATCH(IF(LEFT(J489,8)="Payments","Payments",IF(LEFT(J489,7)="Lending","Lending",J489)),'Conversion Model'!$G$8:$G$12,0)),0)+MIN(L489,15)*'Conversion Model'!$B$17+IF(SUMPRODUCT(--ISNUMBER(SEARCH('Scoring Model'!$D$16:$D$25,K489)))&gt;0,'Conversion Model'!$B$18,0)+IF(SUMPRODUCT(--ISNUMBER(SEARCH('Scoring Model'!$G$16:$G$23,K489)))&gt;0,'Conversion Model'!$B$19,0)))))</f>
        <v/>
      </c>
      <c r="AH489" s="3" t="str">
        <f aca="false">IF(OR(O489="Qualified",O489="Won",O489="Lost"),1,IF(O489="Unqualified",0,""))</f>
        <v/>
      </c>
    </row>
    <row r="490" customFormat="false" ht="15" hidden="false" customHeight="true" outlineLevel="0" collapsed="false">
      <c r="A490" s="3" t="s">
        <v>1782</v>
      </c>
      <c r="B490" s="9" t="n">
        <v>46158.4784722222</v>
      </c>
      <c r="C490" s="3" t="s">
        <v>91</v>
      </c>
      <c r="D490" s="3" t="s">
        <v>1783</v>
      </c>
      <c r="E490" s="3" t="s">
        <v>1784</v>
      </c>
      <c r="F490" s="3" t="s">
        <v>54</v>
      </c>
      <c r="G490" s="3"/>
      <c r="H490" s="3"/>
      <c r="I490" s="3" t="s">
        <v>188</v>
      </c>
      <c r="J490" s="3" t="s">
        <v>122</v>
      </c>
      <c r="K490" s="3" t="s">
        <v>74</v>
      </c>
      <c r="L490" s="3" t="n">
        <v>1</v>
      </c>
      <c r="M490" s="3" t="n">
        <v>24.8</v>
      </c>
      <c r="N490" s="3" t="s">
        <v>67</v>
      </c>
      <c r="O490" s="3"/>
      <c r="P490" s="10"/>
      <c r="Q490" s="3" t="n">
        <f aca="false">IF(F490="Disposable",1,0)</f>
        <v>0</v>
      </c>
      <c r="R490" s="3" t="n">
        <f aca="false">IF(SUMPRODUCT(--ISNUMBER(SEARCH('Spam Rules'!$A$22:$A$35,K490)))&gt;0,1,0)</f>
        <v>0</v>
      </c>
      <c r="S490" s="3" t="n">
        <f aca="false">IF(AND(F490="Free",G490=""),1,0)</f>
        <v>1</v>
      </c>
      <c r="T490" s="3" t="n">
        <f aca="false">IF(LEN(TRIM(K490))&lt;15,1,0)</f>
        <v>0</v>
      </c>
      <c r="U490" s="3" t="n">
        <f aca="false">IF(COUNTIF($E$2:$E$801,E490)&gt;1,1,0)</f>
        <v>0</v>
      </c>
      <c r="V490" s="3" t="n">
        <f aca="false">Q490*'Spam Rules'!$H$6+R490*'Spam Rules'!$H$7+S490*'Spam Rules'!$H$8+T490*'Spam Rules'!$H$9+U490*'Spam Rules'!$H$10</f>
        <v>0</v>
      </c>
      <c r="W490" s="3" t="str">
        <f aca="false">IF(V490&gt;='Spam Rules'!$B$3,"Likely Spam","Genuine")</f>
        <v>Genuine</v>
      </c>
      <c r="X490" s="3" t="n">
        <f aca="false">IFERROR(INDEX('Scoring Model'!$B$5:$B$11,MATCH(C490,'Scoring Model'!$A$5:$A$11,0)),0)</f>
        <v>5</v>
      </c>
      <c r="Y490" s="3" t="n">
        <f aca="false">IFERROR(INDEX('Scoring Model'!$E$5:$E$7,MATCH(F490,'Scoring Model'!$D$5:$D$7,0)),0)</f>
        <v>0</v>
      </c>
      <c r="Z490" s="3" t="n">
        <f aca="false">IFERROR(INDEX('Scoring Model'!$H$5:$H$13,MATCH(J490,'Scoring Model'!$G$5:$G$13,0)),0)</f>
        <v>15</v>
      </c>
      <c r="AA490" s="3" t="n">
        <f aca="false">IF(L490&gt;='Scoring Model'!$B$14,'Scoring Model'!$B$15,IF(L490&gt;='Scoring Model'!$B$16,'Scoring Model'!$B$17,0))</f>
        <v>0</v>
      </c>
      <c r="AB490" s="3" t="n">
        <f aca="false">IF(SUMPRODUCT(--ISNUMBER(SEARCH('Scoring Model'!$D$16:$D$25,K490)))&gt;0,'Scoring Model'!$B$18,0)</f>
        <v>0</v>
      </c>
      <c r="AC490" s="3" t="n">
        <f aca="false">IF(SUMPRODUCT(--ISNUMBER(SEARCH('Scoring Model'!$G$16:$G$23,K490)))&gt;0,'Scoring Model'!$B$19,0)</f>
        <v>-30</v>
      </c>
      <c r="AD490" s="3" t="n">
        <f aca="false">IF(W490="Likely Spam","",SUM(X490:AC490))</f>
        <v>-10</v>
      </c>
      <c r="AE490" s="3" t="str">
        <f aca="false">IF(W490="Likely Spam","Spam",IF(AD490&gt;='Scoring Model'!$B$21,"Hot",IF(AD490&gt;='Scoring Model'!$B$22,"Warm","Nurture")))</f>
        <v>Nurture</v>
      </c>
      <c r="AF490" s="3" t="str">
        <f aca="false">IF(W490="Likely Spam","Flagged by spam rules",TRIM(IF(X490&gt;=20,"Strong source. ","")&amp;IF(Y490&gt;0,"Company email. ","")&amp;IF(Z490&gt;=15,"High-value product. ","")&amp;IF(AA490&gt;='Scoring Model'!$B$15,"High engagement. ","")&amp;IF(AB490&gt;0,"Buying intent in message. ","")&amp;IF(AC490&lt;0,"Negative intent in message. ","")))</f>
        <v>High-value product. Negative intent in message.</v>
      </c>
      <c r="AG490" s="11" t="n">
        <f aca="false">IF(W490="Likely Spam","",1/(1+EXP(-('Conversion Model'!$B$5+IFERROR(INDEX('Conversion Model'!$B$8:$B$14,MATCH(C490,'Conversion Model'!$A$8:$A$14,0)),0)+IFERROR(INDEX('Conversion Model'!$E$8:$E$9,MATCH(F490,'Conversion Model'!$D$8:$D$9,0)),0)+IFERROR(INDEX('Conversion Model'!$H$8:$H$12,MATCH(IF(LEFT(J490,8)="Payments","Payments",IF(LEFT(J490,7)="Lending","Lending",J490)),'Conversion Model'!$G$8:$G$12,0)),0)+MIN(L490,15)*'Conversion Model'!$B$17+IF(SUMPRODUCT(--ISNUMBER(SEARCH('Scoring Model'!$D$16:$D$25,K490)))&gt;0,'Conversion Model'!$B$18,0)+IF(SUMPRODUCT(--ISNUMBER(SEARCH('Scoring Model'!$G$16:$G$23,K490)))&gt;0,'Conversion Model'!$B$19,0)))))</f>
        <v>0.000804085935629235</v>
      </c>
      <c r="AH490" s="3" t="str">
        <f aca="false">IF(OR(O490="Qualified",O490="Won",O490="Lost"),1,IF(O490="Unqualified",0,""))</f>
        <v/>
      </c>
    </row>
    <row r="491" customFormat="false" ht="15" hidden="false" customHeight="true" outlineLevel="0" collapsed="false">
      <c r="A491" s="3" t="s">
        <v>1785</v>
      </c>
      <c r="B491" s="9" t="n">
        <v>46158.8305555556</v>
      </c>
      <c r="C491" s="3" t="s">
        <v>51</v>
      </c>
      <c r="D491" s="3" t="s">
        <v>1786</v>
      </c>
      <c r="E491" s="3" t="s">
        <v>1787</v>
      </c>
      <c r="F491" s="3" t="s">
        <v>22</v>
      </c>
      <c r="G491" s="3" t="s">
        <v>237</v>
      </c>
      <c r="H491" s="3" t="s">
        <v>238</v>
      </c>
      <c r="I491" s="3" t="s">
        <v>139</v>
      </c>
      <c r="J491" s="3" t="s">
        <v>81</v>
      </c>
      <c r="K491" s="3" t="s">
        <v>89</v>
      </c>
      <c r="L491" s="3" t="n">
        <v>2</v>
      </c>
      <c r="M491" s="3"/>
      <c r="N491" s="3" t="s">
        <v>67</v>
      </c>
      <c r="O491" s="3" t="s">
        <v>68</v>
      </c>
      <c r="P491" s="10"/>
      <c r="Q491" s="3" t="n">
        <f aca="false">IF(F491="Disposable",1,0)</f>
        <v>0</v>
      </c>
      <c r="R491" s="3" t="n">
        <f aca="false">IF(SUMPRODUCT(--ISNUMBER(SEARCH('Spam Rules'!$A$22:$A$35,K491)))&gt;0,1,0)</f>
        <v>1</v>
      </c>
      <c r="S491" s="3" t="n">
        <f aca="false">IF(AND(F491="Free",G491=""),1,0)</f>
        <v>0</v>
      </c>
      <c r="T491" s="3" t="n">
        <f aca="false">IF(LEN(TRIM(K491))&lt;15,1,0)</f>
        <v>0</v>
      </c>
      <c r="U491" s="3" t="n">
        <f aca="false">IF(COUNTIF($E$2:$E$801,E491)&gt;1,1,0)</f>
        <v>0</v>
      </c>
      <c r="V491" s="3" t="n">
        <f aca="false">Q491*'Spam Rules'!$H$6+R491*'Spam Rules'!$H$7+S491*'Spam Rules'!$H$8+T491*'Spam Rules'!$H$9+U491*'Spam Rules'!$H$10</f>
        <v>1</v>
      </c>
      <c r="W491" s="3" t="str">
        <f aca="false">IF(V491&gt;='Spam Rules'!$B$3,"Likely Spam","Genuine")</f>
        <v>Likely Spam</v>
      </c>
      <c r="X491" s="3" t="n">
        <f aca="false">IFERROR(INDEX('Scoring Model'!$B$5:$B$11,MATCH(C491,'Scoring Model'!$A$5:$A$11,0)),0)</f>
        <v>10</v>
      </c>
      <c r="Y491" s="3" t="n">
        <f aca="false">IFERROR(INDEX('Scoring Model'!$E$5:$E$7,MATCH(F491,'Scoring Model'!$D$5:$D$7,0)),0)</f>
        <v>20</v>
      </c>
      <c r="Z491" s="3" t="n">
        <f aca="false">IFERROR(INDEX('Scoring Model'!$H$5:$H$13,MATCH(J491,'Scoring Model'!$G$5:$G$13,0)),0)</f>
        <v>5</v>
      </c>
      <c r="AA491" s="3" t="n">
        <f aca="false">IF(L491&gt;='Scoring Model'!$B$14,'Scoring Model'!$B$15,IF(L491&gt;='Scoring Model'!$B$16,'Scoring Model'!$B$17,0))</f>
        <v>0</v>
      </c>
      <c r="AB491" s="3" t="n">
        <f aca="false">IF(SUMPRODUCT(--ISNUMBER(SEARCH('Scoring Model'!$D$16:$D$25,K491)))&gt;0,'Scoring Model'!$B$18,0)</f>
        <v>0</v>
      </c>
      <c r="AC491" s="3" t="n">
        <f aca="false">IF(SUMPRODUCT(--ISNUMBER(SEARCH('Scoring Model'!$G$16:$G$23,K491)))&gt;0,'Scoring Model'!$B$19,0)</f>
        <v>0</v>
      </c>
      <c r="AD491" s="3" t="str">
        <f aca="false">IF(W491="Likely Spam","",SUM(X491:AC491))</f>
        <v/>
      </c>
      <c r="AE491" s="3" t="str">
        <f aca="false">IF(W491="Likely Spam","Spam",IF(AD491&gt;='Scoring Model'!$B$21,"Hot",IF(AD491&gt;='Scoring Model'!$B$22,"Warm","Nurture")))</f>
        <v>Spam</v>
      </c>
      <c r="AF491" s="3" t="str">
        <f aca="false">IF(W491="Likely Spam","Flagged by spam rules",TRIM(IF(X491&gt;=20,"Strong source. ","")&amp;IF(Y491&gt;0,"Company email. ","")&amp;IF(Z491&gt;=15,"High-value product. ","")&amp;IF(AA491&gt;='Scoring Model'!$B$15,"High engagement. ","")&amp;IF(AB491&gt;0,"Buying intent in message. ","")&amp;IF(AC491&lt;0,"Negative intent in message. ","")))</f>
        <v>Flagged by spam rules</v>
      </c>
      <c r="AG491" s="11" t="str">
        <f aca="false">IF(W491="Likely Spam","",1/(1+EXP(-('Conversion Model'!$B$5+IFERROR(INDEX('Conversion Model'!$B$8:$B$14,MATCH(C491,'Conversion Model'!$A$8:$A$14,0)),0)+IFERROR(INDEX('Conversion Model'!$E$8:$E$9,MATCH(F491,'Conversion Model'!$D$8:$D$9,0)),0)+IFERROR(INDEX('Conversion Model'!$H$8:$H$12,MATCH(IF(LEFT(J491,8)="Payments","Payments",IF(LEFT(J491,7)="Lending","Lending",J491)),'Conversion Model'!$G$8:$G$12,0)),0)+MIN(L491,15)*'Conversion Model'!$B$17+IF(SUMPRODUCT(--ISNUMBER(SEARCH('Scoring Model'!$D$16:$D$25,K491)))&gt;0,'Conversion Model'!$B$18,0)+IF(SUMPRODUCT(--ISNUMBER(SEARCH('Scoring Model'!$G$16:$G$23,K491)))&gt;0,'Conversion Model'!$B$19,0)))))</f>
        <v/>
      </c>
      <c r="AH491" s="3" t="str">
        <f aca="false">IF(OR(O491="Qualified",O491="Won",O491="Lost"),1,IF(O491="Unqualified",0,""))</f>
        <v/>
      </c>
    </row>
    <row r="492" customFormat="false" ht="15" hidden="false" customHeight="true" outlineLevel="0" collapsed="false">
      <c r="A492" s="3" t="s">
        <v>1788</v>
      </c>
      <c r="B492" s="9" t="n">
        <v>46158.8805555556</v>
      </c>
      <c r="C492" s="3" t="s">
        <v>91</v>
      </c>
      <c r="D492" s="3" t="s">
        <v>1789</v>
      </c>
      <c r="E492" s="3" t="s">
        <v>1790</v>
      </c>
      <c r="F492" s="3" t="s">
        <v>54</v>
      </c>
      <c r="G492" s="3"/>
      <c r="H492" s="3"/>
      <c r="I492" s="3" t="s">
        <v>94</v>
      </c>
      <c r="J492" s="3" t="s">
        <v>81</v>
      </c>
      <c r="K492" s="3" t="s">
        <v>378</v>
      </c>
      <c r="L492" s="3" t="n">
        <v>4</v>
      </c>
      <c r="M492" s="3" t="n">
        <v>24</v>
      </c>
      <c r="N492" s="3" t="s">
        <v>171</v>
      </c>
      <c r="O492" s="3" t="s">
        <v>194</v>
      </c>
      <c r="P492" s="10"/>
      <c r="Q492" s="3" t="n">
        <f aca="false">IF(F492="Disposable",1,0)</f>
        <v>0</v>
      </c>
      <c r="R492" s="3" t="n">
        <f aca="false">IF(SUMPRODUCT(--ISNUMBER(SEARCH('Spam Rules'!$A$22:$A$35,K492)))&gt;0,1,0)</f>
        <v>0</v>
      </c>
      <c r="S492" s="3" t="n">
        <f aca="false">IF(AND(F492="Free",G492=""),1,0)</f>
        <v>1</v>
      </c>
      <c r="T492" s="3" t="n">
        <f aca="false">IF(LEN(TRIM(K492))&lt;15,1,0)</f>
        <v>0</v>
      </c>
      <c r="U492" s="3" t="n">
        <f aca="false">IF(COUNTIF($E$2:$E$801,E492)&gt;1,1,0)</f>
        <v>0</v>
      </c>
      <c r="V492" s="3" t="n">
        <f aca="false">Q492*'Spam Rules'!$H$6+R492*'Spam Rules'!$H$7+S492*'Spam Rules'!$H$8+T492*'Spam Rules'!$H$9+U492*'Spam Rules'!$H$10</f>
        <v>0</v>
      </c>
      <c r="W492" s="3" t="str">
        <f aca="false">IF(V492&gt;='Spam Rules'!$B$3,"Likely Spam","Genuine")</f>
        <v>Genuine</v>
      </c>
      <c r="X492" s="3" t="n">
        <f aca="false">IFERROR(INDEX('Scoring Model'!$B$5:$B$11,MATCH(C492,'Scoring Model'!$A$5:$A$11,0)),0)</f>
        <v>5</v>
      </c>
      <c r="Y492" s="3" t="n">
        <f aca="false">IFERROR(INDEX('Scoring Model'!$E$5:$E$7,MATCH(F492,'Scoring Model'!$D$5:$D$7,0)),0)</f>
        <v>0</v>
      </c>
      <c r="Z492" s="3" t="n">
        <f aca="false">IFERROR(INDEX('Scoring Model'!$H$5:$H$13,MATCH(J492,'Scoring Model'!$G$5:$G$13,0)),0)</f>
        <v>5</v>
      </c>
      <c r="AA492" s="3" t="n">
        <f aca="false">IF(L492&gt;='Scoring Model'!$B$14,'Scoring Model'!$B$15,IF(L492&gt;='Scoring Model'!$B$16,'Scoring Model'!$B$17,0))</f>
        <v>8</v>
      </c>
      <c r="AB492" s="3" t="n">
        <f aca="false">IF(SUMPRODUCT(--ISNUMBER(SEARCH('Scoring Model'!$D$16:$D$25,K492)))&gt;0,'Scoring Model'!$B$18,0)</f>
        <v>0</v>
      </c>
      <c r="AC492" s="3" t="n">
        <f aca="false">IF(SUMPRODUCT(--ISNUMBER(SEARCH('Scoring Model'!$G$16:$G$23,K492)))&gt;0,'Scoring Model'!$B$19,0)</f>
        <v>-30</v>
      </c>
      <c r="AD492" s="3" t="n">
        <f aca="false">IF(W492="Likely Spam","",SUM(X492:AC492))</f>
        <v>-12</v>
      </c>
      <c r="AE492" s="3" t="str">
        <f aca="false">IF(W492="Likely Spam","Spam",IF(AD492&gt;='Scoring Model'!$B$21,"Hot",IF(AD492&gt;='Scoring Model'!$B$22,"Warm","Nurture")))</f>
        <v>Nurture</v>
      </c>
      <c r="AF492" s="3" t="str">
        <f aca="false">IF(W492="Likely Spam","Flagged by spam rules",TRIM(IF(X492&gt;=20,"Strong source. ","")&amp;IF(Y492&gt;0,"Company email. ","")&amp;IF(Z492&gt;=15,"High-value product. ","")&amp;IF(AA492&gt;='Scoring Model'!$B$15,"High engagement. ","")&amp;IF(AB492&gt;0,"Buying intent in message. ","")&amp;IF(AC492&lt;0,"Negative intent in message. ","")))</f>
        <v>Negative intent in message.</v>
      </c>
      <c r="AG492" s="11" t="n">
        <f aca="false">IF(W492="Likely Spam","",1/(1+EXP(-('Conversion Model'!$B$5+IFERROR(INDEX('Conversion Model'!$B$8:$B$14,MATCH(C492,'Conversion Model'!$A$8:$A$14,0)),0)+IFERROR(INDEX('Conversion Model'!$E$8:$E$9,MATCH(F492,'Conversion Model'!$D$8:$D$9,0)),0)+IFERROR(INDEX('Conversion Model'!$H$8:$H$12,MATCH(IF(LEFT(J492,8)="Payments","Payments",IF(LEFT(J492,7)="Lending","Lending",J492)),'Conversion Model'!$G$8:$G$12,0)),0)+MIN(L492,15)*'Conversion Model'!$B$17+IF(SUMPRODUCT(--ISNUMBER(SEARCH('Scoring Model'!$D$16:$D$25,K492)))&gt;0,'Conversion Model'!$B$18,0)+IF(SUMPRODUCT(--ISNUMBER(SEARCH('Scoring Model'!$G$16:$G$23,K492)))&gt;0,'Conversion Model'!$B$19,0)))))</f>
        <v>0.00602976034533119</v>
      </c>
      <c r="AH492" s="3" t="n">
        <f aca="false">IF(OR(O492="Qualified",O492="Won",O492="Lost"),1,IF(O492="Unqualified",0,""))</f>
        <v>0</v>
      </c>
    </row>
    <row r="493" customFormat="false" ht="15" hidden="false" customHeight="true" outlineLevel="0" collapsed="false">
      <c r="A493" s="3" t="s">
        <v>1791</v>
      </c>
      <c r="B493" s="9" t="n">
        <v>46159.2083333333</v>
      </c>
      <c r="C493" s="3" t="s">
        <v>160</v>
      </c>
      <c r="D493" s="3" t="s">
        <v>792</v>
      </c>
      <c r="E493" s="3" t="s">
        <v>793</v>
      </c>
      <c r="F493" s="3" t="s">
        <v>54</v>
      </c>
      <c r="G493" s="3" t="s">
        <v>1792</v>
      </c>
      <c r="H493" s="3"/>
      <c r="I493" s="3" t="s">
        <v>334</v>
      </c>
      <c r="J493" s="3" t="s">
        <v>65</v>
      </c>
      <c r="K493" s="3" t="s">
        <v>378</v>
      </c>
      <c r="L493" s="3" t="n">
        <v>1</v>
      </c>
      <c r="M493" s="3" t="n">
        <v>3.2</v>
      </c>
      <c r="N493" s="3" t="s">
        <v>96</v>
      </c>
      <c r="O493" s="3" t="s">
        <v>194</v>
      </c>
      <c r="P493" s="10"/>
      <c r="Q493" s="3" t="n">
        <f aca="false">IF(F493="Disposable",1,0)</f>
        <v>0</v>
      </c>
      <c r="R493" s="3" t="n">
        <f aca="false">IF(SUMPRODUCT(--ISNUMBER(SEARCH('Spam Rules'!$A$22:$A$35,K493)))&gt;0,1,0)</f>
        <v>0</v>
      </c>
      <c r="S493" s="3" t="n">
        <f aca="false">IF(AND(F493="Free",G493=""),1,0)</f>
        <v>0</v>
      </c>
      <c r="T493" s="3" t="n">
        <f aca="false">IF(LEN(TRIM(K493))&lt;15,1,0)</f>
        <v>0</v>
      </c>
      <c r="U493" s="3" t="n">
        <f aca="false">IF(COUNTIF($E$2:$E$801,E493)&gt;1,1,0)</f>
        <v>1</v>
      </c>
      <c r="V493" s="3" t="n">
        <f aca="false">Q493*'Spam Rules'!$H$6+R493*'Spam Rules'!$H$7+S493*'Spam Rules'!$H$8+T493*'Spam Rules'!$H$9+U493*'Spam Rules'!$H$10</f>
        <v>0</v>
      </c>
      <c r="W493" s="3" t="str">
        <f aca="false">IF(V493&gt;='Spam Rules'!$B$3,"Likely Spam","Genuine")</f>
        <v>Genuine</v>
      </c>
      <c r="X493" s="3" t="n">
        <f aca="false">IFERROR(INDEX('Scoring Model'!$B$5:$B$11,MATCH(C493,'Scoring Model'!$A$5:$A$11,0)),0)</f>
        <v>25</v>
      </c>
      <c r="Y493" s="3" t="n">
        <f aca="false">IFERROR(INDEX('Scoring Model'!$E$5:$E$7,MATCH(F493,'Scoring Model'!$D$5:$D$7,0)),0)</f>
        <v>0</v>
      </c>
      <c r="Z493" s="3" t="n">
        <f aca="false">IFERROR(INDEX('Scoring Model'!$H$5:$H$13,MATCH(J493,'Scoring Model'!$G$5:$G$13,0)),0)</f>
        <v>0</v>
      </c>
      <c r="AA493" s="3" t="n">
        <f aca="false">IF(L493&gt;='Scoring Model'!$B$14,'Scoring Model'!$B$15,IF(L493&gt;='Scoring Model'!$B$16,'Scoring Model'!$B$17,0))</f>
        <v>0</v>
      </c>
      <c r="AB493" s="3" t="n">
        <f aca="false">IF(SUMPRODUCT(--ISNUMBER(SEARCH('Scoring Model'!$D$16:$D$25,K493)))&gt;0,'Scoring Model'!$B$18,0)</f>
        <v>0</v>
      </c>
      <c r="AC493" s="3" t="n">
        <f aca="false">IF(SUMPRODUCT(--ISNUMBER(SEARCH('Scoring Model'!$G$16:$G$23,K493)))&gt;0,'Scoring Model'!$B$19,0)</f>
        <v>-30</v>
      </c>
      <c r="AD493" s="3" t="n">
        <f aca="false">IF(W493="Likely Spam","",SUM(X493:AC493))</f>
        <v>-5</v>
      </c>
      <c r="AE493" s="3" t="str">
        <f aca="false">IF(W493="Likely Spam","Spam",IF(AD493&gt;='Scoring Model'!$B$21,"Hot",IF(AD493&gt;='Scoring Model'!$B$22,"Warm","Nurture")))</f>
        <v>Nurture</v>
      </c>
      <c r="AF493" s="3" t="str">
        <f aca="false">IF(W493="Likely Spam","Flagged by spam rules",TRIM(IF(X493&gt;=20,"Strong source. ","")&amp;IF(Y493&gt;0,"Company email. ","")&amp;IF(Z493&gt;=15,"High-value product. ","")&amp;IF(AA493&gt;='Scoring Model'!$B$15,"High engagement. ","")&amp;IF(AB493&gt;0,"Buying intent in message. ","")&amp;IF(AC493&lt;0,"Negative intent in message. ","")))</f>
        <v>Strong source. Negative intent in message.</v>
      </c>
      <c r="AG493" s="11" t="n">
        <f aca="false">IF(W493="Likely Spam","",1/(1+EXP(-('Conversion Model'!$B$5+IFERROR(INDEX('Conversion Model'!$B$8:$B$14,MATCH(C493,'Conversion Model'!$A$8:$A$14,0)),0)+IFERROR(INDEX('Conversion Model'!$E$8:$E$9,MATCH(F493,'Conversion Model'!$D$8:$D$9,0)),0)+IFERROR(INDEX('Conversion Model'!$H$8:$H$12,MATCH(IF(LEFT(J493,8)="Payments","Payments",IF(LEFT(J493,7)="Lending","Lending",J493)),'Conversion Model'!$G$8:$G$12,0)),0)+MIN(L493,15)*'Conversion Model'!$B$17+IF(SUMPRODUCT(--ISNUMBER(SEARCH('Scoring Model'!$D$16:$D$25,K493)))&gt;0,'Conversion Model'!$B$18,0)+IF(SUMPRODUCT(--ISNUMBER(SEARCH('Scoring Model'!$G$16:$G$23,K493)))&gt;0,'Conversion Model'!$B$19,0)))))</f>
        <v>0.00155457080607246</v>
      </c>
      <c r="AH493" s="3" t="n">
        <f aca="false">IF(OR(O493="Qualified",O493="Won",O493="Lost"),1,IF(O493="Unqualified",0,""))</f>
        <v>0</v>
      </c>
    </row>
    <row r="494" customFormat="false" ht="15" hidden="false" customHeight="true" outlineLevel="0" collapsed="false">
      <c r="A494" s="3" t="s">
        <v>1793</v>
      </c>
      <c r="B494" s="9" t="n">
        <v>46159.4479166667</v>
      </c>
      <c r="C494" s="3" t="s">
        <v>128</v>
      </c>
      <c r="D494" s="3" t="s">
        <v>70</v>
      </c>
      <c r="E494" s="3" t="s">
        <v>1794</v>
      </c>
      <c r="F494" s="3" t="s">
        <v>22</v>
      </c>
      <c r="G494" s="3" t="s">
        <v>913</v>
      </c>
      <c r="H494" s="3" t="s">
        <v>1795</v>
      </c>
      <c r="I494" s="3" t="s">
        <v>204</v>
      </c>
      <c r="J494" s="3" t="s">
        <v>108</v>
      </c>
      <c r="K494" s="3" t="s">
        <v>1796</v>
      </c>
      <c r="L494" s="3" t="n">
        <v>6</v>
      </c>
      <c r="M494" s="3" t="n">
        <v>19.2</v>
      </c>
      <c r="N494" s="3" t="s">
        <v>67</v>
      </c>
      <c r="O494" s="3" t="s">
        <v>133</v>
      </c>
      <c r="P494" s="10"/>
      <c r="Q494" s="3" t="n">
        <f aca="false">IF(F494="Disposable",1,0)</f>
        <v>0</v>
      </c>
      <c r="R494" s="3" t="n">
        <f aca="false">IF(SUMPRODUCT(--ISNUMBER(SEARCH('Spam Rules'!$A$22:$A$35,K494)))&gt;0,1,0)</f>
        <v>0</v>
      </c>
      <c r="S494" s="3" t="n">
        <f aca="false">IF(AND(F494="Free",G494=""),1,0)</f>
        <v>0</v>
      </c>
      <c r="T494" s="3" t="n">
        <f aca="false">IF(LEN(TRIM(K494))&lt;15,1,0)</f>
        <v>0</v>
      </c>
      <c r="U494" s="3" t="n">
        <f aca="false">IF(COUNTIF($E$2:$E$801,E494)&gt;1,1,0)</f>
        <v>0</v>
      </c>
      <c r="V494" s="3" t="n">
        <f aca="false">Q494*'Spam Rules'!$H$6+R494*'Spam Rules'!$H$7+S494*'Spam Rules'!$H$8+T494*'Spam Rules'!$H$9+U494*'Spam Rules'!$H$10</f>
        <v>0</v>
      </c>
      <c r="W494" s="3" t="str">
        <f aca="false">IF(V494&gt;='Spam Rules'!$B$3,"Likely Spam","Genuine")</f>
        <v>Genuine</v>
      </c>
      <c r="X494" s="3" t="n">
        <f aca="false">IFERROR(INDEX('Scoring Model'!$B$5:$B$11,MATCH(C494,'Scoring Model'!$A$5:$A$11,0)),0)</f>
        <v>30</v>
      </c>
      <c r="Y494" s="3" t="n">
        <f aca="false">IFERROR(INDEX('Scoring Model'!$E$5:$E$7,MATCH(F494,'Scoring Model'!$D$5:$D$7,0)),0)</f>
        <v>20</v>
      </c>
      <c r="Z494" s="3" t="n">
        <f aca="false">IFERROR(INDEX('Scoring Model'!$H$5:$H$13,MATCH(J494,'Scoring Model'!$G$5:$G$13,0)),0)</f>
        <v>15</v>
      </c>
      <c r="AA494" s="3" t="n">
        <f aca="false">IF(L494&gt;='Scoring Model'!$B$14,'Scoring Model'!$B$15,IF(L494&gt;='Scoring Model'!$B$16,'Scoring Model'!$B$17,0))</f>
        <v>8</v>
      </c>
      <c r="AB494" s="3" t="n">
        <f aca="false">IF(SUMPRODUCT(--ISNUMBER(SEARCH('Scoring Model'!$D$16:$D$25,K494)))&gt;0,'Scoring Model'!$B$18,0)</f>
        <v>15</v>
      </c>
      <c r="AC494" s="3" t="n">
        <f aca="false">IF(SUMPRODUCT(--ISNUMBER(SEARCH('Scoring Model'!$G$16:$G$23,K494)))&gt;0,'Scoring Model'!$B$19,0)</f>
        <v>0</v>
      </c>
      <c r="AD494" s="3" t="n">
        <f aca="false">IF(W494="Likely Spam","",SUM(X494:AC494))</f>
        <v>88</v>
      </c>
      <c r="AE494" s="3" t="str">
        <f aca="false">IF(W494="Likely Spam","Spam",IF(AD494&gt;='Scoring Model'!$B$21,"Hot",IF(AD494&gt;='Scoring Model'!$B$22,"Warm","Nurture")))</f>
        <v>Hot</v>
      </c>
      <c r="AF494" s="3" t="str">
        <f aca="false">IF(W494="Likely Spam","Flagged by spam rules",TRIM(IF(X494&gt;=20,"Strong source. ","")&amp;IF(Y494&gt;0,"Company email. ","")&amp;IF(Z494&gt;=15,"High-value product. ","")&amp;IF(AA494&gt;='Scoring Model'!$B$15,"High engagement. ","")&amp;IF(AB494&gt;0,"Buying intent in message. ","")&amp;IF(AC494&lt;0,"Negative intent in message. ","")))</f>
        <v>Strong source. Company email. High-value product. Buying intent in message.</v>
      </c>
      <c r="AG494" s="11" t="n">
        <f aca="false">IF(W494="Likely Spam","",1/(1+EXP(-('Conversion Model'!$B$5+IFERROR(INDEX('Conversion Model'!$B$8:$B$14,MATCH(C494,'Conversion Model'!$A$8:$A$14,0)),0)+IFERROR(INDEX('Conversion Model'!$E$8:$E$9,MATCH(F494,'Conversion Model'!$D$8:$D$9,0)),0)+IFERROR(INDEX('Conversion Model'!$H$8:$H$12,MATCH(IF(LEFT(J494,8)="Payments","Payments",IF(LEFT(J494,7)="Lending","Lending",J494)),'Conversion Model'!$G$8:$G$12,0)),0)+MIN(L494,15)*'Conversion Model'!$B$17+IF(SUMPRODUCT(--ISNUMBER(SEARCH('Scoring Model'!$D$16:$D$25,K494)))&gt;0,'Conversion Model'!$B$18,0)+IF(SUMPRODUCT(--ISNUMBER(SEARCH('Scoring Model'!$G$16:$G$23,K494)))&gt;0,'Conversion Model'!$B$19,0)))))</f>
        <v>0.941750232915189</v>
      </c>
      <c r="AH494" s="3" t="str">
        <f aca="false">IF(OR(O494="Qualified",O494="Won",O494="Lost"),1,IF(O494="Unqualified",0,""))</f>
        <v/>
      </c>
    </row>
    <row r="495" customFormat="false" ht="15" hidden="false" customHeight="true" outlineLevel="0" collapsed="false">
      <c r="A495" s="3" t="s">
        <v>1797</v>
      </c>
      <c r="B495" s="9" t="n">
        <v>46159.5916666667</v>
      </c>
      <c r="C495" s="3" t="s">
        <v>51</v>
      </c>
      <c r="D495" s="3" t="s">
        <v>524</v>
      </c>
      <c r="E495" s="3" t="s">
        <v>1798</v>
      </c>
      <c r="F495" s="3" t="s">
        <v>22</v>
      </c>
      <c r="G495" s="3" t="s">
        <v>79</v>
      </c>
      <c r="H495" s="3" t="s">
        <v>886</v>
      </c>
      <c r="I495" s="3" t="s">
        <v>80</v>
      </c>
      <c r="J495" s="3" t="s">
        <v>122</v>
      </c>
      <c r="K495" s="3" t="s">
        <v>126</v>
      </c>
      <c r="L495" s="3" t="n">
        <v>1</v>
      </c>
      <c r="M495" s="3" t="n">
        <v>28.5</v>
      </c>
      <c r="N495" s="3" t="s">
        <v>67</v>
      </c>
      <c r="O495" s="3" t="s">
        <v>68</v>
      </c>
      <c r="P495" s="10"/>
      <c r="Q495" s="3" t="n">
        <f aca="false">IF(F495="Disposable",1,0)</f>
        <v>0</v>
      </c>
      <c r="R495" s="3" t="n">
        <f aca="false">IF(SUMPRODUCT(--ISNUMBER(SEARCH('Spam Rules'!$A$22:$A$35,K495)))&gt;0,1,0)</f>
        <v>0</v>
      </c>
      <c r="S495" s="3" t="n">
        <f aca="false">IF(AND(F495="Free",G495=""),1,0)</f>
        <v>0</v>
      </c>
      <c r="T495" s="3" t="n">
        <f aca="false">IF(LEN(TRIM(K495))&lt;15,1,0)</f>
        <v>1</v>
      </c>
      <c r="U495" s="3" t="n">
        <f aca="false">IF(COUNTIF($E$2:$E$801,E495)&gt;1,1,0)</f>
        <v>0</v>
      </c>
      <c r="V495" s="3" t="n">
        <f aca="false">Q495*'Spam Rules'!$H$6+R495*'Spam Rules'!$H$7+S495*'Spam Rules'!$H$8+T495*'Spam Rules'!$H$9+U495*'Spam Rules'!$H$10</f>
        <v>1</v>
      </c>
      <c r="W495" s="3" t="str">
        <f aca="false">IF(V495&gt;='Spam Rules'!$B$3,"Likely Spam","Genuine")</f>
        <v>Likely Spam</v>
      </c>
      <c r="X495" s="3" t="n">
        <f aca="false">IFERROR(INDEX('Scoring Model'!$B$5:$B$11,MATCH(C495,'Scoring Model'!$A$5:$A$11,0)),0)</f>
        <v>10</v>
      </c>
      <c r="Y495" s="3" t="n">
        <f aca="false">IFERROR(INDEX('Scoring Model'!$E$5:$E$7,MATCH(F495,'Scoring Model'!$D$5:$D$7,0)),0)</f>
        <v>20</v>
      </c>
      <c r="Z495" s="3" t="n">
        <f aca="false">IFERROR(INDEX('Scoring Model'!$H$5:$H$13,MATCH(J495,'Scoring Model'!$G$5:$G$13,0)),0)</f>
        <v>15</v>
      </c>
      <c r="AA495" s="3" t="n">
        <f aca="false">IF(L495&gt;='Scoring Model'!$B$14,'Scoring Model'!$B$15,IF(L495&gt;='Scoring Model'!$B$16,'Scoring Model'!$B$17,0))</f>
        <v>0</v>
      </c>
      <c r="AB495" s="3" t="n">
        <f aca="false">IF(SUMPRODUCT(--ISNUMBER(SEARCH('Scoring Model'!$D$16:$D$25,K495)))&gt;0,'Scoring Model'!$B$18,0)</f>
        <v>0</v>
      </c>
      <c r="AC495" s="3" t="n">
        <f aca="false">IF(SUMPRODUCT(--ISNUMBER(SEARCH('Scoring Model'!$G$16:$G$23,K495)))&gt;0,'Scoring Model'!$B$19,0)</f>
        <v>0</v>
      </c>
      <c r="AD495" s="3" t="str">
        <f aca="false">IF(W495="Likely Spam","",SUM(X495:AC495))</f>
        <v/>
      </c>
      <c r="AE495" s="3" t="str">
        <f aca="false">IF(W495="Likely Spam","Spam",IF(AD495&gt;='Scoring Model'!$B$21,"Hot",IF(AD495&gt;='Scoring Model'!$B$22,"Warm","Nurture")))</f>
        <v>Spam</v>
      </c>
      <c r="AF495" s="3" t="str">
        <f aca="false">IF(W495="Likely Spam","Flagged by spam rules",TRIM(IF(X495&gt;=20,"Strong source. ","")&amp;IF(Y495&gt;0,"Company email. ","")&amp;IF(Z495&gt;=15,"High-value product. ","")&amp;IF(AA495&gt;='Scoring Model'!$B$15,"High engagement. ","")&amp;IF(AB495&gt;0,"Buying intent in message. ","")&amp;IF(AC495&lt;0,"Negative intent in message. ","")))</f>
        <v>Flagged by spam rules</v>
      </c>
      <c r="AG495" s="11" t="str">
        <f aca="false">IF(W495="Likely Spam","",1/(1+EXP(-('Conversion Model'!$B$5+IFERROR(INDEX('Conversion Model'!$B$8:$B$14,MATCH(C495,'Conversion Model'!$A$8:$A$14,0)),0)+IFERROR(INDEX('Conversion Model'!$E$8:$E$9,MATCH(F495,'Conversion Model'!$D$8:$D$9,0)),0)+IFERROR(INDEX('Conversion Model'!$H$8:$H$12,MATCH(IF(LEFT(J495,8)="Payments","Payments",IF(LEFT(J495,7)="Lending","Lending",J495)),'Conversion Model'!$G$8:$G$12,0)),0)+MIN(L495,15)*'Conversion Model'!$B$17+IF(SUMPRODUCT(--ISNUMBER(SEARCH('Scoring Model'!$D$16:$D$25,K495)))&gt;0,'Conversion Model'!$B$18,0)+IF(SUMPRODUCT(--ISNUMBER(SEARCH('Scoring Model'!$G$16:$G$23,K495)))&gt;0,'Conversion Model'!$B$19,0)))))</f>
        <v/>
      </c>
      <c r="AH495" s="3" t="str">
        <f aca="false">IF(OR(O495="Qualified",O495="Won",O495="Lost"),1,IF(O495="Unqualified",0,""))</f>
        <v/>
      </c>
    </row>
    <row r="496" customFormat="false" ht="15" hidden="false" customHeight="true" outlineLevel="0" collapsed="false">
      <c r="A496" s="3" t="s">
        <v>1799</v>
      </c>
      <c r="B496" s="9" t="n">
        <v>46160.2229166667</v>
      </c>
      <c r="C496" s="3" t="s">
        <v>112</v>
      </c>
      <c r="D496" s="3" t="s">
        <v>703</v>
      </c>
      <c r="E496" s="3" t="s">
        <v>1800</v>
      </c>
      <c r="F496" s="3" t="s">
        <v>22</v>
      </c>
      <c r="G496" s="3" t="s">
        <v>316</v>
      </c>
      <c r="H496" s="3" t="s">
        <v>1505</v>
      </c>
      <c r="I496" s="3" t="s">
        <v>56</v>
      </c>
      <c r="J496" s="3" t="s">
        <v>81</v>
      </c>
      <c r="K496" s="3" t="s">
        <v>213</v>
      </c>
      <c r="L496" s="3" t="n">
        <v>4</v>
      </c>
      <c r="M496" s="3" t="n">
        <v>14.5</v>
      </c>
      <c r="N496" s="3" t="s">
        <v>59</v>
      </c>
      <c r="O496" s="3" t="s">
        <v>194</v>
      </c>
      <c r="P496" s="10"/>
      <c r="Q496" s="3" t="n">
        <f aca="false">IF(F496="Disposable",1,0)</f>
        <v>0</v>
      </c>
      <c r="R496" s="3" t="n">
        <f aca="false">IF(SUMPRODUCT(--ISNUMBER(SEARCH('Spam Rules'!$A$22:$A$35,K496)))&gt;0,1,0)</f>
        <v>0</v>
      </c>
      <c r="S496" s="3" t="n">
        <f aca="false">IF(AND(F496="Free",G496=""),1,0)</f>
        <v>0</v>
      </c>
      <c r="T496" s="3" t="n">
        <f aca="false">IF(LEN(TRIM(K496))&lt;15,1,0)</f>
        <v>0</v>
      </c>
      <c r="U496" s="3" t="n">
        <f aca="false">IF(COUNTIF($E$2:$E$801,E496)&gt;1,1,0)</f>
        <v>0</v>
      </c>
      <c r="V496" s="3" t="n">
        <f aca="false">Q496*'Spam Rules'!$H$6+R496*'Spam Rules'!$H$7+S496*'Spam Rules'!$H$8+T496*'Spam Rules'!$H$9+U496*'Spam Rules'!$H$10</f>
        <v>0</v>
      </c>
      <c r="W496" s="3" t="str">
        <f aca="false">IF(V496&gt;='Spam Rules'!$B$3,"Likely Spam","Genuine")</f>
        <v>Genuine</v>
      </c>
      <c r="X496" s="3" t="n">
        <f aca="false">IFERROR(INDEX('Scoring Model'!$B$5:$B$11,MATCH(C496,'Scoring Model'!$A$5:$A$11,0)),0)</f>
        <v>15</v>
      </c>
      <c r="Y496" s="3" t="n">
        <f aca="false">IFERROR(INDEX('Scoring Model'!$E$5:$E$7,MATCH(F496,'Scoring Model'!$D$5:$D$7,0)),0)</f>
        <v>20</v>
      </c>
      <c r="Z496" s="3" t="n">
        <f aca="false">IFERROR(INDEX('Scoring Model'!$H$5:$H$13,MATCH(J496,'Scoring Model'!$G$5:$G$13,0)),0)</f>
        <v>5</v>
      </c>
      <c r="AA496" s="3" t="n">
        <f aca="false">IF(L496&gt;='Scoring Model'!$B$14,'Scoring Model'!$B$15,IF(L496&gt;='Scoring Model'!$B$16,'Scoring Model'!$B$17,0))</f>
        <v>8</v>
      </c>
      <c r="AB496" s="3" t="n">
        <f aca="false">IF(SUMPRODUCT(--ISNUMBER(SEARCH('Scoring Model'!$D$16:$D$25,K496)))&gt;0,'Scoring Model'!$B$18,0)</f>
        <v>0</v>
      </c>
      <c r="AC496" s="3" t="n">
        <f aca="false">IF(SUMPRODUCT(--ISNUMBER(SEARCH('Scoring Model'!$G$16:$G$23,K496)))&gt;0,'Scoring Model'!$B$19,0)</f>
        <v>-30</v>
      </c>
      <c r="AD496" s="3" t="n">
        <f aca="false">IF(W496="Likely Spam","",SUM(X496:AC496))</f>
        <v>18</v>
      </c>
      <c r="AE496" s="3" t="str">
        <f aca="false">IF(W496="Likely Spam","Spam",IF(AD496&gt;='Scoring Model'!$B$21,"Hot",IF(AD496&gt;='Scoring Model'!$B$22,"Warm","Nurture")))</f>
        <v>Nurture</v>
      </c>
      <c r="AF496" s="3" t="str">
        <f aca="false">IF(W496="Likely Spam","Flagged by spam rules",TRIM(IF(X496&gt;=20,"Strong source. ","")&amp;IF(Y496&gt;0,"Company email. ","")&amp;IF(Z496&gt;=15,"High-value product. ","")&amp;IF(AA496&gt;='Scoring Model'!$B$15,"High engagement. ","")&amp;IF(AB496&gt;0,"Buying intent in message. ","")&amp;IF(AC496&lt;0,"Negative intent in message. ","")))</f>
        <v>Company email. Negative intent in message.</v>
      </c>
      <c r="AG496" s="11" t="n">
        <f aca="false">IF(W496="Likely Spam","",1/(1+EXP(-('Conversion Model'!$B$5+IFERROR(INDEX('Conversion Model'!$B$8:$B$14,MATCH(C496,'Conversion Model'!$A$8:$A$14,0)),0)+IFERROR(INDEX('Conversion Model'!$E$8:$E$9,MATCH(F496,'Conversion Model'!$D$8:$D$9,0)),0)+IFERROR(INDEX('Conversion Model'!$H$8:$H$12,MATCH(IF(LEFT(J496,8)="Payments","Payments",IF(LEFT(J496,7)="Lending","Lending",J496)),'Conversion Model'!$G$8:$G$12,0)),0)+MIN(L496,15)*'Conversion Model'!$B$17+IF(SUMPRODUCT(--ISNUMBER(SEARCH('Scoring Model'!$D$16:$D$25,K496)))&gt;0,'Conversion Model'!$B$18,0)+IF(SUMPRODUCT(--ISNUMBER(SEARCH('Scoring Model'!$G$16:$G$23,K496)))&gt;0,'Conversion Model'!$B$19,0)))))</f>
        <v>0.0202131829806709</v>
      </c>
      <c r="AH496" s="3" t="n">
        <f aca="false">IF(OR(O496="Qualified",O496="Won",O496="Lost"),1,IF(O496="Unqualified",0,""))</f>
        <v>0</v>
      </c>
    </row>
    <row r="497" customFormat="false" ht="15" hidden="false" customHeight="true" outlineLevel="0" collapsed="false">
      <c r="A497" s="3" t="s">
        <v>1801</v>
      </c>
      <c r="B497" s="9" t="n">
        <v>46160.3326388889</v>
      </c>
      <c r="C497" s="3" t="s">
        <v>112</v>
      </c>
      <c r="D497" s="3" t="s">
        <v>482</v>
      </c>
      <c r="E497" s="3" t="s">
        <v>1802</v>
      </c>
      <c r="F497" s="3" t="s">
        <v>22</v>
      </c>
      <c r="G497" s="3" t="s">
        <v>1726</v>
      </c>
      <c r="H497" s="3" t="s">
        <v>1727</v>
      </c>
      <c r="I497" s="3" t="s">
        <v>227</v>
      </c>
      <c r="J497" s="3" t="s">
        <v>57</v>
      </c>
      <c r="K497" s="3" t="s">
        <v>228</v>
      </c>
      <c r="L497" s="3" t="n">
        <v>7</v>
      </c>
      <c r="M497" s="3" t="n">
        <v>26.6</v>
      </c>
      <c r="N497" s="3" t="s">
        <v>67</v>
      </c>
      <c r="O497" s="3" t="s">
        <v>110</v>
      </c>
      <c r="P497" s="10"/>
      <c r="Q497" s="3" t="n">
        <f aca="false">IF(F497="Disposable",1,0)</f>
        <v>0</v>
      </c>
      <c r="R497" s="3" t="n">
        <f aca="false">IF(SUMPRODUCT(--ISNUMBER(SEARCH('Spam Rules'!$A$22:$A$35,K497)))&gt;0,1,0)</f>
        <v>0</v>
      </c>
      <c r="S497" s="3" t="n">
        <f aca="false">IF(AND(F497="Free",G497=""),1,0)</f>
        <v>0</v>
      </c>
      <c r="T497" s="3" t="n">
        <f aca="false">IF(LEN(TRIM(K497))&lt;15,1,0)</f>
        <v>0</v>
      </c>
      <c r="U497" s="3" t="n">
        <f aca="false">IF(COUNTIF($E$2:$E$801,E497)&gt;1,1,0)</f>
        <v>0</v>
      </c>
      <c r="V497" s="3" t="n">
        <f aca="false">Q497*'Spam Rules'!$H$6+R497*'Spam Rules'!$H$7+S497*'Spam Rules'!$H$8+T497*'Spam Rules'!$H$9+U497*'Spam Rules'!$H$10</f>
        <v>0</v>
      </c>
      <c r="W497" s="3" t="str">
        <f aca="false">IF(V497&gt;='Spam Rules'!$B$3,"Likely Spam","Genuine")</f>
        <v>Genuine</v>
      </c>
      <c r="X497" s="3" t="n">
        <f aca="false">IFERROR(INDEX('Scoring Model'!$B$5:$B$11,MATCH(C497,'Scoring Model'!$A$5:$A$11,0)),0)</f>
        <v>15</v>
      </c>
      <c r="Y497" s="3" t="n">
        <f aca="false">IFERROR(INDEX('Scoring Model'!$E$5:$E$7,MATCH(F497,'Scoring Model'!$D$5:$D$7,0)),0)</f>
        <v>20</v>
      </c>
      <c r="Z497" s="3" t="n">
        <f aca="false">IFERROR(INDEX('Scoring Model'!$H$5:$H$13,MATCH(J497,'Scoring Model'!$G$5:$G$13,0)),0)</f>
        <v>15</v>
      </c>
      <c r="AA497" s="3" t="n">
        <f aca="false">IF(L497&gt;='Scoring Model'!$B$14,'Scoring Model'!$B$15,IF(L497&gt;='Scoring Model'!$B$16,'Scoring Model'!$B$17,0))</f>
        <v>8</v>
      </c>
      <c r="AB497" s="3" t="n">
        <f aca="false">IF(SUMPRODUCT(--ISNUMBER(SEARCH('Scoring Model'!$D$16:$D$25,K497)))&gt;0,'Scoring Model'!$B$18,0)</f>
        <v>15</v>
      </c>
      <c r="AC497" s="3" t="n">
        <f aca="false">IF(SUMPRODUCT(--ISNUMBER(SEARCH('Scoring Model'!$G$16:$G$23,K497)))&gt;0,'Scoring Model'!$B$19,0)</f>
        <v>0</v>
      </c>
      <c r="AD497" s="3" t="n">
        <f aca="false">IF(W497="Likely Spam","",SUM(X497:AC497))</f>
        <v>73</v>
      </c>
      <c r="AE497" s="3" t="str">
        <f aca="false">IF(W497="Likely Spam","Spam",IF(AD497&gt;='Scoring Model'!$B$21,"Hot",IF(AD497&gt;='Scoring Model'!$B$22,"Warm","Nurture")))</f>
        <v>Hot</v>
      </c>
      <c r="AF497" s="3" t="str">
        <f aca="false">IF(W497="Likely Spam","Flagged by spam rules",TRIM(IF(X497&gt;=20,"Strong source. ","")&amp;IF(Y497&gt;0,"Company email. ","")&amp;IF(Z497&gt;=15,"High-value product. ","")&amp;IF(AA497&gt;='Scoring Model'!$B$15,"High engagement. ","")&amp;IF(AB497&gt;0,"Buying intent in message. ","")&amp;IF(AC497&lt;0,"Negative intent in message. ","")))</f>
        <v>Company email. High-value product. Buying intent in message.</v>
      </c>
      <c r="AG497" s="11" t="n">
        <f aca="false">IF(W497="Likely Spam","",1/(1+EXP(-('Conversion Model'!$B$5+IFERROR(INDEX('Conversion Model'!$B$8:$B$14,MATCH(C497,'Conversion Model'!$A$8:$A$14,0)),0)+IFERROR(INDEX('Conversion Model'!$E$8:$E$9,MATCH(F497,'Conversion Model'!$D$8:$D$9,0)),0)+IFERROR(INDEX('Conversion Model'!$H$8:$H$12,MATCH(IF(LEFT(J497,8)="Payments","Payments",IF(LEFT(J497,7)="Lending","Lending",J497)),'Conversion Model'!$G$8:$G$12,0)),0)+MIN(L497,15)*'Conversion Model'!$B$17+IF(SUMPRODUCT(--ISNUMBER(SEARCH('Scoring Model'!$D$16:$D$25,K497)))&gt;0,'Conversion Model'!$B$18,0)+IF(SUMPRODUCT(--ISNUMBER(SEARCH('Scoring Model'!$G$16:$G$23,K497)))&gt;0,'Conversion Model'!$B$19,0)))))</f>
        <v>0.918339744538405</v>
      </c>
      <c r="AH497" s="3" t="n">
        <f aca="false">IF(OR(O497="Qualified",O497="Won",O497="Lost"),1,IF(O497="Unqualified",0,""))</f>
        <v>1</v>
      </c>
    </row>
    <row r="498" customFormat="false" ht="15" hidden="false" customHeight="true" outlineLevel="0" collapsed="false">
      <c r="A498" s="3" t="s">
        <v>1803</v>
      </c>
      <c r="B498" s="9" t="n">
        <v>46161.50625</v>
      </c>
      <c r="C498" s="3" t="s">
        <v>51</v>
      </c>
      <c r="D498" s="3" t="s">
        <v>1804</v>
      </c>
      <c r="E498" s="3" t="s">
        <v>1805</v>
      </c>
      <c r="F498" s="3" t="s">
        <v>54</v>
      </c>
      <c r="G498" s="3" t="s">
        <v>1806</v>
      </c>
      <c r="H498" s="3"/>
      <c r="I498" s="3" t="s">
        <v>188</v>
      </c>
      <c r="J498" s="3" t="s">
        <v>145</v>
      </c>
      <c r="K498" s="3" t="s">
        <v>345</v>
      </c>
      <c r="L498" s="3" t="n">
        <v>3</v>
      </c>
      <c r="M498" s="3" t="n">
        <v>8</v>
      </c>
      <c r="N498" s="3" t="s">
        <v>96</v>
      </c>
      <c r="O498" s="3" t="s">
        <v>194</v>
      </c>
      <c r="P498" s="10"/>
      <c r="Q498" s="3" t="n">
        <f aca="false">IF(F498="Disposable",1,0)</f>
        <v>0</v>
      </c>
      <c r="R498" s="3" t="n">
        <f aca="false">IF(SUMPRODUCT(--ISNUMBER(SEARCH('Spam Rules'!$A$22:$A$35,K498)))&gt;0,1,0)</f>
        <v>0</v>
      </c>
      <c r="S498" s="3" t="n">
        <f aca="false">IF(AND(F498="Free",G498=""),1,0)</f>
        <v>0</v>
      </c>
      <c r="T498" s="3" t="n">
        <f aca="false">IF(LEN(TRIM(K498))&lt;15,1,0)</f>
        <v>0</v>
      </c>
      <c r="U498" s="3" t="n">
        <f aca="false">IF(COUNTIF($E$2:$E$801,E498)&gt;1,1,0)</f>
        <v>0</v>
      </c>
      <c r="V498" s="3" t="n">
        <f aca="false">Q498*'Spam Rules'!$H$6+R498*'Spam Rules'!$H$7+S498*'Spam Rules'!$H$8+T498*'Spam Rules'!$H$9+U498*'Spam Rules'!$H$10</f>
        <v>0</v>
      </c>
      <c r="W498" s="3" t="str">
        <f aca="false">IF(V498&gt;='Spam Rules'!$B$3,"Likely Spam","Genuine")</f>
        <v>Genuine</v>
      </c>
      <c r="X498" s="3" t="n">
        <f aca="false">IFERROR(INDEX('Scoring Model'!$B$5:$B$11,MATCH(C498,'Scoring Model'!$A$5:$A$11,0)),0)</f>
        <v>10</v>
      </c>
      <c r="Y498" s="3" t="n">
        <f aca="false">IFERROR(INDEX('Scoring Model'!$E$5:$E$7,MATCH(F498,'Scoring Model'!$D$5:$D$7,0)),0)</f>
        <v>0</v>
      </c>
      <c r="Z498" s="3" t="n">
        <f aca="false">IFERROR(INDEX('Scoring Model'!$H$5:$H$13,MATCH(J498,'Scoring Model'!$G$5:$G$13,0)),0)</f>
        <v>5</v>
      </c>
      <c r="AA498" s="3" t="n">
        <f aca="false">IF(L498&gt;='Scoring Model'!$B$14,'Scoring Model'!$B$15,IF(L498&gt;='Scoring Model'!$B$16,'Scoring Model'!$B$17,0))</f>
        <v>0</v>
      </c>
      <c r="AB498" s="3" t="n">
        <f aca="false">IF(SUMPRODUCT(--ISNUMBER(SEARCH('Scoring Model'!$D$16:$D$25,K498)))&gt;0,'Scoring Model'!$B$18,0)</f>
        <v>15</v>
      </c>
      <c r="AC498" s="3" t="n">
        <f aca="false">IF(SUMPRODUCT(--ISNUMBER(SEARCH('Scoring Model'!$G$16:$G$23,K498)))&gt;0,'Scoring Model'!$B$19,0)</f>
        <v>0</v>
      </c>
      <c r="AD498" s="3" t="n">
        <f aca="false">IF(W498="Likely Spam","",SUM(X498:AC498))</f>
        <v>30</v>
      </c>
      <c r="AE498" s="3" t="str">
        <f aca="false">IF(W498="Likely Spam","Spam",IF(AD498&gt;='Scoring Model'!$B$21,"Hot",IF(AD498&gt;='Scoring Model'!$B$22,"Warm","Nurture")))</f>
        <v>Nurture</v>
      </c>
      <c r="AF498" s="3" t="str">
        <f aca="false">IF(W498="Likely Spam","Flagged by spam rules",TRIM(IF(X498&gt;=20,"Strong source. ","")&amp;IF(Y498&gt;0,"Company email. ","")&amp;IF(Z498&gt;=15,"High-value product. ","")&amp;IF(AA498&gt;='Scoring Model'!$B$15,"High engagement. ","")&amp;IF(AB498&gt;0,"Buying intent in message. ","")&amp;IF(AC498&lt;0,"Negative intent in message. ","")))</f>
        <v>Buying intent in message.</v>
      </c>
      <c r="AG498" s="11" t="n">
        <f aca="false">IF(W498="Likely Spam","",1/(1+EXP(-('Conversion Model'!$B$5+IFERROR(INDEX('Conversion Model'!$B$8:$B$14,MATCH(C498,'Conversion Model'!$A$8:$A$14,0)),0)+IFERROR(INDEX('Conversion Model'!$E$8:$E$9,MATCH(F498,'Conversion Model'!$D$8:$D$9,0)),0)+IFERROR(INDEX('Conversion Model'!$H$8:$H$12,MATCH(IF(LEFT(J498,8)="Payments","Payments",IF(LEFT(J498,7)="Lending","Lending",J498)),'Conversion Model'!$G$8:$G$12,0)),0)+MIN(L498,15)*'Conversion Model'!$B$17+IF(SUMPRODUCT(--ISNUMBER(SEARCH('Scoring Model'!$D$16:$D$25,K498)))&gt;0,'Conversion Model'!$B$18,0)+IF(SUMPRODUCT(--ISNUMBER(SEARCH('Scoring Model'!$G$16:$G$23,K498)))&gt;0,'Conversion Model'!$B$19,0)))))</f>
        <v>0.176971809777349</v>
      </c>
      <c r="AH498" s="3" t="n">
        <f aca="false">IF(OR(O498="Qualified",O498="Won",O498="Lost"),1,IF(O498="Unqualified",0,""))</f>
        <v>0</v>
      </c>
    </row>
    <row r="499" customFormat="false" ht="15" hidden="false" customHeight="true" outlineLevel="0" collapsed="false">
      <c r="A499" s="3" t="s">
        <v>1807</v>
      </c>
      <c r="B499" s="9" t="n">
        <v>46161.5597222222</v>
      </c>
      <c r="C499" s="3" t="s">
        <v>51</v>
      </c>
      <c r="D499" s="3" t="s">
        <v>566</v>
      </c>
      <c r="E499" s="3" t="s">
        <v>1808</v>
      </c>
      <c r="F499" s="3" t="s">
        <v>54</v>
      </c>
      <c r="G499" s="3" t="s">
        <v>237</v>
      </c>
      <c r="H499" s="3"/>
      <c r="I499" s="3" t="s">
        <v>204</v>
      </c>
      <c r="J499" s="3" t="s">
        <v>81</v>
      </c>
      <c r="K499" s="3" t="s">
        <v>239</v>
      </c>
      <c r="L499" s="3" t="n">
        <v>2</v>
      </c>
      <c r="M499" s="3" t="n">
        <v>20.2</v>
      </c>
      <c r="N499" s="3" t="s">
        <v>67</v>
      </c>
      <c r="O499" s="3" t="s">
        <v>68</v>
      </c>
      <c r="P499" s="10"/>
      <c r="Q499" s="3" t="n">
        <f aca="false">IF(F499="Disposable",1,0)</f>
        <v>0</v>
      </c>
      <c r="R499" s="3" t="n">
        <f aca="false">IF(SUMPRODUCT(--ISNUMBER(SEARCH('Spam Rules'!$A$22:$A$35,K499)))&gt;0,1,0)</f>
        <v>1</v>
      </c>
      <c r="S499" s="3" t="n">
        <f aca="false">IF(AND(F499="Free",G499=""),1,0)</f>
        <v>0</v>
      </c>
      <c r="T499" s="3" t="n">
        <f aca="false">IF(LEN(TRIM(K499))&lt;15,1,0)</f>
        <v>0</v>
      </c>
      <c r="U499" s="3" t="n">
        <f aca="false">IF(COUNTIF($E$2:$E$801,E499)&gt;1,1,0)</f>
        <v>0</v>
      </c>
      <c r="V499" s="3" t="n">
        <f aca="false">Q499*'Spam Rules'!$H$6+R499*'Spam Rules'!$H$7+S499*'Spam Rules'!$H$8+T499*'Spam Rules'!$H$9+U499*'Spam Rules'!$H$10</f>
        <v>1</v>
      </c>
      <c r="W499" s="3" t="str">
        <f aca="false">IF(V499&gt;='Spam Rules'!$B$3,"Likely Spam","Genuine")</f>
        <v>Likely Spam</v>
      </c>
      <c r="X499" s="3" t="n">
        <f aca="false">IFERROR(INDEX('Scoring Model'!$B$5:$B$11,MATCH(C499,'Scoring Model'!$A$5:$A$11,0)),0)</f>
        <v>10</v>
      </c>
      <c r="Y499" s="3" t="n">
        <f aca="false">IFERROR(INDEX('Scoring Model'!$E$5:$E$7,MATCH(F499,'Scoring Model'!$D$5:$D$7,0)),0)</f>
        <v>0</v>
      </c>
      <c r="Z499" s="3" t="n">
        <f aca="false">IFERROR(INDEX('Scoring Model'!$H$5:$H$13,MATCH(J499,'Scoring Model'!$G$5:$G$13,0)),0)</f>
        <v>5</v>
      </c>
      <c r="AA499" s="3" t="n">
        <f aca="false">IF(L499&gt;='Scoring Model'!$B$14,'Scoring Model'!$B$15,IF(L499&gt;='Scoring Model'!$B$16,'Scoring Model'!$B$17,0))</f>
        <v>0</v>
      </c>
      <c r="AB499" s="3" t="n">
        <f aca="false">IF(SUMPRODUCT(--ISNUMBER(SEARCH('Scoring Model'!$D$16:$D$25,K499)))&gt;0,'Scoring Model'!$B$18,0)</f>
        <v>0</v>
      </c>
      <c r="AC499" s="3" t="n">
        <f aca="false">IF(SUMPRODUCT(--ISNUMBER(SEARCH('Scoring Model'!$G$16:$G$23,K499)))&gt;0,'Scoring Model'!$B$19,0)</f>
        <v>0</v>
      </c>
      <c r="AD499" s="3" t="str">
        <f aca="false">IF(W499="Likely Spam","",SUM(X499:AC499))</f>
        <v/>
      </c>
      <c r="AE499" s="3" t="str">
        <f aca="false">IF(W499="Likely Spam","Spam",IF(AD499&gt;='Scoring Model'!$B$21,"Hot",IF(AD499&gt;='Scoring Model'!$B$22,"Warm","Nurture")))</f>
        <v>Spam</v>
      </c>
      <c r="AF499" s="3" t="str">
        <f aca="false">IF(W499="Likely Spam","Flagged by spam rules",TRIM(IF(X499&gt;=20,"Strong source. ","")&amp;IF(Y499&gt;0,"Company email. ","")&amp;IF(Z499&gt;=15,"High-value product. ","")&amp;IF(AA499&gt;='Scoring Model'!$B$15,"High engagement. ","")&amp;IF(AB499&gt;0,"Buying intent in message. ","")&amp;IF(AC499&lt;0,"Negative intent in message. ","")))</f>
        <v>Flagged by spam rules</v>
      </c>
      <c r="AG499" s="11" t="str">
        <f aca="false">IF(W499="Likely Spam","",1/(1+EXP(-('Conversion Model'!$B$5+IFERROR(INDEX('Conversion Model'!$B$8:$B$14,MATCH(C499,'Conversion Model'!$A$8:$A$14,0)),0)+IFERROR(INDEX('Conversion Model'!$E$8:$E$9,MATCH(F499,'Conversion Model'!$D$8:$D$9,0)),0)+IFERROR(INDEX('Conversion Model'!$H$8:$H$12,MATCH(IF(LEFT(J499,8)="Payments","Payments",IF(LEFT(J499,7)="Lending","Lending",J499)),'Conversion Model'!$G$8:$G$12,0)),0)+MIN(L499,15)*'Conversion Model'!$B$17+IF(SUMPRODUCT(--ISNUMBER(SEARCH('Scoring Model'!$D$16:$D$25,K499)))&gt;0,'Conversion Model'!$B$18,0)+IF(SUMPRODUCT(--ISNUMBER(SEARCH('Scoring Model'!$G$16:$G$23,K499)))&gt;0,'Conversion Model'!$B$19,0)))))</f>
        <v/>
      </c>
      <c r="AH499" s="3" t="str">
        <f aca="false">IF(OR(O499="Qualified",O499="Won",O499="Lost"),1,IF(O499="Unqualified",0,""))</f>
        <v/>
      </c>
    </row>
    <row r="500" customFormat="false" ht="15" hidden="false" customHeight="true" outlineLevel="0" collapsed="false">
      <c r="A500" s="3" t="s">
        <v>1809</v>
      </c>
      <c r="B500" s="9" t="n">
        <v>46162.0111111111</v>
      </c>
      <c r="C500" s="3" t="s">
        <v>91</v>
      </c>
      <c r="D500" s="3" t="s">
        <v>549</v>
      </c>
      <c r="E500" s="3" t="s">
        <v>1810</v>
      </c>
      <c r="F500" s="3" t="s">
        <v>22</v>
      </c>
      <c r="G500" s="3" t="s">
        <v>1811</v>
      </c>
      <c r="H500" s="3" t="s">
        <v>1812</v>
      </c>
      <c r="I500" s="3" t="s">
        <v>260</v>
      </c>
      <c r="J500" s="3" t="s">
        <v>65</v>
      </c>
      <c r="K500" s="3" t="s">
        <v>213</v>
      </c>
      <c r="L500" s="3" t="n">
        <v>1</v>
      </c>
      <c r="M500" s="3" t="n">
        <v>27.6</v>
      </c>
      <c r="N500" s="3" t="s">
        <v>67</v>
      </c>
      <c r="O500" s="3"/>
      <c r="P500" s="10"/>
      <c r="Q500" s="3" t="n">
        <f aca="false">IF(F500="Disposable",1,0)</f>
        <v>0</v>
      </c>
      <c r="R500" s="3" t="n">
        <f aca="false">IF(SUMPRODUCT(--ISNUMBER(SEARCH('Spam Rules'!$A$22:$A$35,K500)))&gt;0,1,0)</f>
        <v>0</v>
      </c>
      <c r="S500" s="3" t="n">
        <f aca="false">IF(AND(F500="Free",G500=""),1,0)</f>
        <v>0</v>
      </c>
      <c r="T500" s="3" t="n">
        <f aca="false">IF(LEN(TRIM(K500))&lt;15,1,0)</f>
        <v>0</v>
      </c>
      <c r="U500" s="3" t="n">
        <f aca="false">IF(COUNTIF($E$2:$E$801,E500)&gt;1,1,0)</f>
        <v>0</v>
      </c>
      <c r="V500" s="3" t="n">
        <f aca="false">Q500*'Spam Rules'!$H$6+R500*'Spam Rules'!$H$7+S500*'Spam Rules'!$H$8+T500*'Spam Rules'!$H$9+U500*'Spam Rules'!$H$10</f>
        <v>0</v>
      </c>
      <c r="W500" s="3" t="str">
        <f aca="false">IF(V500&gt;='Spam Rules'!$B$3,"Likely Spam","Genuine")</f>
        <v>Genuine</v>
      </c>
      <c r="X500" s="3" t="n">
        <f aca="false">IFERROR(INDEX('Scoring Model'!$B$5:$B$11,MATCH(C500,'Scoring Model'!$A$5:$A$11,0)),0)</f>
        <v>5</v>
      </c>
      <c r="Y500" s="3" t="n">
        <f aca="false">IFERROR(INDEX('Scoring Model'!$E$5:$E$7,MATCH(F500,'Scoring Model'!$D$5:$D$7,0)),0)</f>
        <v>20</v>
      </c>
      <c r="Z500" s="3" t="n">
        <f aca="false">IFERROR(INDEX('Scoring Model'!$H$5:$H$13,MATCH(J500,'Scoring Model'!$G$5:$G$13,0)),0)</f>
        <v>0</v>
      </c>
      <c r="AA500" s="3" t="n">
        <f aca="false">IF(L500&gt;='Scoring Model'!$B$14,'Scoring Model'!$B$15,IF(L500&gt;='Scoring Model'!$B$16,'Scoring Model'!$B$17,0))</f>
        <v>0</v>
      </c>
      <c r="AB500" s="3" t="n">
        <f aca="false">IF(SUMPRODUCT(--ISNUMBER(SEARCH('Scoring Model'!$D$16:$D$25,K500)))&gt;0,'Scoring Model'!$B$18,0)</f>
        <v>0</v>
      </c>
      <c r="AC500" s="3" t="n">
        <f aca="false">IF(SUMPRODUCT(--ISNUMBER(SEARCH('Scoring Model'!$G$16:$G$23,K500)))&gt;0,'Scoring Model'!$B$19,0)</f>
        <v>-30</v>
      </c>
      <c r="AD500" s="3" t="n">
        <f aca="false">IF(W500="Likely Spam","",SUM(X500:AC500))</f>
        <v>-5</v>
      </c>
      <c r="AE500" s="3" t="str">
        <f aca="false">IF(W500="Likely Spam","Spam",IF(AD500&gt;='Scoring Model'!$B$21,"Hot",IF(AD500&gt;='Scoring Model'!$B$22,"Warm","Nurture")))</f>
        <v>Nurture</v>
      </c>
      <c r="AF500" s="3" t="str">
        <f aca="false">IF(W500="Likely Spam","Flagged by spam rules",TRIM(IF(X500&gt;=20,"Strong source. ","")&amp;IF(Y500&gt;0,"Company email. ","")&amp;IF(Z500&gt;=15,"High-value product. ","")&amp;IF(AA500&gt;='Scoring Model'!$B$15,"High engagement. ","")&amp;IF(AB500&gt;0,"Buying intent in message. ","")&amp;IF(AC500&lt;0,"Negative intent in message. ","")))</f>
        <v>Company email. Negative intent in message.</v>
      </c>
      <c r="AG500" s="11" t="n">
        <f aca="false">IF(W500="Likely Spam","",1/(1+EXP(-('Conversion Model'!$B$5+IFERROR(INDEX('Conversion Model'!$B$8:$B$14,MATCH(C500,'Conversion Model'!$A$8:$A$14,0)),0)+IFERROR(INDEX('Conversion Model'!$E$8:$E$9,MATCH(F500,'Conversion Model'!$D$8:$D$9,0)),0)+IFERROR(INDEX('Conversion Model'!$H$8:$H$12,MATCH(IF(LEFT(J500,8)="Payments","Payments",IF(LEFT(J500,7)="Lending","Lending",J500)),'Conversion Model'!$G$8:$G$12,0)),0)+MIN(L500,15)*'Conversion Model'!$B$17+IF(SUMPRODUCT(--ISNUMBER(SEARCH('Scoring Model'!$D$16:$D$25,K500)))&gt;0,'Conversion Model'!$B$18,0)+IF(SUMPRODUCT(--ISNUMBER(SEARCH('Scoring Model'!$G$16:$G$23,K500)))&gt;0,'Conversion Model'!$B$19,0)))))</f>
        <v>0.00163741131068768</v>
      </c>
      <c r="AH500" s="3" t="str">
        <f aca="false">IF(OR(O500="Qualified",O500="Won",O500="Lost"),1,IF(O500="Unqualified",0,""))</f>
        <v/>
      </c>
    </row>
    <row r="501" customFormat="false" ht="15" hidden="false" customHeight="true" outlineLevel="0" collapsed="false">
      <c r="A501" s="3" t="s">
        <v>1813</v>
      </c>
      <c r="B501" s="9" t="n">
        <v>46162.0888888889</v>
      </c>
      <c r="C501" s="3" t="s">
        <v>112</v>
      </c>
      <c r="D501" s="3" t="s">
        <v>524</v>
      </c>
      <c r="E501" s="3" t="s">
        <v>1814</v>
      </c>
      <c r="F501" s="3" t="s">
        <v>54</v>
      </c>
      <c r="G501" s="3" t="s">
        <v>279</v>
      </c>
      <c r="H501" s="3"/>
      <c r="I501" s="3" t="s">
        <v>334</v>
      </c>
      <c r="J501" s="3" t="s">
        <v>122</v>
      </c>
      <c r="K501" s="3" t="s">
        <v>349</v>
      </c>
      <c r="L501" s="3" t="n">
        <v>2</v>
      </c>
      <c r="M501" s="3" t="n">
        <v>5.7</v>
      </c>
      <c r="N501" s="3" t="s">
        <v>67</v>
      </c>
      <c r="O501" s="3" t="s">
        <v>194</v>
      </c>
      <c r="P501" s="10"/>
      <c r="Q501" s="3" t="n">
        <f aca="false">IF(F501="Disposable",1,0)</f>
        <v>0</v>
      </c>
      <c r="R501" s="3" t="n">
        <f aca="false">IF(SUMPRODUCT(--ISNUMBER(SEARCH('Spam Rules'!$A$22:$A$35,K501)))&gt;0,1,0)</f>
        <v>0</v>
      </c>
      <c r="S501" s="3" t="n">
        <f aca="false">IF(AND(F501="Free",G501=""),1,0)</f>
        <v>0</v>
      </c>
      <c r="T501" s="3" t="n">
        <f aca="false">IF(LEN(TRIM(K501))&lt;15,1,0)</f>
        <v>0</v>
      </c>
      <c r="U501" s="3" t="n">
        <f aca="false">IF(COUNTIF($E$2:$E$801,E501)&gt;1,1,0)</f>
        <v>0</v>
      </c>
      <c r="V501" s="3" t="n">
        <f aca="false">Q501*'Spam Rules'!$H$6+R501*'Spam Rules'!$H$7+S501*'Spam Rules'!$H$8+T501*'Spam Rules'!$H$9+U501*'Spam Rules'!$H$10</f>
        <v>0</v>
      </c>
      <c r="W501" s="3" t="str">
        <f aca="false">IF(V501&gt;='Spam Rules'!$B$3,"Likely Spam","Genuine")</f>
        <v>Genuine</v>
      </c>
      <c r="X501" s="3" t="n">
        <f aca="false">IFERROR(INDEX('Scoring Model'!$B$5:$B$11,MATCH(C501,'Scoring Model'!$A$5:$A$11,0)),0)</f>
        <v>15</v>
      </c>
      <c r="Y501" s="3" t="n">
        <f aca="false">IFERROR(INDEX('Scoring Model'!$E$5:$E$7,MATCH(F501,'Scoring Model'!$D$5:$D$7,0)),0)</f>
        <v>0</v>
      </c>
      <c r="Z501" s="3" t="n">
        <f aca="false">IFERROR(INDEX('Scoring Model'!$H$5:$H$13,MATCH(J501,'Scoring Model'!$G$5:$G$13,0)),0)</f>
        <v>15</v>
      </c>
      <c r="AA501" s="3" t="n">
        <f aca="false">IF(L501&gt;='Scoring Model'!$B$14,'Scoring Model'!$B$15,IF(L501&gt;='Scoring Model'!$B$16,'Scoring Model'!$B$17,0))</f>
        <v>0</v>
      </c>
      <c r="AB501" s="3" t="n">
        <f aca="false">IF(SUMPRODUCT(--ISNUMBER(SEARCH('Scoring Model'!$D$16:$D$25,K501)))&gt;0,'Scoring Model'!$B$18,0)</f>
        <v>0</v>
      </c>
      <c r="AC501" s="3" t="n">
        <f aca="false">IF(SUMPRODUCT(--ISNUMBER(SEARCH('Scoring Model'!$G$16:$G$23,K501)))&gt;0,'Scoring Model'!$B$19,0)</f>
        <v>-30</v>
      </c>
      <c r="AD501" s="3" t="n">
        <f aca="false">IF(W501="Likely Spam","",SUM(X501:AC501))</f>
        <v>0</v>
      </c>
      <c r="AE501" s="3" t="str">
        <f aca="false">IF(W501="Likely Spam","Spam",IF(AD501&gt;='Scoring Model'!$B$21,"Hot",IF(AD501&gt;='Scoring Model'!$B$22,"Warm","Nurture")))</f>
        <v>Nurture</v>
      </c>
      <c r="AF501" s="3" t="str">
        <f aca="false">IF(W501="Likely Spam","Flagged by spam rules",TRIM(IF(X501&gt;=20,"Strong source. ","")&amp;IF(Y501&gt;0,"Company email. ","")&amp;IF(Z501&gt;=15,"High-value product. ","")&amp;IF(AA501&gt;='Scoring Model'!$B$15,"High engagement. ","")&amp;IF(AB501&gt;0,"Buying intent in message. ","")&amp;IF(AC501&lt;0,"Negative intent in message. ","")))</f>
        <v>High-value product. Negative intent in message.</v>
      </c>
      <c r="AG501" s="11" t="n">
        <f aca="false">IF(W501="Likely Spam","",1/(1+EXP(-('Conversion Model'!$B$5+IFERROR(INDEX('Conversion Model'!$B$8:$B$14,MATCH(C501,'Conversion Model'!$A$8:$A$14,0)),0)+IFERROR(INDEX('Conversion Model'!$E$8:$E$9,MATCH(F501,'Conversion Model'!$D$8:$D$9,0)),0)+IFERROR(INDEX('Conversion Model'!$H$8:$H$12,MATCH(IF(LEFT(J501,8)="Payments","Payments",IF(LEFT(J501,7)="Lending","Lending",J501)),'Conversion Model'!$G$8:$G$12,0)),0)+MIN(L501,15)*'Conversion Model'!$B$17+IF(SUMPRODUCT(--ISNUMBER(SEARCH('Scoring Model'!$D$16:$D$25,K501)))&gt;0,'Conversion Model'!$B$18,0)+IF(SUMPRODUCT(--ISNUMBER(SEARCH('Scoring Model'!$G$16:$G$23,K501)))&gt;0,'Conversion Model'!$B$19,0)))))</f>
        <v>0.00252244746076969</v>
      </c>
      <c r="AH501" s="3" t="n">
        <f aca="false">IF(OR(O501="Qualified",O501="Won",O501="Lost"),1,IF(O501="Unqualified",0,""))</f>
        <v>0</v>
      </c>
    </row>
    <row r="502" customFormat="false" ht="15" hidden="false" customHeight="true" outlineLevel="0" collapsed="false">
      <c r="A502" s="3" t="s">
        <v>1815</v>
      </c>
      <c r="B502" s="9" t="n">
        <v>46162.2493055556</v>
      </c>
      <c r="C502" s="3" t="s">
        <v>135</v>
      </c>
      <c r="D502" s="3" t="s">
        <v>1816</v>
      </c>
      <c r="E502" s="3" t="s">
        <v>1817</v>
      </c>
      <c r="F502" s="3" t="s">
        <v>22</v>
      </c>
      <c r="G502" s="3" t="s">
        <v>1140</v>
      </c>
      <c r="H502" s="3" t="s">
        <v>1734</v>
      </c>
      <c r="I502" s="3" t="s">
        <v>56</v>
      </c>
      <c r="J502" s="3" t="s">
        <v>81</v>
      </c>
      <c r="K502" s="3" t="s">
        <v>644</v>
      </c>
      <c r="L502" s="3" t="n">
        <v>7</v>
      </c>
      <c r="M502" s="3" t="n">
        <v>27.5</v>
      </c>
      <c r="N502" s="3" t="s">
        <v>96</v>
      </c>
      <c r="O502" s="3"/>
      <c r="P502" s="10"/>
      <c r="Q502" s="3" t="n">
        <f aca="false">IF(F502="Disposable",1,0)</f>
        <v>0</v>
      </c>
      <c r="R502" s="3" t="n">
        <f aca="false">IF(SUMPRODUCT(--ISNUMBER(SEARCH('Spam Rules'!$A$22:$A$35,K502)))&gt;0,1,0)</f>
        <v>0</v>
      </c>
      <c r="S502" s="3" t="n">
        <f aca="false">IF(AND(F502="Free",G502=""),1,0)</f>
        <v>0</v>
      </c>
      <c r="T502" s="3" t="n">
        <f aca="false">IF(LEN(TRIM(K502))&lt;15,1,0)</f>
        <v>0</v>
      </c>
      <c r="U502" s="3" t="n">
        <f aca="false">IF(COUNTIF($E$2:$E$801,E502)&gt;1,1,0)</f>
        <v>0</v>
      </c>
      <c r="V502" s="3" t="n">
        <f aca="false">Q502*'Spam Rules'!$H$6+R502*'Spam Rules'!$H$7+S502*'Spam Rules'!$H$8+T502*'Spam Rules'!$H$9+U502*'Spam Rules'!$H$10</f>
        <v>0</v>
      </c>
      <c r="W502" s="3" t="str">
        <f aca="false">IF(V502&gt;='Spam Rules'!$B$3,"Likely Spam","Genuine")</f>
        <v>Genuine</v>
      </c>
      <c r="X502" s="3" t="n">
        <f aca="false">IFERROR(INDEX('Scoring Model'!$B$5:$B$11,MATCH(C502,'Scoring Model'!$A$5:$A$11,0)),0)</f>
        <v>20</v>
      </c>
      <c r="Y502" s="3" t="n">
        <f aca="false">IFERROR(INDEX('Scoring Model'!$E$5:$E$7,MATCH(F502,'Scoring Model'!$D$5:$D$7,0)),0)</f>
        <v>20</v>
      </c>
      <c r="Z502" s="3" t="n">
        <f aca="false">IFERROR(INDEX('Scoring Model'!$H$5:$H$13,MATCH(J502,'Scoring Model'!$G$5:$G$13,0)),0)</f>
        <v>5</v>
      </c>
      <c r="AA502" s="3" t="n">
        <f aca="false">IF(L502&gt;='Scoring Model'!$B$14,'Scoring Model'!$B$15,IF(L502&gt;='Scoring Model'!$B$16,'Scoring Model'!$B$17,0))</f>
        <v>8</v>
      </c>
      <c r="AB502" s="3" t="n">
        <f aca="false">IF(SUMPRODUCT(--ISNUMBER(SEARCH('Scoring Model'!$D$16:$D$25,K502)))&gt;0,'Scoring Model'!$B$18,0)</f>
        <v>15</v>
      </c>
      <c r="AC502" s="3" t="n">
        <f aca="false">IF(SUMPRODUCT(--ISNUMBER(SEARCH('Scoring Model'!$G$16:$G$23,K502)))&gt;0,'Scoring Model'!$B$19,0)</f>
        <v>0</v>
      </c>
      <c r="AD502" s="3" t="n">
        <f aca="false">IF(W502="Likely Spam","",SUM(X502:AC502))</f>
        <v>68</v>
      </c>
      <c r="AE502" s="3" t="str">
        <f aca="false">IF(W502="Likely Spam","Spam",IF(AD502&gt;='Scoring Model'!$B$21,"Hot",IF(AD502&gt;='Scoring Model'!$B$22,"Warm","Nurture")))</f>
        <v>Warm</v>
      </c>
      <c r="AF502" s="3" t="str">
        <f aca="false">IF(W502="Likely Spam","Flagged by spam rules",TRIM(IF(X502&gt;=20,"Strong source. ","")&amp;IF(Y502&gt;0,"Company email. ","")&amp;IF(Z502&gt;=15,"High-value product. ","")&amp;IF(AA502&gt;='Scoring Model'!$B$15,"High engagement. ","")&amp;IF(AB502&gt;0,"Buying intent in message. ","")&amp;IF(AC502&lt;0,"Negative intent in message. ","")))</f>
        <v>Strong source. Company email. Buying intent in message.</v>
      </c>
      <c r="AG502" s="11" t="n">
        <f aca="false">IF(W502="Likely Spam","",1/(1+EXP(-('Conversion Model'!$B$5+IFERROR(INDEX('Conversion Model'!$B$8:$B$14,MATCH(C502,'Conversion Model'!$A$8:$A$14,0)),0)+IFERROR(INDEX('Conversion Model'!$E$8:$E$9,MATCH(F502,'Conversion Model'!$D$8:$D$9,0)),0)+IFERROR(INDEX('Conversion Model'!$H$8:$H$12,MATCH(IF(LEFT(J502,8)="Payments","Payments",IF(LEFT(J502,7)="Lending","Lending",J502)),'Conversion Model'!$G$8:$G$12,0)),0)+MIN(L502,15)*'Conversion Model'!$B$17+IF(SUMPRODUCT(--ISNUMBER(SEARCH('Scoring Model'!$D$16:$D$25,K502)))&gt;0,'Conversion Model'!$B$18,0)+IF(SUMPRODUCT(--ISNUMBER(SEARCH('Scoring Model'!$G$16:$G$23,K502)))&gt;0,'Conversion Model'!$B$19,0)))))</f>
        <v>0.946798515014825</v>
      </c>
      <c r="AH502" s="3" t="str">
        <f aca="false">IF(OR(O502="Qualified",O502="Won",O502="Lost"),1,IF(O502="Unqualified",0,""))</f>
        <v/>
      </c>
    </row>
    <row r="503" customFormat="false" ht="15" hidden="false" customHeight="true" outlineLevel="0" collapsed="false">
      <c r="A503" s="3" t="s">
        <v>1818</v>
      </c>
      <c r="B503" s="9" t="n">
        <v>46162.6701388889</v>
      </c>
      <c r="C503" s="3" t="s">
        <v>76</v>
      </c>
      <c r="D503" s="3" t="s">
        <v>1819</v>
      </c>
      <c r="E503" s="3" t="s">
        <v>733</v>
      </c>
      <c r="F503" s="3" t="s">
        <v>54</v>
      </c>
      <c r="G503" s="3" t="s">
        <v>237</v>
      </c>
      <c r="H503" s="3"/>
      <c r="I503" s="3" t="s">
        <v>204</v>
      </c>
      <c r="J503" s="3" t="s">
        <v>65</v>
      </c>
      <c r="K503" s="3" t="s">
        <v>363</v>
      </c>
      <c r="L503" s="3" t="n">
        <v>2</v>
      </c>
      <c r="M503" s="3" t="n">
        <v>42.8</v>
      </c>
      <c r="N503" s="3" t="s">
        <v>59</v>
      </c>
      <c r="O503" s="3"/>
      <c r="P503" s="10"/>
      <c r="Q503" s="3" t="n">
        <f aca="false">IF(F503="Disposable",1,0)</f>
        <v>0</v>
      </c>
      <c r="R503" s="3" t="n">
        <f aca="false">IF(SUMPRODUCT(--ISNUMBER(SEARCH('Spam Rules'!$A$22:$A$35,K503)))&gt;0,1,0)</f>
        <v>1</v>
      </c>
      <c r="S503" s="3" t="n">
        <f aca="false">IF(AND(F503="Free",G503=""),1,0)</f>
        <v>0</v>
      </c>
      <c r="T503" s="3" t="n">
        <f aca="false">IF(LEN(TRIM(K503))&lt;15,1,0)</f>
        <v>0</v>
      </c>
      <c r="U503" s="3" t="n">
        <f aca="false">IF(COUNTIF($E$2:$E$801,E503)&gt;1,1,0)</f>
        <v>1</v>
      </c>
      <c r="V503" s="3" t="n">
        <f aca="false">Q503*'Spam Rules'!$H$6+R503*'Spam Rules'!$H$7+S503*'Spam Rules'!$H$8+T503*'Spam Rules'!$H$9+U503*'Spam Rules'!$H$10</f>
        <v>1</v>
      </c>
      <c r="W503" s="3" t="str">
        <f aca="false">IF(V503&gt;='Spam Rules'!$B$3,"Likely Spam","Genuine")</f>
        <v>Likely Spam</v>
      </c>
      <c r="X503" s="3" t="n">
        <f aca="false">IFERROR(INDEX('Scoring Model'!$B$5:$B$11,MATCH(C503,'Scoring Model'!$A$5:$A$11,0)),0)</f>
        <v>0</v>
      </c>
      <c r="Y503" s="3" t="n">
        <f aca="false">IFERROR(INDEX('Scoring Model'!$E$5:$E$7,MATCH(F503,'Scoring Model'!$D$5:$D$7,0)),0)</f>
        <v>0</v>
      </c>
      <c r="Z503" s="3" t="n">
        <f aca="false">IFERROR(INDEX('Scoring Model'!$H$5:$H$13,MATCH(J503,'Scoring Model'!$G$5:$G$13,0)),0)</f>
        <v>0</v>
      </c>
      <c r="AA503" s="3" t="n">
        <f aca="false">IF(L503&gt;='Scoring Model'!$B$14,'Scoring Model'!$B$15,IF(L503&gt;='Scoring Model'!$B$16,'Scoring Model'!$B$17,0))</f>
        <v>0</v>
      </c>
      <c r="AB503" s="3" t="n">
        <f aca="false">IF(SUMPRODUCT(--ISNUMBER(SEARCH('Scoring Model'!$D$16:$D$25,K503)))&gt;0,'Scoring Model'!$B$18,0)</f>
        <v>0</v>
      </c>
      <c r="AC503" s="3" t="n">
        <f aca="false">IF(SUMPRODUCT(--ISNUMBER(SEARCH('Scoring Model'!$G$16:$G$23,K503)))&gt;0,'Scoring Model'!$B$19,0)</f>
        <v>0</v>
      </c>
      <c r="AD503" s="3" t="str">
        <f aca="false">IF(W503="Likely Spam","",SUM(X503:AC503))</f>
        <v/>
      </c>
      <c r="AE503" s="3" t="str">
        <f aca="false">IF(W503="Likely Spam","Spam",IF(AD503&gt;='Scoring Model'!$B$21,"Hot",IF(AD503&gt;='Scoring Model'!$B$22,"Warm","Nurture")))</f>
        <v>Spam</v>
      </c>
      <c r="AF503" s="3" t="str">
        <f aca="false">IF(W503="Likely Spam","Flagged by spam rules",TRIM(IF(X503&gt;=20,"Strong source. ","")&amp;IF(Y503&gt;0,"Company email. ","")&amp;IF(Z503&gt;=15,"High-value product. ","")&amp;IF(AA503&gt;='Scoring Model'!$B$15,"High engagement. ","")&amp;IF(AB503&gt;0,"Buying intent in message. ","")&amp;IF(AC503&lt;0,"Negative intent in message. ","")))</f>
        <v>Flagged by spam rules</v>
      </c>
      <c r="AG503" s="11" t="str">
        <f aca="false">IF(W503="Likely Spam","",1/(1+EXP(-('Conversion Model'!$B$5+IFERROR(INDEX('Conversion Model'!$B$8:$B$14,MATCH(C503,'Conversion Model'!$A$8:$A$14,0)),0)+IFERROR(INDEX('Conversion Model'!$E$8:$E$9,MATCH(F503,'Conversion Model'!$D$8:$D$9,0)),0)+IFERROR(INDEX('Conversion Model'!$H$8:$H$12,MATCH(IF(LEFT(J503,8)="Payments","Payments",IF(LEFT(J503,7)="Lending","Lending",J503)),'Conversion Model'!$G$8:$G$12,0)),0)+MIN(L503,15)*'Conversion Model'!$B$17+IF(SUMPRODUCT(--ISNUMBER(SEARCH('Scoring Model'!$D$16:$D$25,K503)))&gt;0,'Conversion Model'!$B$18,0)+IF(SUMPRODUCT(--ISNUMBER(SEARCH('Scoring Model'!$G$16:$G$23,K503)))&gt;0,'Conversion Model'!$B$19,0)))))</f>
        <v/>
      </c>
      <c r="AH503" s="3" t="str">
        <f aca="false">IF(OR(O503="Qualified",O503="Won",O503="Lost"),1,IF(O503="Unqualified",0,""))</f>
        <v/>
      </c>
    </row>
    <row r="504" customFormat="false" ht="15" hidden="false" customHeight="true" outlineLevel="0" collapsed="false">
      <c r="A504" s="3" t="s">
        <v>1820</v>
      </c>
      <c r="B504" s="9" t="n">
        <v>46163.3118055556</v>
      </c>
      <c r="C504" s="3" t="s">
        <v>91</v>
      </c>
      <c r="D504" s="3" t="s">
        <v>1016</v>
      </c>
      <c r="E504" s="3" t="s">
        <v>1821</v>
      </c>
      <c r="F504" s="3" t="s">
        <v>54</v>
      </c>
      <c r="G504" s="3" t="s">
        <v>202</v>
      </c>
      <c r="H504" s="3"/>
      <c r="I504" s="3" t="s">
        <v>80</v>
      </c>
      <c r="J504" s="3" t="s">
        <v>81</v>
      </c>
      <c r="K504" s="3" t="s">
        <v>101</v>
      </c>
      <c r="L504" s="3" t="n">
        <v>4</v>
      </c>
      <c r="M504" s="3" t="n">
        <v>5.7</v>
      </c>
      <c r="N504" s="3" t="s">
        <v>171</v>
      </c>
      <c r="O504" s="3" t="s">
        <v>194</v>
      </c>
      <c r="P504" s="10"/>
      <c r="Q504" s="3" t="n">
        <f aca="false">IF(F504="Disposable",1,0)</f>
        <v>0</v>
      </c>
      <c r="R504" s="3" t="n">
        <f aca="false">IF(SUMPRODUCT(--ISNUMBER(SEARCH('Spam Rules'!$A$22:$A$35,K504)))&gt;0,1,0)</f>
        <v>0</v>
      </c>
      <c r="S504" s="3" t="n">
        <f aca="false">IF(AND(F504="Free",G504=""),1,0)</f>
        <v>0</v>
      </c>
      <c r="T504" s="3" t="n">
        <f aca="false">IF(LEN(TRIM(K504))&lt;15,1,0)</f>
        <v>0</v>
      </c>
      <c r="U504" s="3" t="n">
        <f aca="false">IF(COUNTIF($E$2:$E$801,E504)&gt;1,1,0)</f>
        <v>0</v>
      </c>
      <c r="V504" s="3" t="n">
        <f aca="false">Q504*'Spam Rules'!$H$6+R504*'Spam Rules'!$H$7+S504*'Spam Rules'!$H$8+T504*'Spam Rules'!$H$9+U504*'Spam Rules'!$H$10</f>
        <v>0</v>
      </c>
      <c r="W504" s="3" t="str">
        <f aca="false">IF(V504&gt;='Spam Rules'!$B$3,"Likely Spam","Genuine")</f>
        <v>Genuine</v>
      </c>
      <c r="X504" s="3" t="n">
        <f aca="false">IFERROR(INDEX('Scoring Model'!$B$5:$B$11,MATCH(C504,'Scoring Model'!$A$5:$A$11,0)),0)</f>
        <v>5</v>
      </c>
      <c r="Y504" s="3" t="n">
        <f aca="false">IFERROR(INDEX('Scoring Model'!$E$5:$E$7,MATCH(F504,'Scoring Model'!$D$5:$D$7,0)),0)</f>
        <v>0</v>
      </c>
      <c r="Z504" s="3" t="n">
        <f aca="false">IFERROR(INDEX('Scoring Model'!$H$5:$H$13,MATCH(J504,'Scoring Model'!$G$5:$G$13,0)),0)</f>
        <v>5</v>
      </c>
      <c r="AA504" s="3" t="n">
        <f aca="false">IF(L504&gt;='Scoring Model'!$B$14,'Scoring Model'!$B$15,IF(L504&gt;='Scoring Model'!$B$16,'Scoring Model'!$B$17,0))</f>
        <v>8</v>
      </c>
      <c r="AB504" s="3" t="n">
        <f aca="false">IF(SUMPRODUCT(--ISNUMBER(SEARCH('Scoring Model'!$D$16:$D$25,K504)))&gt;0,'Scoring Model'!$B$18,0)</f>
        <v>0</v>
      </c>
      <c r="AC504" s="3" t="n">
        <f aca="false">IF(SUMPRODUCT(--ISNUMBER(SEARCH('Scoring Model'!$G$16:$G$23,K504)))&gt;0,'Scoring Model'!$B$19,0)</f>
        <v>-30</v>
      </c>
      <c r="AD504" s="3" t="n">
        <f aca="false">IF(W504="Likely Spam","",SUM(X504:AC504))</f>
        <v>-12</v>
      </c>
      <c r="AE504" s="3" t="str">
        <f aca="false">IF(W504="Likely Spam","Spam",IF(AD504&gt;='Scoring Model'!$B$21,"Hot",IF(AD504&gt;='Scoring Model'!$B$22,"Warm","Nurture")))</f>
        <v>Nurture</v>
      </c>
      <c r="AF504" s="3" t="str">
        <f aca="false">IF(W504="Likely Spam","Flagged by spam rules",TRIM(IF(X504&gt;=20,"Strong source. ","")&amp;IF(Y504&gt;0,"Company email. ","")&amp;IF(Z504&gt;=15,"High-value product. ","")&amp;IF(AA504&gt;='Scoring Model'!$B$15,"High engagement. ","")&amp;IF(AB504&gt;0,"Buying intent in message. ","")&amp;IF(AC504&lt;0,"Negative intent in message. ","")))</f>
        <v>Negative intent in message.</v>
      </c>
      <c r="AG504" s="11" t="n">
        <f aca="false">IF(W504="Likely Spam","",1/(1+EXP(-('Conversion Model'!$B$5+IFERROR(INDEX('Conversion Model'!$B$8:$B$14,MATCH(C504,'Conversion Model'!$A$8:$A$14,0)),0)+IFERROR(INDEX('Conversion Model'!$E$8:$E$9,MATCH(F504,'Conversion Model'!$D$8:$D$9,0)),0)+IFERROR(INDEX('Conversion Model'!$H$8:$H$12,MATCH(IF(LEFT(J504,8)="Payments","Payments",IF(LEFT(J504,7)="Lending","Lending",J504)),'Conversion Model'!$G$8:$G$12,0)),0)+MIN(L504,15)*'Conversion Model'!$B$17+IF(SUMPRODUCT(--ISNUMBER(SEARCH('Scoring Model'!$D$16:$D$25,K504)))&gt;0,'Conversion Model'!$B$18,0)+IF(SUMPRODUCT(--ISNUMBER(SEARCH('Scoring Model'!$G$16:$G$23,K504)))&gt;0,'Conversion Model'!$B$19,0)))))</f>
        <v>0.00602976034533119</v>
      </c>
      <c r="AH504" s="3" t="n">
        <f aca="false">IF(OR(O504="Qualified",O504="Won",O504="Lost"),1,IF(O504="Unqualified",0,""))</f>
        <v>0</v>
      </c>
    </row>
    <row r="505" customFormat="false" ht="15" hidden="false" customHeight="true" outlineLevel="0" collapsed="false">
      <c r="A505" s="3" t="s">
        <v>1822</v>
      </c>
      <c r="B505" s="9" t="n">
        <v>46163.8763888889</v>
      </c>
      <c r="C505" s="3" t="s">
        <v>76</v>
      </c>
      <c r="D505" s="3" t="s">
        <v>779</v>
      </c>
      <c r="E505" s="3" t="s">
        <v>1823</v>
      </c>
      <c r="F505" s="3" t="s">
        <v>22</v>
      </c>
      <c r="G505" s="3" t="s">
        <v>487</v>
      </c>
      <c r="H505" s="3" t="s">
        <v>488</v>
      </c>
      <c r="I505" s="3" t="s">
        <v>73</v>
      </c>
      <c r="J505" s="3" t="s">
        <v>65</v>
      </c>
      <c r="K505" s="3" t="s">
        <v>363</v>
      </c>
      <c r="L505" s="3" t="n">
        <v>1</v>
      </c>
      <c r="M505" s="3" t="n">
        <v>40.5</v>
      </c>
      <c r="N505" s="3" t="s">
        <v>96</v>
      </c>
      <c r="O505" s="3" t="s">
        <v>68</v>
      </c>
      <c r="P505" s="10"/>
      <c r="Q505" s="3" t="n">
        <f aca="false">IF(F505="Disposable",1,0)</f>
        <v>0</v>
      </c>
      <c r="R505" s="3" t="n">
        <f aca="false">IF(SUMPRODUCT(--ISNUMBER(SEARCH('Spam Rules'!$A$22:$A$35,K505)))&gt;0,1,0)</f>
        <v>1</v>
      </c>
      <c r="S505" s="3" t="n">
        <f aca="false">IF(AND(F505="Free",G505=""),1,0)</f>
        <v>0</v>
      </c>
      <c r="T505" s="3" t="n">
        <f aca="false">IF(LEN(TRIM(K505))&lt;15,1,0)</f>
        <v>0</v>
      </c>
      <c r="U505" s="3" t="n">
        <f aca="false">IF(COUNTIF($E$2:$E$801,E505)&gt;1,1,0)</f>
        <v>0</v>
      </c>
      <c r="V505" s="3" t="n">
        <f aca="false">Q505*'Spam Rules'!$H$6+R505*'Spam Rules'!$H$7+S505*'Spam Rules'!$H$8+T505*'Spam Rules'!$H$9+U505*'Spam Rules'!$H$10</f>
        <v>1</v>
      </c>
      <c r="W505" s="3" t="str">
        <f aca="false">IF(V505&gt;='Spam Rules'!$B$3,"Likely Spam","Genuine")</f>
        <v>Likely Spam</v>
      </c>
      <c r="X505" s="3" t="n">
        <f aca="false">IFERROR(INDEX('Scoring Model'!$B$5:$B$11,MATCH(C505,'Scoring Model'!$A$5:$A$11,0)),0)</f>
        <v>0</v>
      </c>
      <c r="Y505" s="3" t="n">
        <f aca="false">IFERROR(INDEX('Scoring Model'!$E$5:$E$7,MATCH(F505,'Scoring Model'!$D$5:$D$7,0)),0)</f>
        <v>20</v>
      </c>
      <c r="Z505" s="3" t="n">
        <f aca="false">IFERROR(INDEX('Scoring Model'!$H$5:$H$13,MATCH(J505,'Scoring Model'!$G$5:$G$13,0)),0)</f>
        <v>0</v>
      </c>
      <c r="AA505" s="3" t="n">
        <f aca="false">IF(L505&gt;='Scoring Model'!$B$14,'Scoring Model'!$B$15,IF(L505&gt;='Scoring Model'!$B$16,'Scoring Model'!$B$17,0))</f>
        <v>0</v>
      </c>
      <c r="AB505" s="3" t="n">
        <f aca="false">IF(SUMPRODUCT(--ISNUMBER(SEARCH('Scoring Model'!$D$16:$D$25,K505)))&gt;0,'Scoring Model'!$B$18,0)</f>
        <v>0</v>
      </c>
      <c r="AC505" s="3" t="n">
        <f aca="false">IF(SUMPRODUCT(--ISNUMBER(SEARCH('Scoring Model'!$G$16:$G$23,K505)))&gt;0,'Scoring Model'!$B$19,0)</f>
        <v>0</v>
      </c>
      <c r="AD505" s="3" t="str">
        <f aca="false">IF(W505="Likely Spam","",SUM(X505:AC505))</f>
        <v/>
      </c>
      <c r="AE505" s="3" t="str">
        <f aca="false">IF(W505="Likely Spam","Spam",IF(AD505&gt;='Scoring Model'!$B$21,"Hot",IF(AD505&gt;='Scoring Model'!$B$22,"Warm","Nurture")))</f>
        <v>Spam</v>
      </c>
      <c r="AF505" s="3" t="str">
        <f aca="false">IF(W505="Likely Spam","Flagged by spam rules",TRIM(IF(X505&gt;=20,"Strong source. ","")&amp;IF(Y505&gt;0,"Company email. ","")&amp;IF(Z505&gt;=15,"High-value product. ","")&amp;IF(AA505&gt;='Scoring Model'!$B$15,"High engagement. ","")&amp;IF(AB505&gt;0,"Buying intent in message. ","")&amp;IF(AC505&lt;0,"Negative intent in message. ","")))</f>
        <v>Flagged by spam rules</v>
      </c>
      <c r="AG505" s="11" t="str">
        <f aca="false">IF(W505="Likely Spam","",1/(1+EXP(-('Conversion Model'!$B$5+IFERROR(INDEX('Conversion Model'!$B$8:$B$14,MATCH(C505,'Conversion Model'!$A$8:$A$14,0)),0)+IFERROR(INDEX('Conversion Model'!$E$8:$E$9,MATCH(F505,'Conversion Model'!$D$8:$D$9,0)),0)+IFERROR(INDEX('Conversion Model'!$H$8:$H$12,MATCH(IF(LEFT(J505,8)="Payments","Payments",IF(LEFT(J505,7)="Lending","Lending",J505)),'Conversion Model'!$G$8:$G$12,0)),0)+MIN(L505,15)*'Conversion Model'!$B$17+IF(SUMPRODUCT(--ISNUMBER(SEARCH('Scoring Model'!$D$16:$D$25,K505)))&gt;0,'Conversion Model'!$B$18,0)+IF(SUMPRODUCT(--ISNUMBER(SEARCH('Scoring Model'!$G$16:$G$23,K505)))&gt;0,'Conversion Model'!$B$19,0)))))</f>
        <v/>
      </c>
      <c r="AH505" s="3" t="str">
        <f aca="false">IF(OR(O505="Qualified",O505="Won",O505="Lost"),1,IF(O505="Unqualified",0,""))</f>
        <v/>
      </c>
    </row>
    <row r="506" customFormat="false" ht="15" hidden="false" customHeight="true" outlineLevel="0" collapsed="false">
      <c r="A506" s="3" t="s">
        <v>1824</v>
      </c>
      <c r="B506" s="9" t="n">
        <v>46164.3069444444</v>
      </c>
      <c r="C506" s="3" t="s">
        <v>160</v>
      </c>
      <c r="D506" s="3" t="s">
        <v>1302</v>
      </c>
      <c r="E506" s="3" t="s">
        <v>1825</v>
      </c>
      <c r="F506" s="3" t="s">
        <v>54</v>
      </c>
      <c r="G506" s="3"/>
      <c r="H506" s="3"/>
      <c r="I506" s="3" t="s">
        <v>116</v>
      </c>
      <c r="J506" s="3" t="s">
        <v>145</v>
      </c>
      <c r="K506" s="3" t="s">
        <v>101</v>
      </c>
      <c r="L506" s="3" t="n">
        <v>3</v>
      </c>
      <c r="M506" s="3" t="n">
        <v>46.4</v>
      </c>
      <c r="N506" s="3" t="s">
        <v>171</v>
      </c>
      <c r="O506" s="3" t="s">
        <v>194</v>
      </c>
      <c r="P506" s="10"/>
      <c r="Q506" s="3" t="n">
        <f aca="false">IF(F506="Disposable",1,0)</f>
        <v>0</v>
      </c>
      <c r="R506" s="3" t="n">
        <f aca="false">IF(SUMPRODUCT(--ISNUMBER(SEARCH('Spam Rules'!$A$22:$A$35,K506)))&gt;0,1,0)</f>
        <v>0</v>
      </c>
      <c r="S506" s="3" t="n">
        <f aca="false">IF(AND(F506="Free",G506=""),1,0)</f>
        <v>1</v>
      </c>
      <c r="T506" s="3" t="n">
        <f aca="false">IF(LEN(TRIM(K506))&lt;15,1,0)</f>
        <v>0</v>
      </c>
      <c r="U506" s="3" t="n">
        <f aca="false">IF(COUNTIF($E$2:$E$801,E506)&gt;1,1,0)</f>
        <v>0</v>
      </c>
      <c r="V506" s="3" t="n">
        <f aca="false">Q506*'Spam Rules'!$H$6+R506*'Spam Rules'!$H$7+S506*'Spam Rules'!$H$8+T506*'Spam Rules'!$H$9+U506*'Spam Rules'!$H$10</f>
        <v>0</v>
      </c>
      <c r="W506" s="3" t="str">
        <f aca="false">IF(V506&gt;='Spam Rules'!$B$3,"Likely Spam","Genuine")</f>
        <v>Genuine</v>
      </c>
      <c r="X506" s="3" t="n">
        <f aca="false">IFERROR(INDEX('Scoring Model'!$B$5:$B$11,MATCH(C506,'Scoring Model'!$A$5:$A$11,0)),0)</f>
        <v>25</v>
      </c>
      <c r="Y506" s="3" t="n">
        <f aca="false">IFERROR(INDEX('Scoring Model'!$E$5:$E$7,MATCH(F506,'Scoring Model'!$D$5:$D$7,0)),0)</f>
        <v>0</v>
      </c>
      <c r="Z506" s="3" t="n">
        <f aca="false">IFERROR(INDEX('Scoring Model'!$H$5:$H$13,MATCH(J506,'Scoring Model'!$G$5:$G$13,0)),0)</f>
        <v>5</v>
      </c>
      <c r="AA506" s="3" t="n">
        <f aca="false">IF(L506&gt;='Scoring Model'!$B$14,'Scoring Model'!$B$15,IF(L506&gt;='Scoring Model'!$B$16,'Scoring Model'!$B$17,0))</f>
        <v>0</v>
      </c>
      <c r="AB506" s="3" t="n">
        <f aca="false">IF(SUMPRODUCT(--ISNUMBER(SEARCH('Scoring Model'!$D$16:$D$25,K506)))&gt;0,'Scoring Model'!$B$18,0)</f>
        <v>0</v>
      </c>
      <c r="AC506" s="3" t="n">
        <f aca="false">IF(SUMPRODUCT(--ISNUMBER(SEARCH('Scoring Model'!$G$16:$G$23,K506)))&gt;0,'Scoring Model'!$B$19,0)</f>
        <v>-30</v>
      </c>
      <c r="AD506" s="3" t="n">
        <f aca="false">IF(W506="Likely Spam","",SUM(X506:AC506))</f>
        <v>0</v>
      </c>
      <c r="AE506" s="3" t="str">
        <f aca="false">IF(W506="Likely Spam","Spam",IF(AD506&gt;='Scoring Model'!$B$21,"Hot",IF(AD506&gt;='Scoring Model'!$B$22,"Warm","Nurture")))</f>
        <v>Nurture</v>
      </c>
      <c r="AF506" s="3" t="str">
        <f aca="false">IF(W506="Likely Spam","Flagged by spam rules",TRIM(IF(X506&gt;=20,"Strong source. ","")&amp;IF(Y506&gt;0,"Company email. ","")&amp;IF(Z506&gt;=15,"High-value product. ","")&amp;IF(AA506&gt;='Scoring Model'!$B$15,"High engagement. ","")&amp;IF(AB506&gt;0,"Buying intent in message. ","")&amp;IF(AC506&lt;0,"Negative intent in message. ","")))</f>
        <v>Strong source. Negative intent in message.</v>
      </c>
      <c r="AG506" s="11" t="n">
        <f aca="false">IF(W506="Likely Spam","",1/(1+EXP(-('Conversion Model'!$B$5+IFERROR(INDEX('Conversion Model'!$B$8:$B$14,MATCH(C506,'Conversion Model'!$A$8:$A$14,0)),0)+IFERROR(INDEX('Conversion Model'!$E$8:$E$9,MATCH(F506,'Conversion Model'!$D$8:$D$9,0)),0)+IFERROR(INDEX('Conversion Model'!$H$8:$H$12,MATCH(IF(LEFT(J506,8)="Payments","Payments",IF(LEFT(J506,7)="Lending","Lending",J506)),'Conversion Model'!$G$8:$G$12,0)),0)+MIN(L506,15)*'Conversion Model'!$B$17+IF(SUMPRODUCT(--ISNUMBER(SEARCH('Scoring Model'!$D$16:$D$25,K506)))&gt;0,'Conversion Model'!$B$18,0)+IF(SUMPRODUCT(--ISNUMBER(SEARCH('Scoring Model'!$G$16:$G$23,K506)))&gt;0,'Conversion Model'!$B$19,0)))))</f>
        <v>0.0106762497954759</v>
      </c>
      <c r="AH506" s="3" t="n">
        <f aca="false">IF(OR(O506="Qualified",O506="Won",O506="Lost"),1,IF(O506="Unqualified",0,""))</f>
        <v>0</v>
      </c>
    </row>
    <row r="507" customFormat="false" ht="15" hidden="false" customHeight="true" outlineLevel="0" collapsed="false">
      <c r="A507" s="3" t="s">
        <v>1826</v>
      </c>
      <c r="B507" s="9" t="n">
        <v>46164.9013888889</v>
      </c>
      <c r="C507" s="3" t="s">
        <v>112</v>
      </c>
      <c r="D507" s="3" t="s">
        <v>1304</v>
      </c>
      <c r="E507" s="3" t="s">
        <v>1827</v>
      </c>
      <c r="F507" s="3" t="s">
        <v>54</v>
      </c>
      <c r="G507" s="3" t="s">
        <v>1521</v>
      </c>
      <c r="H507" s="3"/>
      <c r="I507" s="3" t="s">
        <v>139</v>
      </c>
      <c r="J507" s="3" t="s">
        <v>57</v>
      </c>
      <c r="K507" s="3" t="s">
        <v>189</v>
      </c>
      <c r="L507" s="3" t="n">
        <v>3</v>
      </c>
      <c r="M507" s="3" t="n">
        <v>17.4</v>
      </c>
      <c r="N507" s="3" t="s">
        <v>67</v>
      </c>
      <c r="O507" s="3"/>
      <c r="P507" s="10"/>
      <c r="Q507" s="3" t="n">
        <f aca="false">IF(F507="Disposable",1,0)</f>
        <v>0</v>
      </c>
      <c r="R507" s="3" t="n">
        <f aca="false">IF(SUMPRODUCT(--ISNUMBER(SEARCH('Spam Rules'!$A$22:$A$35,K507)))&gt;0,1,0)</f>
        <v>0</v>
      </c>
      <c r="S507" s="3" t="n">
        <f aca="false">IF(AND(F507="Free",G507=""),1,0)</f>
        <v>0</v>
      </c>
      <c r="T507" s="3" t="n">
        <f aca="false">IF(LEN(TRIM(K507))&lt;15,1,0)</f>
        <v>0</v>
      </c>
      <c r="U507" s="3" t="n">
        <f aca="false">IF(COUNTIF($E$2:$E$801,E507)&gt;1,1,0)</f>
        <v>0</v>
      </c>
      <c r="V507" s="3" t="n">
        <f aca="false">Q507*'Spam Rules'!$H$6+R507*'Spam Rules'!$H$7+S507*'Spam Rules'!$H$8+T507*'Spam Rules'!$H$9+U507*'Spam Rules'!$H$10</f>
        <v>0</v>
      </c>
      <c r="W507" s="3" t="str">
        <f aca="false">IF(V507&gt;='Spam Rules'!$B$3,"Likely Spam","Genuine")</f>
        <v>Genuine</v>
      </c>
      <c r="X507" s="3" t="n">
        <f aca="false">IFERROR(INDEX('Scoring Model'!$B$5:$B$11,MATCH(C507,'Scoring Model'!$A$5:$A$11,0)),0)</f>
        <v>15</v>
      </c>
      <c r="Y507" s="3" t="n">
        <f aca="false">IFERROR(INDEX('Scoring Model'!$E$5:$E$7,MATCH(F507,'Scoring Model'!$D$5:$D$7,0)),0)</f>
        <v>0</v>
      </c>
      <c r="Z507" s="3" t="n">
        <f aca="false">IFERROR(INDEX('Scoring Model'!$H$5:$H$13,MATCH(J507,'Scoring Model'!$G$5:$G$13,0)),0)</f>
        <v>15</v>
      </c>
      <c r="AA507" s="3" t="n">
        <f aca="false">IF(L507&gt;='Scoring Model'!$B$14,'Scoring Model'!$B$15,IF(L507&gt;='Scoring Model'!$B$16,'Scoring Model'!$B$17,0))</f>
        <v>0</v>
      </c>
      <c r="AB507" s="3" t="n">
        <f aca="false">IF(SUMPRODUCT(--ISNUMBER(SEARCH('Scoring Model'!$D$16:$D$25,K507)))&gt;0,'Scoring Model'!$B$18,0)</f>
        <v>15</v>
      </c>
      <c r="AC507" s="3" t="n">
        <f aca="false">IF(SUMPRODUCT(--ISNUMBER(SEARCH('Scoring Model'!$G$16:$G$23,K507)))&gt;0,'Scoring Model'!$B$19,0)</f>
        <v>0</v>
      </c>
      <c r="AD507" s="3" t="n">
        <f aca="false">IF(W507="Likely Spam","",SUM(X507:AC507))</f>
        <v>45</v>
      </c>
      <c r="AE507" s="3" t="str">
        <f aca="false">IF(W507="Likely Spam","Spam",IF(AD507&gt;='Scoring Model'!$B$21,"Hot",IF(AD507&gt;='Scoring Model'!$B$22,"Warm","Nurture")))</f>
        <v>Warm</v>
      </c>
      <c r="AF507" s="3" t="str">
        <f aca="false">IF(W507="Likely Spam","Flagged by spam rules",TRIM(IF(X507&gt;=20,"Strong source. ","")&amp;IF(Y507&gt;0,"Company email. ","")&amp;IF(Z507&gt;=15,"High-value product. ","")&amp;IF(AA507&gt;='Scoring Model'!$B$15,"High engagement. ","")&amp;IF(AB507&gt;0,"Buying intent in message. ","")&amp;IF(AC507&lt;0,"Negative intent in message. ","")))</f>
        <v>High-value product. Buying intent in message.</v>
      </c>
      <c r="AG507" s="11" t="n">
        <f aca="false">IF(W507="Likely Spam","",1/(1+EXP(-('Conversion Model'!$B$5+IFERROR(INDEX('Conversion Model'!$B$8:$B$14,MATCH(C507,'Conversion Model'!$A$8:$A$14,0)),0)+IFERROR(INDEX('Conversion Model'!$E$8:$E$9,MATCH(F507,'Conversion Model'!$D$8:$D$9,0)),0)+IFERROR(INDEX('Conversion Model'!$H$8:$H$12,MATCH(IF(LEFT(J507,8)="Payments","Payments",IF(LEFT(J507,7)="Lending","Lending",J507)),'Conversion Model'!$G$8:$G$12,0)),0)+MIN(L507,15)*'Conversion Model'!$B$17+IF(SUMPRODUCT(--ISNUMBER(SEARCH('Scoring Model'!$D$16:$D$25,K507)))&gt;0,'Conversion Model'!$B$18,0)+IF(SUMPRODUCT(--ISNUMBER(SEARCH('Scoring Model'!$G$16:$G$23,K507)))&gt;0,'Conversion Model'!$B$19,0)))))</f>
        <v>0.158557550348725</v>
      </c>
      <c r="AH507" s="3" t="str">
        <f aca="false">IF(OR(O507="Qualified",O507="Won",O507="Lost"),1,IF(O507="Unqualified",0,""))</f>
        <v/>
      </c>
    </row>
    <row r="508" customFormat="false" ht="15" hidden="false" customHeight="true" outlineLevel="0" collapsed="false">
      <c r="A508" s="3" t="s">
        <v>1828</v>
      </c>
      <c r="B508" s="9" t="n">
        <v>46164.9715277778</v>
      </c>
      <c r="C508" s="3" t="s">
        <v>51</v>
      </c>
      <c r="D508" s="3" t="s">
        <v>936</v>
      </c>
      <c r="E508" s="3" t="s">
        <v>1829</v>
      </c>
      <c r="F508" s="3" t="s">
        <v>54</v>
      </c>
      <c r="G508" s="3"/>
      <c r="H508" s="3"/>
      <c r="I508" s="3" t="s">
        <v>204</v>
      </c>
      <c r="J508" s="3" t="s">
        <v>65</v>
      </c>
      <c r="K508" s="3" t="s">
        <v>193</v>
      </c>
      <c r="L508" s="3" t="n">
        <v>4</v>
      </c>
      <c r="M508" s="3" t="n">
        <v>24.4</v>
      </c>
      <c r="N508" s="3" t="s">
        <v>171</v>
      </c>
      <c r="O508" s="3"/>
      <c r="P508" s="10"/>
      <c r="Q508" s="3" t="n">
        <f aca="false">IF(F508="Disposable",1,0)</f>
        <v>0</v>
      </c>
      <c r="R508" s="3" t="n">
        <f aca="false">IF(SUMPRODUCT(--ISNUMBER(SEARCH('Spam Rules'!$A$22:$A$35,K508)))&gt;0,1,0)</f>
        <v>0</v>
      </c>
      <c r="S508" s="3" t="n">
        <f aca="false">IF(AND(F508="Free",G508=""),1,0)</f>
        <v>1</v>
      </c>
      <c r="T508" s="3" t="n">
        <f aca="false">IF(LEN(TRIM(K508))&lt;15,1,0)</f>
        <v>0</v>
      </c>
      <c r="U508" s="3" t="n">
        <f aca="false">IF(COUNTIF($E$2:$E$801,E508)&gt;1,1,0)</f>
        <v>0</v>
      </c>
      <c r="V508" s="3" t="n">
        <f aca="false">Q508*'Spam Rules'!$H$6+R508*'Spam Rules'!$H$7+S508*'Spam Rules'!$H$8+T508*'Spam Rules'!$H$9+U508*'Spam Rules'!$H$10</f>
        <v>0</v>
      </c>
      <c r="W508" s="3" t="str">
        <f aca="false">IF(V508&gt;='Spam Rules'!$B$3,"Likely Spam","Genuine")</f>
        <v>Genuine</v>
      </c>
      <c r="X508" s="3" t="n">
        <f aca="false">IFERROR(INDEX('Scoring Model'!$B$5:$B$11,MATCH(C508,'Scoring Model'!$A$5:$A$11,0)),0)</f>
        <v>10</v>
      </c>
      <c r="Y508" s="3" t="n">
        <f aca="false">IFERROR(INDEX('Scoring Model'!$E$5:$E$7,MATCH(F508,'Scoring Model'!$D$5:$D$7,0)),0)</f>
        <v>0</v>
      </c>
      <c r="Z508" s="3" t="n">
        <f aca="false">IFERROR(INDEX('Scoring Model'!$H$5:$H$13,MATCH(J508,'Scoring Model'!$G$5:$G$13,0)),0)</f>
        <v>0</v>
      </c>
      <c r="AA508" s="3" t="n">
        <f aca="false">IF(L508&gt;='Scoring Model'!$B$14,'Scoring Model'!$B$15,IF(L508&gt;='Scoring Model'!$B$16,'Scoring Model'!$B$17,0))</f>
        <v>8</v>
      </c>
      <c r="AB508" s="3" t="n">
        <f aca="false">IF(SUMPRODUCT(--ISNUMBER(SEARCH('Scoring Model'!$D$16:$D$25,K508)))&gt;0,'Scoring Model'!$B$18,0)</f>
        <v>0</v>
      </c>
      <c r="AC508" s="3" t="n">
        <f aca="false">IF(SUMPRODUCT(--ISNUMBER(SEARCH('Scoring Model'!$G$16:$G$23,K508)))&gt;0,'Scoring Model'!$B$19,0)</f>
        <v>-30</v>
      </c>
      <c r="AD508" s="3" t="n">
        <f aca="false">IF(W508="Likely Spam","",SUM(X508:AC508))</f>
        <v>-12</v>
      </c>
      <c r="AE508" s="3" t="str">
        <f aca="false">IF(W508="Likely Spam","Spam",IF(AD508&gt;='Scoring Model'!$B$21,"Hot",IF(AD508&gt;='Scoring Model'!$B$22,"Warm","Nurture")))</f>
        <v>Nurture</v>
      </c>
      <c r="AF508" s="3" t="str">
        <f aca="false">IF(W508="Likely Spam","Flagged by spam rules",TRIM(IF(X508&gt;=20,"Strong source. ","")&amp;IF(Y508&gt;0,"Company email. ","")&amp;IF(Z508&gt;=15,"High-value product. ","")&amp;IF(AA508&gt;='Scoring Model'!$B$15,"High engagement. ","")&amp;IF(AB508&gt;0,"Buying intent in message. ","")&amp;IF(AC508&lt;0,"Negative intent in message. ","")))</f>
        <v>Negative intent in message.</v>
      </c>
      <c r="AG508" s="11" t="n">
        <f aca="false">IF(W508="Likely Spam","",1/(1+EXP(-('Conversion Model'!$B$5+IFERROR(INDEX('Conversion Model'!$B$8:$B$14,MATCH(C508,'Conversion Model'!$A$8:$A$14,0)),0)+IFERROR(INDEX('Conversion Model'!$E$8:$E$9,MATCH(F508,'Conversion Model'!$D$8:$D$9,0)),0)+IFERROR(INDEX('Conversion Model'!$H$8:$H$12,MATCH(IF(LEFT(J508,8)="Payments","Payments",IF(LEFT(J508,7)="Lending","Lending",J508)),'Conversion Model'!$G$8:$G$12,0)),0)+MIN(L508,15)*'Conversion Model'!$B$17+IF(SUMPRODUCT(--ISNUMBER(SEARCH('Scoring Model'!$D$16:$D$25,K508)))&gt;0,'Conversion Model'!$B$18,0)+IF(SUMPRODUCT(--ISNUMBER(SEARCH('Scoring Model'!$G$16:$G$23,K508)))&gt;0,'Conversion Model'!$B$19,0)))))</f>
        <v>0.0101910707855211</v>
      </c>
      <c r="AH508" s="3" t="str">
        <f aca="false">IF(OR(O508="Qualified",O508="Won",O508="Lost"),1,IF(O508="Unqualified",0,""))</f>
        <v/>
      </c>
    </row>
    <row r="509" customFormat="false" ht="15" hidden="false" customHeight="true" outlineLevel="0" collapsed="false">
      <c r="A509" s="3" t="s">
        <v>1830</v>
      </c>
      <c r="B509" s="9" t="n">
        <v>46165.8659722222</v>
      </c>
      <c r="C509" s="3" t="s">
        <v>112</v>
      </c>
      <c r="D509" s="3" t="s">
        <v>1831</v>
      </c>
      <c r="E509" s="3" t="s">
        <v>1832</v>
      </c>
      <c r="F509" s="3" t="s">
        <v>22</v>
      </c>
      <c r="G509" s="3" t="s">
        <v>1833</v>
      </c>
      <c r="H509" s="3" t="s">
        <v>1834</v>
      </c>
      <c r="I509" s="3" t="s">
        <v>334</v>
      </c>
      <c r="J509" s="3" t="s">
        <v>57</v>
      </c>
      <c r="K509" s="3" t="s">
        <v>345</v>
      </c>
      <c r="L509" s="3" t="n">
        <v>4</v>
      </c>
      <c r="M509" s="3" t="n">
        <v>3.3</v>
      </c>
      <c r="N509" s="3" t="s">
        <v>171</v>
      </c>
      <c r="O509" s="3" t="s">
        <v>147</v>
      </c>
      <c r="P509" s="10" t="n">
        <v>96000</v>
      </c>
      <c r="Q509" s="3" t="n">
        <f aca="false">IF(F509="Disposable",1,0)</f>
        <v>0</v>
      </c>
      <c r="R509" s="3" t="n">
        <f aca="false">IF(SUMPRODUCT(--ISNUMBER(SEARCH('Spam Rules'!$A$22:$A$35,K509)))&gt;0,1,0)</f>
        <v>0</v>
      </c>
      <c r="S509" s="3" t="n">
        <f aca="false">IF(AND(F509="Free",G509=""),1,0)</f>
        <v>0</v>
      </c>
      <c r="T509" s="3" t="n">
        <f aca="false">IF(LEN(TRIM(K509))&lt;15,1,0)</f>
        <v>0</v>
      </c>
      <c r="U509" s="3" t="n">
        <f aca="false">IF(COUNTIF($E$2:$E$801,E509)&gt;1,1,0)</f>
        <v>0</v>
      </c>
      <c r="V509" s="3" t="n">
        <f aca="false">Q509*'Spam Rules'!$H$6+R509*'Spam Rules'!$H$7+S509*'Spam Rules'!$H$8+T509*'Spam Rules'!$H$9+U509*'Spam Rules'!$H$10</f>
        <v>0</v>
      </c>
      <c r="W509" s="3" t="str">
        <f aca="false">IF(V509&gt;='Spam Rules'!$B$3,"Likely Spam","Genuine")</f>
        <v>Genuine</v>
      </c>
      <c r="X509" s="3" t="n">
        <f aca="false">IFERROR(INDEX('Scoring Model'!$B$5:$B$11,MATCH(C509,'Scoring Model'!$A$5:$A$11,0)),0)</f>
        <v>15</v>
      </c>
      <c r="Y509" s="3" t="n">
        <f aca="false">IFERROR(INDEX('Scoring Model'!$E$5:$E$7,MATCH(F509,'Scoring Model'!$D$5:$D$7,0)),0)</f>
        <v>20</v>
      </c>
      <c r="Z509" s="3" t="n">
        <f aca="false">IFERROR(INDEX('Scoring Model'!$H$5:$H$13,MATCH(J509,'Scoring Model'!$G$5:$G$13,0)),0)</f>
        <v>15</v>
      </c>
      <c r="AA509" s="3" t="n">
        <f aca="false">IF(L509&gt;='Scoring Model'!$B$14,'Scoring Model'!$B$15,IF(L509&gt;='Scoring Model'!$B$16,'Scoring Model'!$B$17,0))</f>
        <v>8</v>
      </c>
      <c r="AB509" s="3" t="n">
        <f aca="false">IF(SUMPRODUCT(--ISNUMBER(SEARCH('Scoring Model'!$D$16:$D$25,K509)))&gt;0,'Scoring Model'!$B$18,0)</f>
        <v>15</v>
      </c>
      <c r="AC509" s="3" t="n">
        <f aca="false">IF(SUMPRODUCT(--ISNUMBER(SEARCH('Scoring Model'!$G$16:$G$23,K509)))&gt;0,'Scoring Model'!$B$19,0)</f>
        <v>0</v>
      </c>
      <c r="AD509" s="3" t="n">
        <f aca="false">IF(W509="Likely Spam","",SUM(X509:AC509))</f>
        <v>73</v>
      </c>
      <c r="AE509" s="3" t="str">
        <f aca="false">IF(W509="Likely Spam","Spam",IF(AD509&gt;='Scoring Model'!$B$21,"Hot",IF(AD509&gt;='Scoring Model'!$B$22,"Warm","Nurture")))</f>
        <v>Hot</v>
      </c>
      <c r="AF509" s="3" t="str">
        <f aca="false">IF(W509="Likely Spam","Flagged by spam rules",TRIM(IF(X509&gt;=20,"Strong source. ","")&amp;IF(Y509&gt;0,"Company email. ","")&amp;IF(Z509&gt;=15,"High-value product. ","")&amp;IF(AA509&gt;='Scoring Model'!$B$15,"High engagement. ","")&amp;IF(AB509&gt;0,"Buying intent in message. ","")&amp;IF(AC509&lt;0,"Negative intent in message. ","")))</f>
        <v>Company email. High-value product. Buying intent in message.</v>
      </c>
      <c r="AG509" s="11" t="n">
        <f aca="false">IF(W509="Likely Spam","",1/(1+EXP(-('Conversion Model'!$B$5+IFERROR(INDEX('Conversion Model'!$B$8:$B$14,MATCH(C509,'Conversion Model'!$A$8:$A$14,0)),0)+IFERROR(INDEX('Conversion Model'!$E$8:$E$9,MATCH(F509,'Conversion Model'!$D$8:$D$9,0)),0)+IFERROR(INDEX('Conversion Model'!$H$8:$H$12,MATCH(IF(LEFT(J509,8)="Payments","Payments",IF(LEFT(J509,7)="Lending","Lending",J509)),'Conversion Model'!$G$8:$G$12,0)),0)+MIN(L509,15)*'Conversion Model'!$B$17+IF(SUMPRODUCT(--ISNUMBER(SEARCH('Scoring Model'!$D$16:$D$25,K509)))&gt;0,'Conversion Model'!$B$18,0)+IF(SUMPRODUCT(--ISNUMBER(SEARCH('Scoring Model'!$G$16:$G$23,K509)))&gt;0,'Conversion Model'!$B$19,0)))))</f>
        <v>0.503499942834454</v>
      </c>
      <c r="AH509" s="3" t="n">
        <f aca="false">IF(OR(O509="Qualified",O509="Won",O509="Lost"),1,IF(O509="Unqualified",0,""))</f>
        <v>1</v>
      </c>
    </row>
    <row r="510" customFormat="false" ht="15" hidden="false" customHeight="true" outlineLevel="0" collapsed="false">
      <c r="A510" s="3" t="s">
        <v>1835</v>
      </c>
      <c r="B510" s="9" t="n">
        <v>46166.00625</v>
      </c>
      <c r="C510" s="3" t="s">
        <v>76</v>
      </c>
      <c r="D510" s="3" t="s">
        <v>1623</v>
      </c>
      <c r="E510" s="3" t="s">
        <v>1836</v>
      </c>
      <c r="F510" s="3" t="s">
        <v>54</v>
      </c>
      <c r="G510" s="3"/>
      <c r="H510" s="3"/>
      <c r="I510" s="3" t="s">
        <v>139</v>
      </c>
      <c r="J510" s="3" t="s">
        <v>122</v>
      </c>
      <c r="K510" s="3" t="s">
        <v>213</v>
      </c>
      <c r="L510" s="3" t="n">
        <v>4</v>
      </c>
      <c r="M510" s="3" t="n">
        <v>52.2</v>
      </c>
      <c r="N510" s="3" t="s">
        <v>67</v>
      </c>
      <c r="O510" s="3" t="s">
        <v>194</v>
      </c>
      <c r="P510" s="10"/>
      <c r="Q510" s="3" t="n">
        <f aca="false">IF(F510="Disposable",1,0)</f>
        <v>0</v>
      </c>
      <c r="R510" s="3" t="n">
        <f aca="false">IF(SUMPRODUCT(--ISNUMBER(SEARCH('Spam Rules'!$A$22:$A$35,K510)))&gt;0,1,0)</f>
        <v>0</v>
      </c>
      <c r="S510" s="3" t="n">
        <f aca="false">IF(AND(F510="Free",G510=""),1,0)</f>
        <v>1</v>
      </c>
      <c r="T510" s="3" t="n">
        <f aca="false">IF(LEN(TRIM(K510))&lt;15,1,0)</f>
        <v>0</v>
      </c>
      <c r="U510" s="3" t="n">
        <f aca="false">IF(COUNTIF($E$2:$E$801,E510)&gt;1,1,0)</f>
        <v>0</v>
      </c>
      <c r="V510" s="3" t="n">
        <f aca="false">Q510*'Spam Rules'!$H$6+R510*'Spam Rules'!$H$7+S510*'Spam Rules'!$H$8+T510*'Spam Rules'!$H$9+U510*'Spam Rules'!$H$10</f>
        <v>0</v>
      </c>
      <c r="W510" s="3" t="str">
        <f aca="false">IF(V510&gt;='Spam Rules'!$B$3,"Likely Spam","Genuine")</f>
        <v>Genuine</v>
      </c>
      <c r="X510" s="3" t="n">
        <f aca="false">IFERROR(INDEX('Scoring Model'!$B$5:$B$11,MATCH(C510,'Scoring Model'!$A$5:$A$11,0)),0)</f>
        <v>0</v>
      </c>
      <c r="Y510" s="3" t="n">
        <f aca="false">IFERROR(INDEX('Scoring Model'!$E$5:$E$7,MATCH(F510,'Scoring Model'!$D$5:$D$7,0)),0)</f>
        <v>0</v>
      </c>
      <c r="Z510" s="3" t="n">
        <f aca="false">IFERROR(INDEX('Scoring Model'!$H$5:$H$13,MATCH(J510,'Scoring Model'!$G$5:$G$13,0)),0)</f>
        <v>15</v>
      </c>
      <c r="AA510" s="3" t="n">
        <f aca="false">IF(L510&gt;='Scoring Model'!$B$14,'Scoring Model'!$B$15,IF(L510&gt;='Scoring Model'!$B$16,'Scoring Model'!$B$17,0))</f>
        <v>8</v>
      </c>
      <c r="AB510" s="3" t="n">
        <f aca="false">IF(SUMPRODUCT(--ISNUMBER(SEARCH('Scoring Model'!$D$16:$D$25,K510)))&gt;0,'Scoring Model'!$B$18,0)</f>
        <v>0</v>
      </c>
      <c r="AC510" s="3" t="n">
        <f aca="false">IF(SUMPRODUCT(--ISNUMBER(SEARCH('Scoring Model'!$G$16:$G$23,K510)))&gt;0,'Scoring Model'!$B$19,0)</f>
        <v>-30</v>
      </c>
      <c r="AD510" s="3" t="n">
        <f aca="false">IF(W510="Likely Spam","",SUM(X510:AC510))</f>
        <v>-7</v>
      </c>
      <c r="AE510" s="3" t="str">
        <f aca="false">IF(W510="Likely Spam","Spam",IF(AD510&gt;='Scoring Model'!$B$21,"Hot",IF(AD510&gt;='Scoring Model'!$B$22,"Warm","Nurture")))</f>
        <v>Nurture</v>
      </c>
      <c r="AF510" s="3" t="str">
        <f aca="false">IF(W510="Likely Spam","Flagged by spam rules",TRIM(IF(X510&gt;=20,"Strong source. ","")&amp;IF(Y510&gt;0,"Company email. ","")&amp;IF(Z510&gt;=15,"High-value product. ","")&amp;IF(AA510&gt;='Scoring Model'!$B$15,"High engagement. ","")&amp;IF(AB510&gt;0,"Buying intent in message. ","")&amp;IF(AC510&lt;0,"Negative intent in message. ","")))</f>
        <v>High-value product. Negative intent in message.</v>
      </c>
      <c r="AG510" s="11" t="n">
        <f aca="false">IF(W510="Likely Spam","",1/(1+EXP(-('Conversion Model'!$B$5+IFERROR(INDEX('Conversion Model'!$B$8:$B$14,MATCH(C510,'Conversion Model'!$A$8:$A$14,0)),0)+IFERROR(INDEX('Conversion Model'!$E$8:$E$9,MATCH(F510,'Conversion Model'!$D$8:$D$9,0)),0)+IFERROR(INDEX('Conversion Model'!$H$8:$H$12,MATCH(IF(LEFT(J510,8)="Payments","Payments",IF(LEFT(J510,7)="Lending","Lending",J510)),'Conversion Model'!$G$8:$G$12,0)),0)+MIN(L510,15)*'Conversion Model'!$B$17+IF(SUMPRODUCT(--ISNUMBER(SEARCH('Scoring Model'!$D$16:$D$25,K510)))&gt;0,'Conversion Model'!$B$18,0)+IF(SUMPRODUCT(--ISNUMBER(SEARCH('Scoring Model'!$G$16:$G$23,K510)))&gt;0,'Conversion Model'!$B$19,0)))))</f>
        <v>0.0088539343157209</v>
      </c>
      <c r="AH510" s="3" t="n">
        <f aca="false">IF(OR(O510="Qualified",O510="Won",O510="Lost"),1,IF(O510="Unqualified",0,""))</f>
        <v>0</v>
      </c>
    </row>
    <row r="511" customFormat="false" ht="15" hidden="false" customHeight="true" outlineLevel="0" collapsed="false">
      <c r="A511" s="3" t="s">
        <v>1837</v>
      </c>
      <c r="B511" s="9" t="n">
        <v>46166.4013888889</v>
      </c>
      <c r="C511" s="3" t="s">
        <v>51</v>
      </c>
      <c r="D511" s="3" t="s">
        <v>1838</v>
      </c>
      <c r="E511" s="3" t="s">
        <v>1839</v>
      </c>
      <c r="F511" s="3" t="s">
        <v>22</v>
      </c>
      <c r="G511" s="3" t="s">
        <v>1840</v>
      </c>
      <c r="H511" s="3" t="s">
        <v>1841</v>
      </c>
      <c r="I511" s="3" t="s">
        <v>94</v>
      </c>
      <c r="J511" s="3" t="s">
        <v>245</v>
      </c>
      <c r="K511" s="3" t="s">
        <v>228</v>
      </c>
      <c r="L511" s="3" t="n">
        <v>5</v>
      </c>
      <c r="M511" s="3" t="n">
        <v>16.7</v>
      </c>
      <c r="N511" s="3" t="s">
        <v>59</v>
      </c>
      <c r="O511" s="3" t="s">
        <v>133</v>
      </c>
      <c r="P511" s="10"/>
      <c r="Q511" s="3" t="n">
        <f aca="false">IF(F511="Disposable",1,0)</f>
        <v>0</v>
      </c>
      <c r="R511" s="3" t="n">
        <f aca="false">IF(SUMPRODUCT(--ISNUMBER(SEARCH('Spam Rules'!$A$22:$A$35,K511)))&gt;0,1,0)</f>
        <v>0</v>
      </c>
      <c r="S511" s="3" t="n">
        <f aca="false">IF(AND(F511="Free",G511=""),1,0)</f>
        <v>0</v>
      </c>
      <c r="T511" s="3" t="n">
        <f aca="false">IF(LEN(TRIM(K511))&lt;15,1,0)</f>
        <v>0</v>
      </c>
      <c r="U511" s="3" t="n">
        <f aca="false">IF(COUNTIF($E$2:$E$801,E511)&gt;1,1,0)</f>
        <v>0</v>
      </c>
      <c r="V511" s="3" t="n">
        <f aca="false">Q511*'Spam Rules'!$H$6+R511*'Spam Rules'!$H$7+S511*'Spam Rules'!$H$8+T511*'Spam Rules'!$H$9+U511*'Spam Rules'!$H$10</f>
        <v>0</v>
      </c>
      <c r="W511" s="3" t="str">
        <f aca="false">IF(V511&gt;='Spam Rules'!$B$3,"Likely Spam","Genuine")</f>
        <v>Genuine</v>
      </c>
      <c r="X511" s="3" t="n">
        <f aca="false">IFERROR(INDEX('Scoring Model'!$B$5:$B$11,MATCH(C511,'Scoring Model'!$A$5:$A$11,0)),0)</f>
        <v>10</v>
      </c>
      <c r="Y511" s="3" t="n">
        <f aca="false">IFERROR(INDEX('Scoring Model'!$E$5:$E$7,MATCH(F511,'Scoring Model'!$D$5:$D$7,0)),0)</f>
        <v>20</v>
      </c>
      <c r="Z511" s="3" t="n">
        <f aca="false">IFERROR(INDEX('Scoring Model'!$H$5:$H$13,MATCH(J511,'Scoring Model'!$G$5:$G$13,0)),0)</f>
        <v>15</v>
      </c>
      <c r="AA511" s="3" t="n">
        <f aca="false">IF(L511&gt;='Scoring Model'!$B$14,'Scoring Model'!$B$15,IF(L511&gt;='Scoring Model'!$B$16,'Scoring Model'!$B$17,0))</f>
        <v>8</v>
      </c>
      <c r="AB511" s="3" t="n">
        <f aca="false">IF(SUMPRODUCT(--ISNUMBER(SEARCH('Scoring Model'!$D$16:$D$25,K511)))&gt;0,'Scoring Model'!$B$18,0)</f>
        <v>15</v>
      </c>
      <c r="AC511" s="3" t="n">
        <f aca="false">IF(SUMPRODUCT(--ISNUMBER(SEARCH('Scoring Model'!$G$16:$G$23,K511)))&gt;0,'Scoring Model'!$B$19,0)</f>
        <v>0</v>
      </c>
      <c r="AD511" s="3" t="n">
        <f aca="false">IF(W511="Likely Spam","",SUM(X511:AC511))</f>
        <v>68</v>
      </c>
      <c r="AE511" s="3" t="str">
        <f aca="false">IF(W511="Likely Spam","Spam",IF(AD511&gt;='Scoring Model'!$B$21,"Hot",IF(AD511&gt;='Scoring Model'!$B$22,"Warm","Nurture")))</f>
        <v>Warm</v>
      </c>
      <c r="AF511" s="3" t="str">
        <f aca="false">IF(W511="Likely Spam","Flagged by spam rules",TRIM(IF(X511&gt;=20,"Strong source. ","")&amp;IF(Y511&gt;0,"Company email. ","")&amp;IF(Z511&gt;=15,"High-value product. ","")&amp;IF(AA511&gt;='Scoring Model'!$B$15,"High engagement. ","")&amp;IF(AB511&gt;0,"Buying intent in message. ","")&amp;IF(AC511&lt;0,"Negative intent in message. ","")))</f>
        <v>Company email. High-value product. Buying intent in message.</v>
      </c>
      <c r="AG511" s="11" t="n">
        <f aca="false">IF(W511="Likely Spam","",1/(1+EXP(-('Conversion Model'!$B$5+IFERROR(INDEX('Conversion Model'!$B$8:$B$14,MATCH(C511,'Conversion Model'!$A$8:$A$14,0)),0)+IFERROR(INDEX('Conversion Model'!$E$8:$E$9,MATCH(F511,'Conversion Model'!$D$8:$D$9,0)),0)+IFERROR(INDEX('Conversion Model'!$H$8:$H$12,MATCH(IF(LEFT(J511,8)="Payments","Payments",IF(LEFT(J511,7)="Lending","Lending",J511)),'Conversion Model'!$G$8:$G$12,0)),0)+MIN(L511,15)*'Conversion Model'!$B$17+IF(SUMPRODUCT(--ISNUMBER(SEARCH('Scoring Model'!$D$16:$D$25,K511)))&gt;0,'Conversion Model'!$B$18,0)+IF(SUMPRODUCT(--ISNUMBER(SEARCH('Scoring Model'!$G$16:$G$23,K511)))&gt;0,'Conversion Model'!$B$19,0)))))</f>
        <v>0.848128836343341</v>
      </c>
      <c r="AH511" s="3" t="str">
        <f aca="false">IF(OR(O511="Qualified",O511="Won",O511="Lost"),1,IF(O511="Unqualified",0,""))</f>
        <v/>
      </c>
    </row>
    <row r="512" customFormat="false" ht="15" hidden="false" customHeight="true" outlineLevel="0" collapsed="false">
      <c r="A512" s="3" t="s">
        <v>1842</v>
      </c>
      <c r="B512" s="9" t="n">
        <v>46167.0118055556</v>
      </c>
      <c r="C512" s="3" t="s">
        <v>135</v>
      </c>
      <c r="D512" s="3" t="s">
        <v>1843</v>
      </c>
      <c r="E512" s="3" t="s">
        <v>1844</v>
      </c>
      <c r="F512" s="3" t="s">
        <v>54</v>
      </c>
      <c r="G512" s="3" t="s">
        <v>1176</v>
      </c>
      <c r="H512" s="3"/>
      <c r="I512" s="3" t="s">
        <v>227</v>
      </c>
      <c r="J512" s="3" t="s">
        <v>165</v>
      </c>
      <c r="K512" s="3" t="s">
        <v>1845</v>
      </c>
      <c r="L512" s="3" t="n">
        <v>4</v>
      </c>
      <c r="M512" s="3" t="n">
        <v>34</v>
      </c>
      <c r="N512" s="3" t="s">
        <v>171</v>
      </c>
      <c r="O512" s="3" t="s">
        <v>110</v>
      </c>
      <c r="P512" s="10"/>
      <c r="Q512" s="3" t="n">
        <f aca="false">IF(F512="Disposable",1,0)</f>
        <v>0</v>
      </c>
      <c r="R512" s="3" t="n">
        <f aca="false">IF(SUMPRODUCT(--ISNUMBER(SEARCH('Spam Rules'!$A$22:$A$35,K512)))&gt;0,1,0)</f>
        <v>0</v>
      </c>
      <c r="S512" s="3" t="n">
        <f aca="false">IF(AND(F512="Free",G512=""),1,0)</f>
        <v>0</v>
      </c>
      <c r="T512" s="3" t="n">
        <f aca="false">IF(LEN(TRIM(K512))&lt;15,1,0)</f>
        <v>0</v>
      </c>
      <c r="U512" s="3" t="n">
        <f aca="false">IF(COUNTIF($E$2:$E$801,E512)&gt;1,1,0)</f>
        <v>0</v>
      </c>
      <c r="V512" s="3" t="n">
        <f aca="false">Q512*'Spam Rules'!$H$6+R512*'Spam Rules'!$H$7+S512*'Spam Rules'!$H$8+T512*'Spam Rules'!$H$9+U512*'Spam Rules'!$H$10</f>
        <v>0</v>
      </c>
      <c r="W512" s="3" t="str">
        <f aca="false">IF(V512&gt;='Spam Rules'!$B$3,"Likely Spam","Genuine")</f>
        <v>Genuine</v>
      </c>
      <c r="X512" s="3" t="n">
        <f aca="false">IFERROR(INDEX('Scoring Model'!$B$5:$B$11,MATCH(C512,'Scoring Model'!$A$5:$A$11,0)),0)</f>
        <v>20</v>
      </c>
      <c r="Y512" s="3" t="n">
        <f aca="false">IFERROR(INDEX('Scoring Model'!$E$5:$E$7,MATCH(F512,'Scoring Model'!$D$5:$D$7,0)),0)</f>
        <v>0</v>
      </c>
      <c r="Z512" s="3" t="n">
        <f aca="false">IFERROR(INDEX('Scoring Model'!$H$5:$H$13,MATCH(J512,'Scoring Model'!$G$5:$G$13,0)),0)</f>
        <v>15</v>
      </c>
      <c r="AA512" s="3" t="n">
        <f aca="false">IF(L512&gt;='Scoring Model'!$B$14,'Scoring Model'!$B$15,IF(L512&gt;='Scoring Model'!$B$16,'Scoring Model'!$B$17,0))</f>
        <v>8</v>
      </c>
      <c r="AB512" s="3" t="n">
        <f aca="false">IF(SUMPRODUCT(--ISNUMBER(SEARCH('Scoring Model'!$D$16:$D$25,K512)))&gt;0,'Scoring Model'!$B$18,0)</f>
        <v>15</v>
      </c>
      <c r="AC512" s="3" t="n">
        <f aca="false">IF(SUMPRODUCT(--ISNUMBER(SEARCH('Scoring Model'!$G$16:$G$23,K512)))&gt;0,'Scoring Model'!$B$19,0)</f>
        <v>0</v>
      </c>
      <c r="AD512" s="3" t="n">
        <f aca="false">IF(W512="Likely Spam","",SUM(X512:AC512))</f>
        <v>58</v>
      </c>
      <c r="AE512" s="3" t="str">
        <f aca="false">IF(W512="Likely Spam","Spam",IF(AD512&gt;='Scoring Model'!$B$21,"Hot",IF(AD512&gt;='Scoring Model'!$B$22,"Warm","Nurture")))</f>
        <v>Warm</v>
      </c>
      <c r="AF512" s="3" t="str">
        <f aca="false">IF(W512="Likely Spam","Flagged by spam rules",TRIM(IF(X512&gt;=20,"Strong source. ","")&amp;IF(Y512&gt;0,"Company email. ","")&amp;IF(Z512&gt;=15,"High-value product. ","")&amp;IF(AA512&gt;='Scoring Model'!$B$15,"High engagement. ","")&amp;IF(AB512&gt;0,"Buying intent in message. ","")&amp;IF(AC512&lt;0,"Negative intent in message. ","")))</f>
        <v>Strong source. High-value product. Buying intent in message.</v>
      </c>
      <c r="AG512" s="11" t="n">
        <f aca="false">IF(W512="Likely Spam","",1/(1+EXP(-('Conversion Model'!$B$5+IFERROR(INDEX('Conversion Model'!$B$8:$B$14,MATCH(C512,'Conversion Model'!$A$8:$A$14,0)),0)+IFERROR(INDEX('Conversion Model'!$E$8:$E$9,MATCH(F512,'Conversion Model'!$D$8:$D$9,0)),0)+IFERROR(INDEX('Conversion Model'!$H$8:$H$12,MATCH(IF(LEFT(J512,8)="Payments","Payments",IF(LEFT(J512,7)="Lending","Lending",J512)),'Conversion Model'!$G$8:$G$12,0)),0)+MIN(L512,15)*'Conversion Model'!$B$17+IF(SUMPRODUCT(--ISNUMBER(SEARCH('Scoring Model'!$D$16:$D$25,K512)))&gt;0,'Conversion Model'!$B$18,0)+IF(SUMPRODUCT(--ISNUMBER(SEARCH('Scoring Model'!$G$16:$G$23,K512)))&gt;0,'Conversion Model'!$B$19,0)))))</f>
        <v>0.494500221822597</v>
      </c>
      <c r="AH512" s="3" t="n">
        <f aca="false">IF(OR(O512="Qualified",O512="Won",O512="Lost"),1,IF(O512="Unqualified",0,""))</f>
        <v>1</v>
      </c>
    </row>
    <row r="513" customFormat="false" ht="15" hidden="false" customHeight="true" outlineLevel="0" collapsed="false">
      <c r="A513" s="3" t="s">
        <v>1846</v>
      </c>
      <c r="B513" s="9" t="n">
        <v>46167.3333333333</v>
      </c>
      <c r="C513" s="3" t="s">
        <v>160</v>
      </c>
      <c r="D513" s="3" t="s">
        <v>1847</v>
      </c>
      <c r="E513" s="3" t="s">
        <v>1848</v>
      </c>
      <c r="F513" s="3" t="s">
        <v>54</v>
      </c>
      <c r="G513" s="3" t="s">
        <v>258</v>
      </c>
      <c r="H513" s="3"/>
      <c r="I513" s="3" t="s">
        <v>227</v>
      </c>
      <c r="J513" s="3" t="s">
        <v>145</v>
      </c>
      <c r="K513" s="3" t="s">
        <v>118</v>
      </c>
      <c r="L513" s="3" t="n">
        <v>3</v>
      </c>
      <c r="M513" s="3" t="n">
        <v>68.6</v>
      </c>
      <c r="N513" s="3" t="s">
        <v>67</v>
      </c>
      <c r="O513" s="3" t="s">
        <v>194</v>
      </c>
      <c r="P513" s="10"/>
      <c r="Q513" s="3" t="n">
        <f aca="false">IF(F513="Disposable",1,0)</f>
        <v>0</v>
      </c>
      <c r="R513" s="3" t="n">
        <f aca="false">IF(SUMPRODUCT(--ISNUMBER(SEARCH('Spam Rules'!$A$22:$A$35,K513)))&gt;0,1,0)</f>
        <v>0</v>
      </c>
      <c r="S513" s="3" t="n">
        <f aca="false">IF(AND(F513="Free",G513=""),1,0)</f>
        <v>0</v>
      </c>
      <c r="T513" s="3" t="n">
        <f aca="false">IF(LEN(TRIM(K513))&lt;15,1,0)</f>
        <v>0</v>
      </c>
      <c r="U513" s="3" t="n">
        <f aca="false">IF(COUNTIF($E$2:$E$801,E513)&gt;1,1,0)</f>
        <v>0</v>
      </c>
      <c r="V513" s="3" t="n">
        <f aca="false">Q513*'Spam Rules'!$H$6+R513*'Spam Rules'!$H$7+S513*'Spam Rules'!$H$8+T513*'Spam Rules'!$H$9+U513*'Spam Rules'!$H$10</f>
        <v>0</v>
      </c>
      <c r="W513" s="3" t="str">
        <f aca="false">IF(V513&gt;='Spam Rules'!$B$3,"Likely Spam","Genuine")</f>
        <v>Genuine</v>
      </c>
      <c r="X513" s="3" t="n">
        <f aca="false">IFERROR(INDEX('Scoring Model'!$B$5:$B$11,MATCH(C513,'Scoring Model'!$A$5:$A$11,0)),0)</f>
        <v>25</v>
      </c>
      <c r="Y513" s="3" t="n">
        <f aca="false">IFERROR(INDEX('Scoring Model'!$E$5:$E$7,MATCH(F513,'Scoring Model'!$D$5:$D$7,0)),0)</f>
        <v>0</v>
      </c>
      <c r="Z513" s="3" t="n">
        <f aca="false">IFERROR(INDEX('Scoring Model'!$H$5:$H$13,MATCH(J513,'Scoring Model'!$G$5:$G$13,0)),0)</f>
        <v>5</v>
      </c>
      <c r="AA513" s="3" t="n">
        <f aca="false">IF(L513&gt;='Scoring Model'!$B$14,'Scoring Model'!$B$15,IF(L513&gt;='Scoring Model'!$B$16,'Scoring Model'!$B$17,0))</f>
        <v>0</v>
      </c>
      <c r="AB513" s="3" t="n">
        <f aca="false">IF(SUMPRODUCT(--ISNUMBER(SEARCH('Scoring Model'!$D$16:$D$25,K513)))&gt;0,'Scoring Model'!$B$18,0)</f>
        <v>15</v>
      </c>
      <c r="AC513" s="3" t="n">
        <f aca="false">IF(SUMPRODUCT(--ISNUMBER(SEARCH('Scoring Model'!$G$16:$G$23,K513)))&gt;0,'Scoring Model'!$B$19,0)</f>
        <v>0</v>
      </c>
      <c r="AD513" s="3" t="n">
        <f aca="false">IF(W513="Likely Spam","",SUM(X513:AC513))</f>
        <v>45</v>
      </c>
      <c r="AE513" s="3" t="str">
        <f aca="false">IF(W513="Likely Spam","Spam",IF(AD513&gt;='Scoring Model'!$B$21,"Hot",IF(AD513&gt;='Scoring Model'!$B$22,"Warm","Nurture")))</f>
        <v>Warm</v>
      </c>
      <c r="AF513" s="3" t="str">
        <f aca="false">IF(W513="Likely Spam","Flagged by spam rules",TRIM(IF(X513&gt;=20,"Strong source. ","")&amp;IF(Y513&gt;0,"Company email. ","")&amp;IF(Z513&gt;=15,"High-value product. ","")&amp;IF(AA513&gt;='Scoring Model'!$B$15,"High engagement. ","")&amp;IF(AB513&gt;0,"Buying intent in message. ","")&amp;IF(AC513&lt;0,"Negative intent in message. ","")))</f>
        <v>Strong source. Buying intent in message.</v>
      </c>
      <c r="AG513" s="11" t="n">
        <f aca="false">IF(W513="Likely Spam","",1/(1+EXP(-('Conversion Model'!$B$5+IFERROR(INDEX('Conversion Model'!$B$8:$B$14,MATCH(C513,'Conversion Model'!$A$8:$A$14,0)),0)+IFERROR(INDEX('Conversion Model'!$E$8:$E$9,MATCH(F513,'Conversion Model'!$D$8:$D$9,0)),0)+IFERROR(INDEX('Conversion Model'!$H$8:$H$12,MATCH(IF(LEFT(J513,8)="Payments","Payments",IF(LEFT(J513,7)="Lending","Lending",J513)),'Conversion Model'!$G$8:$G$12,0)),0)+MIN(L513,15)*'Conversion Model'!$B$17+IF(SUMPRODUCT(--ISNUMBER(SEARCH('Scoring Model'!$D$16:$D$25,K513)))&gt;0,'Conversion Model'!$B$18,0)+IF(SUMPRODUCT(--ISNUMBER(SEARCH('Scoring Model'!$G$16:$G$23,K513)))&gt;0,'Conversion Model'!$B$19,0)))))</f>
        <v>0.265027400533481</v>
      </c>
      <c r="AH513" s="3" t="n">
        <f aca="false">IF(OR(O513="Qualified",O513="Won",O513="Lost"),1,IF(O513="Unqualified",0,""))</f>
        <v>0</v>
      </c>
    </row>
    <row r="514" customFormat="false" ht="15" hidden="false" customHeight="true" outlineLevel="0" collapsed="false">
      <c r="A514" s="3" t="s">
        <v>1849</v>
      </c>
      <c r="B514" s="9" t="n">
        <v>46167.6027777778</v>
      </c>
      <c r="C514" s="3" t="s">
        <v>135</v>
      </c>
      <c r="D514" s="3" t="s">
        <v>1850</v>
      </c>
      <c r="E514" s="3" t="s">
        <v>1851</v>
      </c>
      <c r="F514" s="3" t="s">
        <v>22</v>
      </c>
      <c r="G514" s="3" t="s">
        <v>447</v>
      </c>
      <c r="H514" s="3" t="s">
        <v>448</v>
      </c>
      <c r="I514" s="3" t="s">
        <v>334</v>
      </c>
      <c r="J514" s="3" t="s">
        <v>145</v>
      </c>
      <c r="K514" s="3" t="s">
        <v>213</v>
      </c>
      <c r="L514" s="3" t="n">
        <v>3</v>
      </c>
      <c r="M514" s="3" t="n">
        <v>65.8</v>
      </c>
      <c r="N514" s="3" t="s">
        <v>59</v>
      </c>
      <c r="O514" s="3" t="s">
        <v>194</v>
      </c>
      <c r="P514" s="10"/>
      <c r="Q514" s="3" t="n">
        <f aca="false">IF(F514="Disposable",1,0)</f>
        <v>0</v>
      </c>
      <c r="R514" s="3" t="n">
        <f aca="false">IF(SUMPRODUCT(--ISNUMBER(SEARCH('Spam Rules'!$A$22:$A$35,K514)))&gt;0,1,0)</f>
        <v>0</v>
      </c>
      <c r="S514" s="3" t="n">
        <f aca="false">IF(AND(F514="Free",G514=""),1,0)</f>
        <v>0</v>
      </c>
      <c r="T514" s="3" t="n">
        <f aca="false">IF(LEN(TRIM(K514))&lt;15,1,0)</f>
        <v>0</v>
      </c>
      <c r="U514" s="3" t="n">
        <f aca="false">IF(COUNTIF($E$2:$E$801,E514)&gt;1,1,0)</f>
        <v>0</v>
      </c>
      <c r="V514" s="3" t="n">
        <f aca="false">Q514*'Spam Rules'!$H$6+R514*'Spam Rules'!$H$7+S514*'Spam Rules'!$H$8+T514*'Spam Rules'!$H$9+U514*'Spam Rules'!$H$10</f>
        <v>0</v>
      </c>
      <c r="W514" s="3" t="str">
        <f aca="false">IF(V514&gt;='Spam Rules'!$B$3,"Likely Spam","Genuine")</f>
        <v>Genuine</v>
      </c>
      <c r="X514" s="3" t="n">
        <f aca="false">IFERROR(INDEX('Scoring Model'!$B$5:$B$11,MATCH(C514,'Scoring Model'!$A$5:$A$11,0)),0)</f>
        <v>20</v>
      </c>
      <c r="Y514" s="3" t="n">
        <f aca="false">IFERROR(INDEX('Scoring Model'!$E$5:$E$7,MATCH(F514,'Scoring Model'!$D$5:$D$7,0)),0)</f>
        <v>20</v>
      </c>
      <c r="Z514" s="3" t="n">
        <f aca="false">IFERROR(INDEX('Scoring Model'!$H$5:$H$13,MATCH(J514,'Scoring Model'!$G$5:$G$13,0)),0)</f>
        <v>5</v>
      </c>
      <c r="AA514" s="3" t="n">
        <f aca="false">IF(L514&gt;='Scoring Model'!$B$14,'Scoring Model'!$B$15,IF(L514&gt;='Scoring Model'!$B$16,'Scoring Model'!$B$17,0))</f>
        <v>0</v>
      </c>
      <c r="AB514" s="3" t="n">
        <f aca="false">IF(SUMPRODUCT(--ISNUMBER(SEARCH('Scoring Model'!$D$16:$D$25,K514)))&gt;0,'Scoring Model'!$B$18,0)</f>
        <v>0</v>
      </c>
      <c r="AC514" s="3" t="n">
        <f aca="false">IF(SUMPRODUCT(--ISNUMBER(SEARCH('Scoring Model'!$G$16:$G$23,K514)))&gt;0,'Scoring Model'!$B$19,0)</f>
        <v>-30</v>
      </c>
      <c r="AD514" s="3" t="n">
        <f aca="false">IF(W514="Likely Spam","",SUM(X514:AC514))</f>
        <v>15</v>
      </c>
      <c r="AE514" s="3" t="str">
        <f aca="false">IF(W514="Likely Spam","Spam",IF(AD514&gt;='Scoring Model'!$B$21,"Hot",IF(AD514&gt;='Scoring Model'!$B$22,"Warm","Nurture")))</f>
        <v>Nurture</v>
      </c>
      <c r="AF514" s="3" t="str">
        <f aca="false">IF(W514="Likely Spam","Flagged by spam rules",TRIM(IF(X514&gt;=20,"Strong source. ","")&amp;IF(Y514&gt;0,"Company email. ","")&amp;IF(Z514&gt;=15,"High-value product. ","")&amp;IF(AA514&gt;='Scoring Model'!$B$15,"High engagement. ","")&amp;IF(AB514&gt;0,"Buying intent in message. ","")&amp;IF(AC514&lt;0,"Negative intent in message. ","")))</f>
        <v>Strong source. Company email. Negative intent in message.</v>
      </c>
      <c r="AG514" s="11" t="n">
        <f aca="false">IF(W514="Likely Spam","",1/(1+EXP(-('Conversion Model'!$B$5+IFERROR(INDEX('Conversion Model'!$B$8:$B$14,MATCH(C514,'Conversion Model'!$A$8:$A$14,0)),0)+IFERROR(INDEX('Conversion Model'!$E$8:$E$9,MATCH(F514,'Conversion Model'!$D$8:$D$9,0)),0)+IFERROR(INDEX('Conversion Model'!$H$8:$H$12,MATCH(IF(LEFT(J514,8)="Payments","Payments",IF(LEFT(J514,7)="Lending","Lending",J514)),'Conversion Model'!$G$8:$G$12,0)),0)+MIN(L514,15)*'Conversion Model'!$B$17+IF(SUMPRODUCT(--ISNUMBER(SEARCH('Scoring Model'!$D$16:$D$25,K514)))&gt;0,'Conversion Model'!$B$18,0)+IF(SUMPRODUCT(--ISNUMBER(SEARCH('Scoring Model'!$G$16:$G$23,K514)))&gt;0,'Conversion Model'!$B$19,0)))))</f>
        <v>0.0359504878545623</v>
      </c>
      <c r="AH514" s="3" t="n">
        <f aca="false">IF(OR(O514="Qualified",O514="Won",O514="Lost"),1,IF(O514="Unqualified",0,""))</f>
        <v>0</v>
      </c>
    </row>
    <row r="515" customFormat="false" ht="15" hidden="false" customHeight="true" outlineLevel="0" collapsed="false">
      <c r="A515" s="3" t="s">
        <v>1852</v>
      </c>
      <c r="B515" s="9" t="n">
        <v>46169.6840277778</v>
      </c>
      <c r="C515" s="3" t="s">
        <v>76</v>
      </c>
      <c r="D515" s="3" t="s">
        <v>545</v>
      </c>
      <c r="E515" s="3" t="s">
        <v>1853</v>
      </c>
      <c r="F515" s="3" t="s">
        <v>54</v>
      </c>
      <c r="G515" s="3"/>
      <c r="H515" s="3"/>
      <c r="I515" s="3" t="s">
        <v>94</v>
      </c>
      <c r="J515" s="3" t="s">
        <v>81</v>
      </c>
      <c r="K515" s="3" t="s">
        <v>101</v>
      </c>
      <c r="L515" s="3" t="n">
        <v>2</v>
      </c>
      <c r="M515" s="3" t="n">
        <v>14.5</v>
      </c>
      <c r="N515" s="3" t="s">
        <v>96</v>
      </c>
      <c r="O515" s="3"/>
      <c r="P515" s="10"/>
      <c r="Q515" s="3" t="n">
        <f aca="false">IF(F515="Disposable",1,0)</f>
        <v>0</v>
      </c>
      <c r="R515" s="3" t="n">
        <f aca="false">IF(SUMPRODUCT(--ISNUMBER(SEARCH('Spam Rules'!$A$22:$A$35,K515)))&gt;0,1,0)</f>
        <v>0</v>
      </c>
      <c r="S515" s="3" t="n">
        <f aca="false">IF(AND(F515="Free",G515=""),1,0)</f>
        <v>1</v>
      </c>
      <c r="T515" s="3" t="n">
        <f aca="false">IF(LEN(TRIM(K515))&lt;15,1,0)</f>
        <v>0</v>
      </c>
      <c r="U515" s="3" t="n">
        <f aca="false">IF(COUNTIF($E$2:$E$801,E515)&gt;1,1,0)</f>
        <v>0</v>
      </c>
      <c r="V515" s="3" t="n">
        <f aca="false">Q515*'Spam Rules'!$H$6+R515*'Spam Rules'!$H$7+S515*'Spam Rules'!$H$8+T515*'Spam Rules'!$H$9+U515*'Spam Rules'!$H$10</f>
        <v>0</v>
      </c>
      <c r="W515" s="3" t="str">
        <f aca="false">IF(V515&gt;='Spam Rules'!$B$3,"Likely Spam","Genuine")</f>
        <v>Genuine</v>
      </c>
      <c r="X515" s="3" t="n">
        <f aca="false">IFERROR(INDEX('Scoring Model'!$B$5:$B$11,MATCH(C515,'Scoring Model'!$A$5:$A$11,0)),0)</f>
        <v>0</v>
      </c>
      <c r="Y515" s="3" t="n">
        <f aca="false">IFERROR(INDEX('Scoring Model'!$E$5:$E$7,MATCH(F515,'Scoring Model'!$D$5:$D$7,0)),0)</f>
        <v>0</v>
      </c>
      <c r="Z515" s="3" t="n">
        <f aca="false">IFERROR(INDEX('Scoring Model'!$H$5:$H$13,MATCH(J515,'Scoring Model'!$G$5:$G$13,0)),0)</f>
        <v>5</v>
      </c>
      <c r="AA515" s="3" t="n">
        <f aca="false">IF(L515&gt;='Scoring Model'!$B$14,'Scoring Model'!$B$15,IF(L515&gt;='Scoring Model'!$B$16,'Scoring Model'!$B$17,0))</f>
        <v>0</v>
      </c>
      <c r="AB515" s="3" t="n">
        <f aca="false">IF(SUMPRODUCT(--ISNUMBER(SEARCH('Scoring Model'!$D$16:$D$25,K515)))&gt;0,'Scoring Model'!$B$18,0)</f>
        <v>0</v>
      </c>
      <c r="AC515" s="3" t="n">
        <f aca="false">IF(SUMPRODUCT(--ISNUMBER(SEARCH('Scoring Model'!$G$16:$G$23,K515)))&gt;0,'Scoring Model'!$B$19,0)</f>
        <v>-30</v>
      </c>
      <c r="AD515" s="3" t="n">
        <f aca="false">IF(W515="Likely Spam","",SUM(X515:AC515))</f>
        <v>-25</v>
      </c>
      <c r="AE515" s="3" t="str">
        <f aca="false">IF(W515="Likely Spam","Spam",IF(AD515&gt;='Scoring Model'!$B$21,"Hot",IF(AD515&gt;='Scoring Model'!$B$22,"Warm","Nurture")))</f>
        <v>Nurture</v>
      </c>
      <c r="AF515" s="3" t="str">
        <f aca="false">IF(W515="Likely Spam","Flagged by spam rules",TRIM(IF(X515&gt;=20,"Strong source. ","")&amp;IF(Y515&gt;0,"Company email. ","")&amp;IF(Z515&gt;=15,"High-value product. ","")&amp;IF(AA515&gt;='Scoring Model'!$B$15,"High engagement. ","")&amp;IF(AB515&gt;0,"Buying intent in message. ","")&amp;IF(AC515&lt;0,"Negative intent in message. ","")))</f>
        <v>Negative intent in message.</v>
      </c>
      <c r="AG515" s="11" t="n">
        <f aca="false">IF(W515="Likely Spam","",1/(1+EXP(-('Conversion Model'!$B$5+IFERROR(INDEX('Conversion Model'!$B$8:$B$14,MATCH(C515,'Conversion Model'!$A$8:$A$14,0)),0)+IFERROR(INDEX('Conversion Model'!$E$8:$E$9,MATCH(F515,'Conversion Model'!$D$8:$D$9,0)),0)+IFERROR(INDEX('Conversion Model'!$H$8:$H$12,MATCH(IF(LEFT(J515,8)="Payments","Payments",IF(LEFT(J515,7)="Lending","Lending",J515)),'Conversion Model'!$G$8:$G$12,0)),0)+MIN(L515,15)*'Conversion Model'!$B$17+IF(SUMPRODUCT(--ISNUMBER(SEARCH('Scoring Model'!$D$16:$D$25,K515)))&gt;0,'Conversion Model'!$B$18,0)+IF(SUMPRODUCT(--ISNUMBER(SEARCH('Scoring Model'!$G$16:$G$23,K515)))&gt;0,'Conversion Model'!$B$19,0)))))</f>
        <v>0.00121961461565123</v>
      </c>
      <c r="AH515" s="3" t="str">
        <f aca="false">IF(OR(O515="Qualified",O515="Won",O515="Lost"),1,IF(O515="Unqualified",0,""))</f>
        <v/>
      </c>
    </row>
    <row r="516" customFormat="false" ht="15" hidden="false" customHeight="true" outlineLevel="0" collapsed="false">
      <c r="A516" s="3" t="s">
        <v>1854</v>
      </c>
      <c r="B516" s="9" t="n">
        <v>46169.9923611111</v>
      </c>
      <c r="C516" s="3" t="s">
        <v>91</v>
      </c>
      <c r="D516" s="3" t="s">
        <v>207</v>
      </c>
      <c r="E516" s="3" t="s">
        <v>1855</v>
      </c>
      <c r="F516" s="3" t="s">
        <v>22</v>
      </c>
      <c r="G516" s="3" t="s">
        <v>1856</v>
      </c>
      <c r="H516" s="3" t="s">
        <v>1857</v>
      </c>
      <c r="I516" s="3" t="s">
        <v>80</v>
      </c>
      <c r="J516" s="3" t="s">
        <v>145</v>
      </c>
      <c r="K516" s="3" t="s">
        <v>101</v>
      </c>
      <c r="L516" s="3" t="n">
        <v>3</v>
      </c>
      <c r="M516" s="3" t="n">
        <v>6.7</v>
      </c>
      <c r="N516" s="3" t="s">
        <v>67</v>
      </c>
      <c r="O516" s="3" t="s">
        <v>194</v>
      </c>
      <c r="P516" s="10"/>
      <c r="Q516" s="3" t="n">
        <f aca="false">IF(F516="Disposable",1,0)</f>
        <v>0</v>
      </c>
      <c r="R516" s="3" t="n">
        <f aca="false">IF(SUMPRODUCT(--ISNUMBER(SEARCH('Spam Rules'!$A$22:$A$35,K516)))&gt;0,1,0)</f>
        <v>0</v>
      </c>
      <c r="S516" s="3" t="n">
        <f aca="false">IF(AND(F516="Free",G516=""),1,0)</f>
        <v>0</v>
      </c>
      <c r="T516" s="3" t="n">
        <f aca="false">IF(LEN(TRIM(K516))&lt;15,1,0)</f>
        <v>0</v>
      </c>
      <c r="U516" s="3" t="n">
        <f aca="false">IF(COUNTIF($E$2:$E$801,E516)&gt;1,1,0)</f>
        <v>0</v>
      </c>
      <c r="V516" s="3" t="n">
        <f aca="false">Q516*'Spam Rules'!$H$6+R516*'Spam Rules'!$H$7+S516*'Spam Rules'!$H$8+T516*'Spam Rules'!$H$9+U516*'Spam Rules'!$H$10</f>
        <v>0</v>
      </c>
      <c r="W516" s="3" t="str">
        <f aca="false">IF(V516&gt;='Spam Rules'!$B$3,"Likely Spam","Genuine")</f>
        <v>Genuine</v>
      </c>
      <c r="X516" s="3" t="n">
        <f aca="false">IFERROR(INDEX('Scoring Model'!$B$5:$B$11,MATCH(C516,'Scoring Model'!$A$5:$A$11,0)),0)</f>
        <v>5</v>
      </c>
      <c r="Y516" s="3" t="n">
        <f aca="false">IFERROR(INDEX('Scoring Model'!$E$5:$E$7,MATCH(F516,'Scoring Model'!$D$5:$D$7,0)),0)</f>
        <v>20</v>
      </c>
      <c r="Z516" s="3" t="n">
        <f aca="false">IFERROR(INDEX('Scoring Model'!$H$5:$H$13,MATCH(J516,'Scoring Model'!$G$5:$G$13,0)),0)</f>
        <v>5</v>
      </c>
      <c r="AA516" s="3" t="n">
        <f aca="false">IF(L516&gt;='Scoring Model'!$B$14,'Scoring Model'!$B$15,IF(L516&gt;='Scoring Model'!$B$16,'Scoring Model'!$B$17,0))</f>
        <v>0</v>
      </c>
      <c r="AB516" s="3" t="n">
        <f aca="false">IF(SUMPRODUCT(--ISNUMBER(SEARCH('Scoring Model'!$D$16:$D$25,K516)))&gt;0,'Scoring Model'!$B$18,0)</f>
        <v>0</v>
      </c>
      <c r="AC516" s="3" t="n">
        <f aca="false">IF(SUMPRODUCT(--ISNUMBER(SEARCH('Scoring Model'!$G$16:$G$23,K516)))&gt;0,'Scoring Model'!$B$19,0)</f>
        <v>-30</v>
      </c>
      <c r="AD516" s="3" t="n">
        <f aca="false">IF(W516="Likely Spam","",SUM(X516:AC516))</f>
        <v>0</v>
      </c>
      <c r="AE516" s="3" t="str">
        <f aca="false">IF(W516="Likely Spam","Spam",IF(AD516&gt;='Scoring Model'!$B$21,"Hot",IF(AD516&gt;='Scoring Model'!$B$22,"Warm","Nurture")))</f>
        <v>Nurture</v>
      </c>
      <c r="AF516" s="3" t="str">
        <f aca="false">IF(W516="Likely Spam","Flagged by spam rules",TRIM(IF(X516&gt;=20,"Strong source. ","")&amp;IF(Y516&gt;0,"Company email. ","")&amp;IF(Z516&gt;=15,"High-value product. ","")&amp;IF(AA516&gt;='Scoring Model'!$B$15,"High engagement. ","")&amp;IF(AB516&gt;0,"Buying intent in message. ","")&amp;IF(AC516&lt;0,"Negative intent in message. ","")))</f>
        <v>Company email. Negative intent in message.</v>
      </c>
      <c r="AG516" s="11" t="n">
        <f aca="false">IF(W516="Likely Spam","",1/(1+EXP(-('Conversion Model'!$B$5+IFERROR(INDEX('Conversion Model'!$B$8:$B$14,MATCH(C516,'Conversion Model'!$A$8:$A$14,0)),0)+IFERROR(INDEX('Conversion Model'!$E$8:$E$9,MATCH(F516,'Conversion Model'!$D$8:$D$9,0)),0)+IFERROR(INDEX('Conversion Model'!$H$8:$H$12,MATCH(IF(LEFT(J516,8)="Payments","Payments",IF(LEFT(J516,7)="Lending","Lending",J516)),'Conversion Model'!$G$8:$G$12,0)),0)+MIN(L516,15)*'Conversion Model'!$B$17+IF(SUMPRODUCT(--ISNUMBER(SEARCH('Scoring Model'!$D$16:$D$25,K516)))&gt;0,'Conversion Model'!$B$18,0)+IF(SUMPRODUCT(--ISNUMBER(SEARCH('Scoring Model'!$G$16:$G$23,K516)))&gt;0,'Conversion Model'!$B$19,0)))))</f>
        <v>0.0112396975828774</v>
      </c>
      <c r="AH516" s="3" t="n">
        <f aca="false">IF(OR(O516="Qualified",O516="Won",O516="Lost"),1,IF(O516="Unqualified",0,""))</f>
        <v>0</v>
      </c>
    </row>
    <row r="517" customFormat="false" ht="15" hidden="false" customHeight="true" outlineLevel="0" collapsed="false">
      <c r="A517" s="3" t="s">
        <v>1858</v>
      </c>
      <c r="B517" s="9" t="n">
        <v>46170.1395833333</v>
      </c>
      <c r="C517" s="3" t="s">
        <v>91</v>
      </c>
      <c r="D517" s="3" t="s">
        <v>1235</v>
      </c>
      <c r="E517" s="3" t="s">
        <v>1859</v>
      </c>
      <c r="F517" s="3" t="s">
        <v>54</v>
      </c>
      <c r="G517" s="3"/>
      <c r="H517" s="3"/>
      <c r="I517" s="3" t="s">
        <v>188</v>
      </c>
      <c r="J517" s="3" t="s">
        <v>81</v>
      </c>
      <c r="K517" s="3" t="s">
        <v>378</v>
      </c>
      <c r="L517" s="3" t="n">
        <v>4</v>
      </c>
      <c r="M517" s="3" t="n">
        <v>11.5</v>
      </c>
      <c r="N517" s="3" t="s">
        <v>171</v>
      </c>
      <c r="O517" s="3" t="s">
        <v>194</v>
      </c>
      <c r="P517" s="10"/>
      <c r="Q517" s="3" t="n">
        <f aca="false">IF(F517="Disposable",1,0)</f>
        <v>0</v>
      </c>
      <c r="R517" s="3" t="n">
        <f aca="false">IF(SUMPRODUCT(--ISNUMBER(SEARCH('Spam Rules'!$A$22:$A$35,K517)))&gt;0,1,0)</f>
        <v>0</v>
      </c>
      <c r="S517" s="3" t="n">
        <f aca="false">IF(AND(F517="Free",G517=""),1,0)</f>
        <v>1</v>
      </c>
      <c r="T517" s="3" t="n">
        <f aca="false">IF(LEN(TRIM(K517))&lt;15,1,0)</f>
        <v>0</v>
      </c>
      <c r="U517" s="3" t="n">
        <f aca="false">IF(COUNTIF($E$2:$E$801,E517)&gt;1,1,0)</f>
        <v>0</v>
      </c>
      <c r="V517" s="3" t="n">
        <f aca="false">Q517*'Spam Rules'!$H$6+R517*'Spam Rules'!$H$7+S517*'Spam Rules'!$H$8+T517*'Spam Rules'!$H$9+U517*'Spam Rules'!$H$10</f>
        <v>0</v>
      </c>
      <c r="W517" s="3" t="str">
        <f aca="false">IF(V517&gt;='Spam Rules'!$B$3,"Likely Spam","Genuine")</f>
        <v>Genuine</v>
      </c>
      <c r="X517" s="3" t="n">
        <f aca="false">IFERROR(INDEX('Scoring Model'!$B$5:$B$11,MATCH(C517,'Scoring Model'!$A$5:$A$11,0)),0)</f>
        <v>5</v>
      </c>
      <c r="Y517" s="3" t="n">
        <f aca="false">IFERROR(INDEX('Scoring Model'!$E$5:$E$7,MATCH(F517,'Scoring Model'!$D$5:$D$7,0)),0)</f>
        <v>0</v>
      </c>
      <c r="Z517" s="3" t="n">
        <f aca="false">IFERROR(INDEX('Scoring Model'!$H$5:$H$13,MATCH(J517,'Scoring Model'!$G$5:$G$13,0)),0)</f>
        <v>5</v>
      </c>
      <c r="AA517" s="3" t="n">
        <f aca="false">IF(L517&gt;='Scoring Model'!$B$14,'Scoring Model'!$B$15,IF(L517&gt;='Scoring Model'!$B$16,'Scoring Model'!$B$17,0))</f>
        <v>8</v>
      </c>
      <c r="AB517" s="3" t="n">
        <f aca="false">IF(SUMPRODUCT(--ISNUMBER(SEARCH('Scoring Model'!$D$16:$D$25,K517)))&gt;0,'Scoring Model'!$B$18,0)</f>
        <v>0</v>
      </c>
      <c r="AC517" s="3" t="n">
        <f aca="false">IF(SUMPRODUCT(--ISNUMBER(SEARCH('Scoring Model'!$G$16:$G$23,K517)))&gt;0,'Scoring Model'!$B$19,0)</f>
        <v>-30</v>
      </c>
      <c r="AD517" s="3" t="n">
        <f aca="false">IF(W517="Likely Spam","",SUM(X517:AC517))</f>
        <v>-12</v>
      </c>
      <c r="AE517" s="3" t="str">
        <f aca="false">IF(W517="Likely Spam","Spam",IF(AD517&gt;='Scoring Model'!$B$21,"Hot",IF(AD517&gt;='Scoring Model'!$B$22,"Warm","Nurture")))</f>
        <v>Nurture</v>
      </c>
      <c r="AF517" s="3" t="str">
        <f aca="false">IF(W517="Likely Spam","Flagged by spam rules",TRIM(IF(X517&gt;=20,"Strong source. ","")&amp;IF(Y517&gt;0,"Company email. ","")&amp;IF(Z517&gt;=15,"High-value product. ","")&amp;IF(AA517&gt;='Scoring Model'!$B$15,"High engagement. ","")&amp;IF(AB517&gt;0,"Buying intent in message. ","")&amp;IF(AC517&lt;0,"Negative intent in message. ","")))</f>
        <v>Negative intent in message.</v>
      </c>
      <c r="AG517" s="11" t="n">
        <f aca="false">IF(W517="Likely Spam","",1/(1+EXP(-('Conversion Model'!$B$5+IFERROR(INDEX('Conversion Model'!$B$8:$B$14,MATCH(C517,'Conversion Model'!$A$8:$A$14,0)),0)+IFERROR(INDEX('Conversion Model'!$E$8:$E$9,MATCH(F517,'Conversion Model'!$D$8:$D$9,0)),0)+IFERROR(INDEX('Conversion Model'!$H$8:$H$12,MATCH(IF(LEFT(J517,8)="Payments","Payments",IF(LEFT(J517,7)="Lending","Lending",J517)),'Conversion Model'!$G$8:$G$12,0)),0)+MIN(L517,15)*'Conversion Model'!$B$17+IF(SUMPRODUCT(--ISNUMBER(SEARCH('Scoring Model'!$D$16:$D$25,K517)))&gt;0,'Conversion Model'!$B$18,0)+IF(SUMPRODUCT(--ISNUMBER(SEARCH('Scoring Model'!$G$16:$G$23,K517)))&gt;0,'Conversion Model'!$B$19,0)))))</f>
        <v>0.00602976034533119</v>
      </c>
      <c r="AH517" s="3" t="n">
        <f aca="false">IF(OR(O517="Qualified",O517="Won",O517="Lost"),1,IF(O517="Unqualified",0,""))</f>
        <v>0</v>
      </c>
    </row>
    <row r="518" customFormat="false" ht="15" hidden="false" customHeight="true" outlineLevel="0" collapsed="false">
      <c r="A518" s="3" t="s">
        <v>1860</v>
      </c>
      <c r="B518" s="9" t="n">
        <v>46170.23125</v>
      </c>
      <c r="C518" s="3" t="s">
        <v>51</v>
      </c>
      <c r="D518" s="3" t="s">
        <v>77</v>
      </c>
      <c r="E518" s="3" t="s">
        <v>1861</v>
      </c>
      <c r="F518" s="3" t="s">
        <v>22</v>
      </c>
      <c r="G518" s="3" t="s">
        <v>1862</v>
      </c>
      <c r="H518" s="3" t="s">
        <v>1863</v>
      </c>
      <c r="I518" s="3" t="s">
        <v>260</v>
      </c>
      <c r="J518" s="3" t="s">
        <v>145</v>
      </c>
      <c r="K518" s="3" t="s">
        <v>1864</v>
      </c>
      <c r="L518" s="3" t="n">
        <v>3</v>
      </c>
      <c r="M518" s="3" t="n">
        <v>14.8</v>
      </c>
      <c r="N518" s="3" t="s">
        <v>171</v>
      </c>
      <c r="O518" s="3"/>
      <c r="P518" s="10"/>
      <c r="Q518" s="3" t="n">
        <f aca="false">IF(F518="Disposable",1,0)</f>
        <v>0</v>
      </c>
      <c r="R518" s="3" t="n">
        <f aca="false">IF(SUMPRODUCT(--ISNUMBER(SEARCH('Spam Rules'!$A$22:$A$35,K518)))&gt;0,1,0)</f>
        <v>0</v>
      </c>
      <c r="S518" s="3" t="n">
        <f aca="false">IF(AND(F518="Free",G518=""),1,0)</f>
        <v>0</v>
      </c>
      <c r="T518" s="3" t="n">
        <f aca="false">IF(LEN(TRIM(K518))&lt;15,1,0)</f>
        <v>0</v>
      </c>
      <c r="U518" s="3" t="n">
        <f aca="false">IF(COUNTIF($E$2:$E$801,E518)&gt;1,1,0)</f>
        <v>0</v>
      </c>
      <c r="V518" s="3" t="n">
        <f aca="false">Q518*'Spam Rules'!$H$6+R518*'Spam Rules'!$H$7+S518*'Spam Rules'!$H$8+T518*'Spam Rules'!$H$9+U518*'Spam Rules'!$H$10</f>
        <v>0</v>
      </c>
      <c r="W518" s="3" t="str">
        <f aca="false">IF(V518&gt;='Spam Rules'!$B$3,"Likely Spam","Genuine")</f>
        <v>Genuine</v>
      </c>
      <c r="X518" s="3" t="n">
        <f aca="false">IFERROR(INDEX('Scoring Model'!$B$5:$B$11,MATCH(C518,'Scoring Model'!$A$5:$A$11,0)),0)</f>
        <v>10</v>
      </c>
      <c r="Y518" s="3" t="n">
        <f aca="false">IFERROR(INDEX('Scoring Model'!$E$5:$E$7,MATCH(F518,'Scoring Model'!$D$5:$D$7,0)),0)</f>
        <v>20</v>
      </c>
      <c r="Z518" s="3" t="n">
        <f aca="false">IFERROR(INDEX('Scoring Model'!$H$5:$H$13,MATCH(J518,'Scoring Model'!$G$5:$G$13,0)),0)</f>
        <v>5</v>
      </c>
      <c r="AA518" s="3" t="n">
        <f aca="false">IF(L518&gt;='Scoring Model'!$B$14,'Scoring Model'!$B$15,IF(L518&gt;='Scoring Model'!$B$16,'Scoring Model'!$B$17,0))</f>
        <v>0</v>
      </c>
      <c r="AB518" s="3" t="n">
        <f aca="false">IF(SUMPRODUCT(--ISNUMBER(SEARCH('Scoring Model'!$D$16:$D$25,K518)))&gt;0,'Scoring Model'!$B$18,0)</f>
        <v>15</v>
      </c>
      <c r="AC518" s="3" t="n">
        <f aca="false">IF(SUMPRODUCT(--ISNUMBER(SEARCH('Scoring Model'!$G$16:$G$23,K518)))&gt;0,'Scoring Model'!$B$19,0)</f>
        <v>0</v>
      </c>
      <c r="AD518" s="3" t="n">
        <f aca="false">IF(W518="Likely Spam","",SUM(X518:AC518))</f>
        <v>50</v>
      </c>
      <c r="AE518" s="3" t="str">
        <f aca="false">IF(W518="Likely Spam","Spam",IF(AD518&gt;='Scoring Model'!$B$21,"Hot",IF(AD518&gt;='Scoring Model'!$B$22,"Warm","Nurture")))</f>
        <v>Warm</v>
      </c>
      <c r="AF518" s="3" t="str">
        <f aca="false">IF(W518="Likely Spam","Flagged by spam rules",TRIM(IF(X518&gt;=20,"Strong source. ","")&amp;IF(Y518&gt;0,"Company email. ","")&amp;IF(Z518&gt;=15,"High-value product. ","")&amp;IF(AA518&gt;='Scoring Model'!$B$15,"High engagement. ","")&amp;IF(AB518&gt;0,"Buying intent in message. ","")&amp;IF(AC518&lt;0,"Negative intent in message. ","")))</f>
        <v>Company email. Buying intent in message.</v>
      </c>
      <c r="AG518" s="11" t="n">
        <f aca="false">IF(W518="Likely Spam","",1/(1+EXP(-('Conversion Model'!$B$5+IFERROR(INDEX('Conversion Model'!$B$8:$B$14,MATCH(C518,'Conversion Model'!$A$8:$A$14,0)),0)+IFERROR(INDEX('Conversion Model'!$E$8:$E$9,MATCH(F518,'Conversion Model'!$D$8:$D$9,0)),0)+IFERROR(INDEX('Conversion Model'!$H$8:$H$12,MATCH(IF(LEFT(J518,8)="Payments","Payments",IF(LEFT(J518,7)="Lending","Lending",J518)),'Conversion Model'!$G$8:$G$12,0)),0)+MIN(L518,15)*'Conversion Model'!$B$17+IF(SUMPRODUCT(--ISNUMBER(SEARCH('Scoring Model'!$D$16:$D$25,K518)))&gt;0,'Conversion Model'!$B$18,0)+IF(SUMPRODUCT(--ISNUMBER(SEARCH('Scoring Model'!$G$16:$G$23,K518)))&gt;0,'Conversion Model'!$B$19,0)))))</f>
        <v>0.341638727638786</v>
      </c>
      <c r="AH518" s="3" t="str">
        <f aca="false">IF(OR(O518="Qualified",O518="Won",O518="Lost"),1,IF(O518="Unqualified",0,""))</f>
        <v/>
      </c>
    </row>
    <row r="519" customFormat="false" ht="15" hidden="false" customHeight="true" outlineLevel="0" collapsed="false">
      <c r="A519" s="3" t="s">
        <v>1865</v>
      </c>
      <c r="B519" s="9" t="n">
        <v>46170.3777777778</v>
      </c>
      <c r="C519" s="3" t="s">
        <v>128</v>
      </c>
      <c r="D519" s="3" t="s">
        <v>1866</v>
      </c>
      <c r="E519" s="3" t="s">
        <v>1867</v>
      </c>
      <c r="F519" s="3" t="s">
        <v>54</v>
      </c>
      <c r="G519" s="3"/>
      <c r="H519" s="3"/>
      <c r="I519" s="3" t="s">
        <v>204</v>
      </c>
      <c r="J519" s="3" t="s">
        <v>65</v>
      </c>
      <c r="K519" s="3" t="s">
        <v>349</v>
      </c>
      <c r="L519" s="3" t="n">
        <v>4</v>
      </c>
      <c r="M519" s="3" t="n">
        <v>10.3</v>
      </c>
      <c r="N519" s="3" t="s">
        <v>59</v>
      </c>
      <c r="O519" s="3" t="s">
        <v>194</v>
      </c>
      <c r="P519" s="10"/>
      <c r="Q519" s="3" t="n">
        <f aca="false">IF(F519="Disposable",1,0)</f>
        <v>0</v>
      </c>
      <c r="R519" s="3" t="n">
        <f aca="false">IF(SUMPRODUCT(--ISNUMBER(SEARCH('Spam Rules'!$A$22:$A$35,K519)))&gt;0,1,0)</f>
        <v>0</v>
      </c>
      <c r="S519" s="3" t="n">
        <f aca="false">IF(AND(F519="Free",G519=""),1,0)</f>
        <v>1</v>
      </c>
      <c r="T519" s="3" t="n">
        <f aca="false">IF(LEN(TRIM(K519))&lt;15,1,0)</f>
        <v>0</v>
      </c>
      <c r="U519" s="3" t="n">
        <f aca="false">IF(COUNTIF($E$2:$E$801,E519)&gt;1,1,0)</f>
        <v>0</v>
      </c>
      <c r="V519" s="3" t="n">
        <f aca="false">Q519*'Spam Rules'!$H$6+R519*'Spam Rules'!$H$7+S519*'Spam Rules'!$H$8+T519*'Spam Rules'!$H$9+U519*'Spam Rules'!$H$10</f>
        <v>0</v>
      </c>
      <c r="W519" s="3" t="str">
        <f aca="false">IF(V519&gt;='Spam Rules'!$B$3,"Likely Spam","Genuine")</f>
        <v>Genuine</v>
      </c>
      <c r="X519" s="3" t="n">
        <f aca="false">IFERROR(INDEX('Scoring Model'!$B$5:$B$11,MATCH(C519,'Scoring Model'!$A$5:$A$11,0)),0)</f>
        <v>30</v>
      </c>
      <c r="Y519" s="3" t="n">
        <f aca="false">IFERROR(INDEX('Scoring Model'!$E$5:$E$7,MATCH(F519,'Scoring Model'!$D$5:$D$7,0)),0)</f>
        <v>0</v>
      </c>
      <c r="Z519" s="3" t="n">
        <f aca="false">IFERROR(INDEX('Scoring Model'!$H$5:$H$13,MATCH(J519,'Scoring Model'!$G$5:$G$13,0)),0)</f>
        <v>0</v>
      </c>
      <c r="AA519" s="3" t="n">
        <f aca="false">IF(L519&gt;='Scoring Model'!$B$14,'Scoring Model'!$B$15,IF(L519&gt;='Scoring Model'!$B$16,'Scoring Model'!$B$17,0))</f>
        <v>8</v>
      </c>
      <c r="AB519" s="3" t="n">
        <f aca="false">IF(SUMPRODUCT(--ISNUMBER(SEARCH('Scoring Model'!$D$16:$D$25,K519)))&gt;0,'Scoring Model'!$B$18,0)</f>
        <v>0</v>
      </c>
      <c r="AC519" s="3" t="n">
        <f aca="false">IF(SUMPRODUCT(--ISNUMBER(SEARCH('Scoring Model'!$G$16:$G$23,K519)))&gt;0,'Scoring Model'!$B$19,0)</f>
        <v>-30</v>
      </c>
      <c r="AD519" s="3" t="n">
        <f aca="false">IF(W519="Likely Spam","",SUM(X519:AC519))</f>
        <v>8</v>
      </c>
      <c r="AE519" s="3" t="str">
        <f aca="false">IF(W519="Likely Spam","Spam",IF(AD519&gt;='Scoring Model'!$B$21,"Hot",IF(AD519&gt;='Scoring Model'!$B$22,"Warm","Nurture")))</f>
        <v>Nurture</v>
      </c>
      <c r="AF519" s="3" t="str">
        <f aca="false">IF(W519="Likely Spam","Flagged by spam rules",TRIM(IF(X519&gt;=20,"Strong source. ","")&amp;IF(Y519&gt;0,"Company email. ","")&amp;IF(Z519&gt;=15,"High-value product. ","")&amp;IF(AA519&gt;='Scoring Model'!$B$15,"High engagement. ","")&amp;IF(AB519&gt;0,"Buying intent in message. ","")&amp;IF(AC519&lt;0,"Negative intent in message. ","")))</f>
        <v>Strong source. Negative intent in message.</v>
      </c>
      <c r="AG519" s="11" t="n">
        <f aca="false">IF(W519="Likely Spam","",1/(1+EXP(-('Conversion Model'!$B$5+IFERROR(INDEX('Conversion Model'!$B$8:$B$14,MATCH(C519,'Conversion Model'!$A$8:$A$14,0)),0)+IFERROR(INDEX('Conversion Model'!$E$8:$E$9,MATCH(F519,'Conversion Model'!$D$8:$D$9,0)),0)+IFERROR(INDEX('Conversion Model'!$H$8:$H$12,MATCH(IF(LEFT(J519,8)="Payments","Payments",IF(LEFT(J519,7)="Lending","Lending",J519)),'Conversion Model'!$G$8:$G$12,0)),0)+MIN(L519,15)*'Conversion Model'!$B$17+IF(SUMPRODUCT(--ISNUMBER(SEARCH('Scoring Model'!$D$16:$D$25,K519)))&gt;0,'Conversion Model'!$B$18,0)+IF(SUMPRODUCT(--ISNUMBER(SEARCH('Scoring Model'!$G$16:$G$23,K519)))&gt;0,'Conversion Model'!$B$19,0)))))</f>
        <v>0.0329263947981362</v>
      </c>
      <c r="AH519" s="3" t="n">
        <f aca="false">IF(OR(O519="Qualified",O519="Won",O519="Lost"),1,IF(O519="Unqualified",0,""))</f>
        <v>0</v>
      </c>
    </row>
    <row r="520" customFormat="false" ht="15" hidden="false" customHeight="true" outlineLevel="0" collapsed="false">
      <c r="A520" s="3" t="s">
        <v>1868</v>
      </c>
      <c r="B520" s="9" t="n">
        <v>46170.7388888889</v>
      </c>
      <c r="C520" s="3" t="s">
        <v>160</v>
      </c>
      <c r="D520" s="3" t="s">
        <v>1869</v>
      </c>
      <c r="E520" s="3" t="s">
        <v>1870</v>
      </c>
      <c r="F520" s="3" t="s">
        <v>54</v>
      </c>
      <c r="G520" s="3"/>
      <c r="H520" s="3"/>
      <c r="I520" s="3" t="s">
        <v>139</v>
      </c>
      <c r="J520" s="3" t="s">
        <v>65</v>
      </c>
      <c r="K520" s="3" t="s">
        <v>193</v>
      </c>
      <c r="L520" s="3" t="n">
        <v>3</v>
      </c>
      <c r="M520" s="3" t="n">
        <v>9.4</v>
      </c>
      <c r="N520" s="3" t="s">
        <v>171</v>
      </c>
      <c r="O520" s="3" t="s">
        <v>194</v>
      </c>
      <c r="P520" s="10"/>
      <c r="Q520" s="3" t="n">
        <f aca="false">IF(F520="Disposable",1,0)</f>
        <v>0</v>
      </c>
      <c r="R520" s="3" t="n">
        <f aca="false">IF(SUMPRODUCT(--ISNUMBER(SEARCH('Spam Rules'!$A$22:$A$35,K520)))&gt;0,1,0)</f>
        <v>0</v>
      </c>
      <c r="S520" s="3" t="n">
        <f aca="false">IF(AND(F520="Free",G520=""),1,0)</f>
        <v>1</v>
      </c>
      <c r="T520" s="3" t="n">
        <f aca="false">IF(LEN(TRIM(K520))&lt;15,1,0)</f>
        <v>0</v>
      </c>
      <c r="U520" s="3" t="n">
        <f aca="false">IF(COUNTIF($E$2:$E$801,E520)&gt;1,1,0)</f>
        <v>0</v>
      </c>
      <c r="V520" s="3" t="n">
        <f aca="false">Q520*'Spam Rules'!$H$6+R520*'Spam Rules'!$H$7+S520*'Spam Rules'!$H$8+T520*'Spam Rules'!$H$9+U520*'Spam Rules'!$H$10</f>
        <v>0</v>
      </c>
      <c r="W520" s="3" t="str">
        <f aca="false">IF(V520&gt;='Spam Rules'!$B$3,"Likely Spam","Genuine")</f>
        <v>Genuine</v>
      </c>
      <c r="X520" s="3" t="n">
        <f aca="false">IFERROR(INDEX('Scoring Model'!$B$5:$B$11,MATCH(C520,'Scoring Model'!$A$5:$A$11,0)),0)</f>
        <v>25</v>
      </c>
      <c r="Y520" s="3" t="n">
        <f aca="false">IFERROR(INDEX('Scoring Model'!$E$5:$E$7,MATCH(F520,'Scoring Model'!$D$5:$D$7,0)),0)</f>
        <v>0</v>
      </c>
      <c r="Z520" s="3" t="n">
        <f aca="false">IFERROR(INDEX('Scoring Model'!$H$5:$H$13,MATCH(J520,'Scoring Model'!$G$5:$G$13,0)),0)</f>
        <v>0</v>
      </c>
      <c r="AA520" s="3" t="n">
        <f aca="false">IF(L520&gt;='Scoring Model'!$B$14,'Scoring Model'!$B$15,IF(L520&gt;='Scoring Model'!$B$16,'Scoring Model'!$B$17,0))</f>
        <v>0</v>
      </c>
      <c r="AB520" s="3" t="n">
        <f aca="false">IF(SUMPRODUCT(--ISNUMBER(SEARCH('Scoring Model'!$D$16:$D$25,K520)))&gt;0,'Scoring Model'!$B$18,0)</f>
        <v>0</v>
      </c>
      <c r="AC520" s="3" t="n">
        <f aca="false">IF(SUMPRODUCT(--ISNUMBER(SEARCH('Scoring Model'!$G$16:$G$23,K520)))&gt;0,'Scoring Model'!$B$19,0)</f>
        <v>-30</v>
      </c>
      <c r="AD520" s="3" t="n">
        <f aca="false">IF(W520="Likely Spam","",SUM(X520:AC520))</f>
        <v>-5</v>
      </c>
      <c r="AE520" s="3" t="str">
        <f aca="false">IF(W520="Likely Spam","Spam",IF(AD520&gt;='Scoring Model'!$B$21,"Hot",IF(AD520&gt;='Scoring Model'!$B$22,"Warm","Nurture")))</f>
        <v>Nurture</v>
      </c>
      <c r="AF520" s="3" t="str">
        <f aca="false">IF(W520="Likely Spam","Flagged by spam rules",TRIM(IF(X520&gt;=20,"Strong source. ","")&amp;IF(Y520&gt;0,"Company email. ","")&amp;IF(Z520&gt;=15,"High-value product. ","")&amp;IF(AA520&gt;='Scoring Model'!$B$15,"High engagement. ","")&amp;IF(AB520&gt;0,"Buying intent in message. ","")&amp;IF(AC520&lt;0,"Negative intent in message. ","")))</f>
        <v>Strong source. Negative intent in message.</v>
      </c>
      <c r="AG520" s="11" t="n">
        <f aca="false">IF(W520="Likely Spam","",1/(1+EXP(-('Conversion Model'!$B$5+IFERROR(INDEX('Conversion Model'!$B$8:$B$14,MATCH(C520,'Conversion Model'!$A$8:$A$14,0)),0)+IFERROR(INDEX('Conversion Model'!$E$8:$E$9,MATCH(F520,'Conversion Model'!$D$8:$D$9,0)),0)+IFERROR(INDEX('Conversion Model'!$H$8:$H$12,MATCH(IF(LEFT(J520,8)="Payments","Payments",IF(LEFT(J520,7)="Lending","Lending",J520)),'Conversion Model'!$G$8:$G$12,0)),0)+MIN(L520,15)*'Conversion Model'!$B$17+IF(SUMPRODUCT(--ISNUMBER(SEARCH('Scoring Model'!$D$16:$D$25,K520)))&gt;0,'Conversion Model'!$B$18,0)+IF(SUMPRODUCT(--ISNUMBER(SEARCH('Scoring Model'!$G$16:$G$23,K520)))&gt;0,'Conversion Model'!$B$19,0)))))</f>
        <v>0.00768324791115371</v>
      </c>
      <c r="AH520" s="3" t="n">
        <f aca="false">IF(OR(O520="Qualified",O520="Won",O520="Lost"),1,IF(O520="Unqualified",0,""))</f>
        <v>0</v>
      </c>
    </row>
    <row r="521" customFormat="false" ht="15" hidden="false" customHeight="true" outlineLevel="0" collapsed="false">
      <c r="A521" s="3" t="s">
        <v>1871</v>
      </c>
      <c r="B521" s="9" t="n">
        <v>46170.80625</v>
      </c>
      <c r="C521" s="3" t="s">
        <v>128</v>
      </c>
      <c r="D521" s="3" t="s">
        <v>1274</v>
      </c>
      <c r="E521" s="3" t="s">
        <v>1872</v>
      </c>
      <c r="F521" s="3" t="s">
        <v>22</v>
      </c>
      <c r="G521" s="3" t="s">
        <v>877</v>
      </c>
      <c r="H521" s="3" t="s">
        <v>1559</v>
      </c>
      <c r="I521" s="3" t="s">
        <v>107</v>
      </c>
      <c r="J521" s="3" t="s">
        <v>117</v>
      </c>
      <c r="K521" s="3" t="s">
        <v>644</v>
      </c>
      <c r="L521" s="3" t="n">
        <v>11</v>
      </c>
      <c r="M521" s="3" t="n">
        <v>12.5</v>
      </c>
      <c r="N521" s="3" t="s">
        <v>96</v>
      </c>
      <c r="O521" s="3" t="s">
        <v>147</v>
      </c>
      <c r="P521" s="10" t="n">
        <v>24000</v>
      </c>
      <c r="Q521" s="3" t="n">
        <f aca="false">IF(F521="Disposable",1,0)</f>
        <v>0</v>
      </c>
      <c r="R521" s="3" t="n">
        <f aca="false">IF(SUMPRODUCT(--ISNUMBER(SEARCH('Spam Rules'!$A$22:$A$35,K521)))&gt;0,1,0)</f>
        <v>0</v>
      </c>
      <c r="S521" s="3" t="n">
        <f aca="false">IF(AND(F521="Free",G521=""),1,0)</f>
        <v>0</v>
      </c>
      <c r="T521" s="3" t="n">
        <f aca="false">IF(LEN(TRIM(K521))&lt;15,1,0)</f>
        <v>0</v>
      </c>
      <c r="U521" s="3" t="n">
        <f aca="false">IF(COUNTIF($E$2:$E$801,E521)&gt;1,1,0)</f>
        <v>0</v>
      </c>
      <c r="V521" s="3" t="n">
        <f aca="false">Q521*'Spam Rules'!$H$6+R521*'Spam Rules'!$H$7+S521*'Spam Rules'!$H$8+T521*'Spam Rules'!$H$9+U521*'Spam Rules'!$H$10</f>
        <v>0</v>
      </c>
      <c r="W521" s="3" t="str">
        <f aca="false">IF(V521&gt;='Spam Rules'!$B$3,"Likely Spam","Genuine")</f>
        <v>Genuine</v>
      </c>
      <c r="X521" s="3" t="n">
        <f aca="false">IFERROR(INDEX('Scoring Model'!$B$5:$B$11,MATCH(C521,'Scoring Model'!$A$5:$A$11,0)),0)</f>
        <v>30</v>
      </c>
      <c r="Y521" s="3" t="n">
        <f aca="false">IFERROR(INDEX('Scoring Model'!$E$5:$E$7,MATCH(F521,'Scoring Model'!$D$5:$D$7,0)),0)</f>
        <v>20</v>
      </c>
      <c r="Z521" s="3" t="n">
        <f aca="false">IFERROR(INDEX('Scoring Model'!$H$5:$H$13,MATCH(J521,'Scoring Model'!$G$5:$G$13,0)),0)</f>
        <v>15</v>
      </c>
      <c r="AA521" s="3" t="n">
        <f aca="false">IF(L521&gt;='Scoring Model'!$B$14,'Scoring Model'!$B$15,IF(L521&gt;='Scoring Model'!$B$16,'Scoring Model'!$B$17,0))</f>
        <v>15</v>
      </c>
      <c r="AB521" s="3" t="n">
        <f aca="false">IF(SUMPRODUCT(--ISNUMBER(SEARCH('Scoring Model'!$D$16:$D$25,K521)))&gt;0,'Scoring Model'!$B$18,0)</f>
        <v>15</v>
      </c>
      <c r="AC521" s="3" t="n">
        <f aca="false">IF(SUMPRODUCT(--ISNUMBER(SEARCH('Scoring Model'!$G$16:$G$23,K521)))&gt;0,'Scoring Model'!$B$19,0)</f>
        <v>0</v>
      </c>
      <c r="AD521" s="3" t="n">
        <f aca="false">IF(W521="Likely Spam","",SUM(X521:AC521))</f>
        <v>95</v>
      </c>
      <c r="AE521" s="3" t="str">
        <f aca="false">IF(W521="Likely Spam","Spam",IF(AD521&gt;='Scoring Model'!$B$21,"Hot",IF(AD521&gt;='Scoring Model'!$B$22,"Warm","Nurture")))</f>
        <v>Hot</v>
      </c>
      <c r="AF521" s="3" t="str">
        <f aca="false">IF(W521="Likely Spam","Flagged by spam rules",TRIM(IF(X521&gt;=20,"Strong source. ","")&amp;IF(Y521&gt;0,"Company email. ","")&amp;IF(Z521&gt;=15,"High-value product. ","")&amp;IF(AA521&gt;='Scoring Model'!$B$15,"High engagement. ","")&amp;IF(AB521&gt;0,"Buying intent in message. ","")&amp;IF(AC521&lt;0,"Negative intent in message. ","")))</f>
        <v>Strong source. Company email. High-value product. High engagement. Buying intent in message.</v>
      </c>
      <c r="AG521" s="11" t="n">
        <f aca="false">IF(W521="Likely Spam","",1/(1+EXP(-('Conversion Model'!$B$5+IFERROR(INDEX('Conversion Model'!$B$8:$B$14,MATCH(C521,'Conversion Model'!$A$8:$A$14,0)),0)+IFERROR(INDEX('Conversion Model'!$E$8:$E$9,MATCH(F521,'Conversion Model'!$D$8:$D$9,0)),0)+IFERROR(INDEX('Conversion Model'!$H$8:$H$12,MATCH(IF(LEFT(J521,8)="Payments","Payments",IF(LEFT(J521,7)="Lending","Lending",J521)),'Conversion Model'!$G$8:$G$12,0)),0)+MIN(L521,15)*'Conversion Model'!$B$17+IF(SUMPRODUCT(--ISNUMBER(SEARCH('Scoring Model'!$D$16:$D$25,K521)))&gt;0,'Conversion Model'!$B$18,0)+IF(SUMPRODUCT(--ISNUMBER(SEARCH('Scoring Model'!$G$16:$G$23,K521)))&gt;0,'Conversion Model'!$B$19,0)))))</f>
        <v>0.999559869914978</v>
      </c>
      <c r="AH521" s="3" t="n">
        <f aca="false">IF(OR(O521="Qualified",O521="Won",O521="Lost"),1,IF(O521="Unqualified",0,""))</f>
        <v>1</v>
      </c>
    </row>
    <row r="522" customFormat="false" ht="15" hidden="false" customHeight="true" outlineLevel="0" collapsed="false">
      <c r="A522" s="3" t="s">
        <v>1873</v>
      </c>
      <c r="B522" s="9" t="n">
        <v>46171.2972222222</v>
      </c>
      <c r="C522" s="3" t="s">
        <v>128</v>
      </c>
      <c r="D522" s="3" t="s">
        <v>753</v>
      </c>
      <c r="E522" s="3" t="s">
        <v>1874</v>
      </c>
      <c r="F522" s="3" t="s">
        <v>54</v>
      </c>
      <c r="G522" s="3" t="s">
        <v>1875</v>
      </c>
      <c r="H522" s="3"/>
      <c r="I522" s="3" t="s">
        <v>204</v>
      </c>
      <c r="J522" s="3" t="s">
        <v>145</v>
      </c>
      <c r="K522" s="3" t="s">
        <v>266</v>
      </c>
      <c r="L522" s="3" t="n">
        <v>5</v>
      </c>
      <c r="M522" s="3" t="n">
        <v>4.9</v>
      </c>
      <c r="N522" s="3" t="s">
        <v>67</v>
      </c>
      <c r="O522" s="3" t="s">
        <v>110</v>
      </c>
      <c r="P522" s="10"/>
      <c r="Q522" s="3" t="n">
        <f aca="false">IF(F522="Disposable",1,0)</f>
        <v>0</v>
      </c>
      <c r="R522" s="3" t="n">
        <f aca="false">IF(SUMPRODUCT(--ISNUMBER(SEARCH('Spam Rules'!$A$22:$A$35,K522)))&gt;0,1,0)</f>
        <v>0</v>
      </c>
      <c r="S522" s="3" t="n">
        <f aca="false">IF(AND(F522="Free",G522=""),1,0)</f>
        <v>0</v>
      </c>
      <c r="T522" s="3" t="n">
        <f aca="false">IF(LEN(TRIM(K522))&lt;15,1,0)</f>
        <v>0</v>
      </c>
      <c r="U522" s="3" t="n">
        <f aca="false">IF(COUNTIF($E$2:$E$801,E522)&gt;1,1,0)</f>
        <v>0</v>
      </c>
      <c r="V522" s="3" t="n">
        <f aca="false">Q522*'Spam Rules'!$H$6+R522*'Spam Rules'!$H$7+S522*'Spam Rules'!$H$8+T522*'Spam Rules'!$H$9+U522*'Spam Rules'!$H$10</f>
        <v>0</v>
      </c>
      <c r="W522" s="3" t="str">
        <f aca="false">IF(V522&gt;='Spam Rules'!$B$3,"Likely Spam","Genuine")</f>
        <v>Genuine</v>
      </c>
      <c r="X522" s="3" t="n">
        <f aca="false">IFERROR(INDEX('Scoring Model'!$B$5:$B$11,MATCH(C522,'Scoring Model'!$A$5:$A$11,0)),0)</f>
        <v>30</v>
      </c>
      <c r="Y522" s="3" t="n">
        <f aca="false">IFERROR(INDEX('Scoring Model'!$E$5:$E$7,MATCH(F522,'Scoring Model'!$D$5:$D$7,0)),0)</f>
        <v>0</v>
      </c>
      <c r="Z522" s="3" t="n">
        <f aca="false">IFERROR(INDEX('Scoring Model'!$H$5:$H$13,MATCH(J522,'Scoring Model'!$G$5:$G$13,0)),0)</f>
        <v>5</v>
      </c>
      <c r="AA522" s="3" t="n">
        <f aca="false">IF(L522&gt;='Scoring Model'!$B$14,'Scoring Model'!$B$15,IF(L522&gt;='Scoring Model'!$B$16,'Scoring Model'!$B$17,0))</f>
        <v>8</v>
      </c>
      <c r="AB522" s="3" t="n">
        <f aca="false">IF(SUMPRODUCT(--ISNUMBER(SEARCH('Scoring Model'!$D$16:$D$25,K522)))&gt;0,'Scoring Model'!$B$18,0)</f>
        <v>15</v>
      </c>
      <c r="AC522" s="3" t="n">
        <f aca="false">IF(SUMPRODUCT(--ISNUMBER(SEARCH('Scoring Model'!$G$16:$G$23,K522)))&gt;0,'Scoring Model'!$B$19,0)</f>
        <v>0</v>
      </c>
      <c r="AD522" s="3" t="n">
        <f aca="false">IF(W522="Likely Spam","",SUM(X522:AC522))</f>
        <v>58</v>
      </c>
      <c r="AE522" s="3" t="str">
        <f aca="false">IF(W522="Likely Spam","Spam",IF(AD522&gt;='Scoring Model'!$B$21,"Hot",IF(AD522&gt;='Scoring Model'!$B$22,"Warm","Nurture")))</f>
        <v>Warm</v>
      </c>
      <c r="AF522" s="3" t="str">
        <f aca="false">IF(W522="Likely Spam","Flagged by spam rules",TRIM(IF(X522&gt;=20,"Strong source. ","")&amp;IF(Y522&gt;0,"Company email. ","")&amp;IF(Z522&gt;=15,"High-value product. ","")&amp;IF(AA522&gt;='Scoring Model'!$B$15,"High engagement. ","")&amp;IF(AB522&gt;0,"Buying intent in message. ","")&amp;IF(AC522&lt;0,"Negative intent in message. ","")))</f>
        <v>Strong source. Buying intent in message.</v>
      </c>
      <c r="AG522" s="11" t="n">
        <f aca="false">IF(W522="Likely Spam","",1/(1+EXP(-('Conversion Model'!$B$5+IFERROR(INDEX('Conversion Model'!$B$8:$B$14,MATCH(C522,'Conversion Model'!$A$8:$A$14,0)),0)+IFERROR(INDEX('Conversion Model'!$E$8:$E$9,MATCH(F522,'Conversion Model'!$D$8:$D$9,0)),0)+IFERROR(INDEX('Conversion Model'!$H$8:$H$12,MATCH(IF(LEFT(J522,8)="Payments","Payments",IF(LEFT(J522,7)="Lending","Lending",J522)),'Conversion Model'!$G$8:$G$12,0)),0)+MIN(L522,15)*'Conversion Model'!$B$17+IF(SUMPRODUCT(--ISNUMBER(SEARCH('Scoring Model'!$D$16:$D$25,K522)))&gt;0,'Conversion Model'!$B$18,0)+IF(SUMPRODUCT(--ISNUMBER(SEARCH('Scoring Model'!$G$16:$G$23,K522)))&gt;0,'Conversion Model'!$B$19,0)))))</f>
        <v>0.779542108753114</v>
      </c>
      <c r="AH522" s="3" t="n">
        <f aca="false">IF(OR(O522="Qualified",O522="Won",O522="Lost"),1,IF(O522="Unqualified",0,""))</f>
        <v>1</v>
      </c>
    </row>
    <row r="523" customFormat="false" ht="15" hidden="false" customHeight="true" outlineLevel="0" collapsed="false">
      <c r="A523" s="3" t="s">
        <v>1876</v>
      </c>
      <c r="B523" s="9" t="n">
        <v>46171.5222222222</v>
      </c>
      <c r="C523" s="3" t="s">
        <v>112</v>
      </c>
      <c r="D523" s="3" t="s">
        <v>1265</v>
      </c>
      <c r="E523" s="3" t="s">
        <v>1357</v>
      </c>
      <c r="F523" s="3" t="s">
        <v>54</v>
      </c>
      <c r="G523" s="3"/>
      <c r="H523" s="3"/>
      <c r="I523" s="3" t="s">
        <v>139</v>
      </c>
      <c r="J523" s="3" t="s">
        <v>81</v>
      </c>
      <c r="K523" s="3" t="s">
        <v>193</v>
      </c>
      <c r="L523" s="3" t="n">
        <v>3</v>
      </c>
      <c r="M523" s="3" t="n">
        <v>17.8</v>
      </c>
      <c r="N523" s="3" t="s">
        <v>59</v>
      </c>
      <c r="O523" s="3"/>
      <c r="P523" s="10"/>
      <c r="Q523" s="3" t="n">
        <f aca="false">IF(F523="Disposable",1,0)</f>
        <v>0</v>
      </c>
      <c r="R523" s="3" t="n">
        <f aca="false">IF(SUMPRODUCT(--ISNUMBER(SEARCH('Spam Rules'!$A$22:$A$35,K523)))&gt;0,1,0)</f>
        <v>0</v>
      </c>
      <c r="S523" s="3" t="n">
        <f aca="false">IF(AND(F523="Free",G523=""),1,0)</f>
        <v>1</v>
      </c>
      <c r="T523" s="3" t="n">
        <f aca="false">IF(LEN(TRIM(K523))&lt;15,1,0)</f>
        <v>0</v>
      </c>
      <c r="U523" s="3" t="n">
        <f aca="false">IF(COUNTIF($E$2:$E$801,E523)&gt;1,1,0)</f>
        <v>1</v>
      </c>
      <c r="V523" s="3" t="n">
        <f aca="false">Q523*'Spam Rules'!$H$6+R523*'Spam Rules'!$H$7+S523*'Spam Rules'!$H$8+T523*'Spam Rules'!$H$9+U523*'Spam Rules'!$H$10</f>
        <v>0</v>
      </c>
      <c r="W523" s="3" t="str">
        <f aca="false">IF(V523&gt;='Spam Rules'!$B$3,"Likely Spam","Genuine")</f>
        <v>Genuine</v>
      </c>
      <c r="X523" s="3" t="n">
        <f aca="false">IFERROR(INDEX('Scoring Model'!$B$5:$B$11,MATCH(C523,'Scoring Model'!$A$5:$A$11,0)),0)</f>
        <v>15</v>
      </c>
      <c r="Y523" s="3" t="n">
        <f aca="false">IFERROR(INDEX('Scoring Model'!$E$5:$E$7,MATCH(F523,'Scoring Model'!$D$5:$D$7,0)),0)</f>
        <v>0</v>
      </c>
      <c r="Z523" s="3" t="n">
        <f aca="false">IFERROR(INDEX('Scoring Model'!$H$5:$H$13,MATCH(J523,'Scoring Model'!$G$5:$G$13,0)),0)</f>
        <v>5</v>
      </c>
      <c r="AA523" s="3" t="n">
        <f aca="false">IF(L523&gt;='Scoring Model'!$B$14,'Scoring Model'!$B$15,IF(L523&gt;='Scoring Model'!$B$16,'Scoring Model'!$B$17,0))</f>
        <v>0</v>
      </c>
      <c r="AB523" s="3" t="n">
        <f aca="false">IF(SUMPRODUCT(--ISNUMBER(SEARCH('Scoring Model'!$D$16:$D$25,K523)))&gt;0,'Scoring Model'!$B$18,0)</f>
        <v>0</v>
      </c>
      <c r="AC523" s="3" t="n">
        <f aca="false">IF(SUMPRODUCT(--ISNUMBER(SEARCH('Scoring Model'!$G$16:$G$23,K523)))&gt;0,'Scoring Model'!$B$19,0)</f>
        <v>-30</v>
      </c>
      <c r="AD523" s="3" t="n">
        <f aca="false">IF(W523="Likely Spam","",SUM(X523:AC523))</f>
        <v>-10</v>
      </c>
      <c r="AE523" s="3" t="str">
        <f aca="false">IF(W523="Likely Spam","Spam",IF(AD523&gt;='Scoring Model'!$B$21,"Hot",IF(AD523&gt;='Scoring Model'!$B$22,"Warm","Nurture")))</f>
        <v>Nurture</v>
      </c>
      <c r="AF523" s="3" t="str">
        <f aca="false">IF(W523="Likely Spam","Flagged by spam rules",TRIM(IF(X523&gt;=20,"Strong source. ","")&amp;IF(Y523&gt;0,"Company email. ","")&amp;IF(Z523&gt;=15,"High-value product. ","")&amp;IF(AA523&gt;='Scoring Model'!$B$15,"High engagement. ","")&amp;IF(AB523&gt;0,"Buying intent in message. ","")&amp;IF(AC523&lt;0,"Negative intent in message. ","")))</f>
        <v>Negative intent in message.</v>
      </c>
      <c r="AG523" s="11" t="n">
        <f aca="false">IF(W523="Likely Spam","",1/(1+EXP(-('Conversion Model'!$B$5+IFERROR(INDEX('Conversion Model'!$B$8:$B$14,MATCH(C523,'Conversion Model'!$A$8:$A$14,0)),0)+IFERROR(INDEX('Conversion Model'!$E$8:$E$9,MATCH(F523,'Conversion Model'!$D$8:$D$9,0)),0)+IFERROR(INDEX('Conversion Model'!$H$8:$H$12,MATCH(IF(LEFT(J523,8)="Payments","Payments",IF(LEFT(J523,7)="Lending","Lending",J523)),'Conversion Model'!$G$8:$G$12,0)),0)+MIN(L523,15)*'Conversion Model'!$B$17+IF(SUMPRODUCT(--ISNUMBER(SEARCH('Scoring Model'!$D$16:$D$25,K523)))&gt;0,'Conversion Model'!$B$18,0)+IF(SUMPRODUCT(--ISNUMBER(SEARCH('Scoring Model'!$G$16:$G$23,K523)))&gt;0,'Conversion Model'!$B$19,0)))))</f>
        <v>0.00381877311039462</v>
      </c>
      <c r="AH523" s="3" t="str">
        <f aca="false">IF(OR(O523="Qualified",O523="Won",O523="Lost"),1,IF(O523="Unqualified",0,""))</f>
        <v/>
      </c>
    </row>
    <row r="524" customFormat="false" ht="15" hidden="false" customHeight="true" outlineLevel="0" collapsed="false">
      <c r="A524" s="3" t="s">
        <v>1877</v>
      </c>
      <c r="B524" s="9" t="n">
        <v>46171.8305555556</v>
      </c>
      <c r="C524" s="3" t="s">
        <v>51</v>
      </c>
      <c r="D524" s="3" t="s">
        <v>885</v>
      </c>
      <c r="E524" s="3" t="s">
        <v>1878</v>
      </c>
      <c r="F524" s="3" t="s">
        <v>54</v>
      </c>
      <c r="G524" s="3"/>
      <c r="H524" s="3"/>
      <c r="I524" s="3" t="s">
        <v>139</v>
      </c>
      <c r="J524" s="3" t="s">
        <v>122</v>
      </c>
      <c r="K524" s="3" t="s">
        <v>170</v>
      </c>
      <c r="L524" s="3" t="n">
        <v>1</v>
      </c>
      <c r="M524" s="3"/>
      <c r="N524" s="3" t="s">
        <v>67</v>
      </c>
      <c r="O524" s="3" t="s">
        <v>68</v>
      </c>
      <c r="P524" s="10"/>
      <c r="Q524" s="3" t="n">
        <f aca="false">IF(F524="Disposable",1,0)</f>
        <v>0</v>
      </c>
      <c r="R524" s="3" t="n">
        <f aca="false">IF(SUMPRODUCT(--ISNUMBER(SEARCH('Spam Rules'!$A$22:$A$35,K524)))&gt;0,1,0)</f>
        <v>0</v>
      </c>
      <c r="S524" s="3" t="n">
        <f aca="false">IF(AND(F524="Free",G524=""),1,0)</f>
        <v>1</v>
      </c>
      <c r="T524" s="3" t="n">
        <f aca="false">IF(LEN(TRIM(K524))&lt;15,1,0)</f>
        <v>1</v>
      </c>
      <c r="U524" s="3" t="n">
        <f aca="false">IF(COUNTIF($E$2:$E$801,E524)&gt;1,1,0)</f>
        <v>0</v>
      </c>
      <c r="V524" s="3" t="n">
        <f aca="false">Q524*'Spam Rules'!$H$6+R524*'Spam Rules'!$H$7+S524*'Spam Rules'!$H$8+T524*'Spam Rules'!$H$9+U524*'Spam Rules'!$H$10</f>
        <v>1</v>
      </c>
      <c r="W524" s="3" t="str">
        <f aca="false">IF(V524&gt;='Spam Rules'!$B$3,"Likely Spam","Genuine")</f>
        <v>Likely Spam</v>
      </c>
      <c r="X524" s="3" t="n">
        <f aca="false">IFERROR(INDEX('Scoring Model'!$B$5:$B$11,MATCH(C524,'Scoring Model'!$A$5:$A$11,0)),0)</f>
        <v>10</v>
      </c>
      <c r="Y524" s="3" t="n">
        <f aca="false">IFERROR(INDEX('Scoring Model'!$E$5:$E$7,MATCH(F524,'Scoring Model'!$D$5:$D$7,0)),0)</f>
        <v>0</v>
      </c>
      <c r="Z524" s="3" t="n">
        <f aca="false">IFERROR(INDEX('Scoring Model'!$H$5:$H$13,MATCH(J524,'Scoring Model'!$G$5:$G$13,0)),0)</f>
        <v>15</v>
      </c>
      <c r="AA524" s="3" t="n">
        <f aca="false">IF(L524&gt;='Scoring Model'!$B$14,'Scoring Model'!$B$15,IF(L524&gt;='Scoring Model'!$B$16,'Scoring Model'!$B$17,0))</f>
        <v>0</v>
      </c>
      <c r="AB524" s="3" t="n">
        <f aca="false">IF(SUMPRODUCT(--ISNUMBER(SEARCH('Scoring Model'!$D$16:$D$25,K524)))&gt;0,'Scoring Model'!$B$18,0)</f>
        <v>0</v>
      </c>
      <c r="AC524" s="3" t="n">
        <f aca="false">IF(SUMPRODUCT(--ISNUMBER(SEARCH('Scoring Model'!$G$16:$G$23,K524)))&gt;0,'Scoring Model'!$B$19,0)</f>
        <v>0</v>
      </c>
      <c r="AD524" s="3" t="str">
        <f aca="false">IF(W524="Likely Spam","",SUM(X524:AC524))</f>
        <v/>
      </c>
      <c r="AE524" s="3" t="str">
        <f aca="false">IF(W524="Likely Spam","Spam",IF(AD524&gt;='Scoring Model'!$B$21,"Hot",IF(AD524&gt;='Scoring Model'!$B$22,"Warm","Nurture")))</f>
        <v>Spam</v>
      </c>
      <c r="AF524" s="3" t="str">
        <f aca="false">IF(W524="Likely Spam","Flagged by spam rules",TRIM(IF(X524&gt;=20,"Strong source. ","")&amp;IF(Y524&gt;0,"Company email. ","")&amp;IF(Z524&gt;=15,"High-value product. ","")&amp;IF(AA524&gt;='Scoring Model'!$B$15,"High engagement. ","")&amp;IF(AB524&gt;0,"Buying intent in message. ","")&amp;IF(AC524&lt;0,"Negative intent in message. ","")))</f>
        <v>Flagged by spam rules</v>
      </c>
      <c r="AG524" s="11" t="str">
        <f aca="false">IF(W524="Likely Spam","",1/(1+EXP(-('Conversion Model'!$B$5+IFERROR(INDEX('Conversion Model'!$B$8:$B$14,MATCH(C524,'Conversion Model'!$A$8:$A$14,0)),0)+IFERROR(INDEX('Conversion Model'!$E$8:$E$9,MATCH(F524,'Conversion Model'!$D$8:$D$9,0)),0)+IFERROR(INDEX('Conversion Model'!$H$8:$H$12,MATCH(IF(LEFT(J524,8)="Payments","Payments",IF(LEFT(J524,7)="Lending","Lending",J524)),'Conversion Model'!$G$8:$G$12,0)),0)+MIN(L524,15)*'Conversion Model'!$B$17+IF(SUMPRODUCT(--ISNUMBER(SEARCH('Scoring Model'!$D$16:$D$25,K524)))&gt;0,'Conversion Model'!$B$18,0)+IF(SUMPRODUCT(--ISNUMBER(SEARCH('Scoring Model'!$G$16:$G$23,K524)))&gt;0,'Conversion Model'!$B$19,0)))))</f>
        <v/>
      </c>
      <c r="AH524" s="3" t="str">
        <f aca="false">IF(OR(O524="Qualified",O524="Won",O524="Lost"),1,IF(O524="Unqualified",0,""))</f>
        <v/>
      </c>
    </row>
    <row r="525" customFormat="false" ht="15" hidden="false" customHeight="true" outlineLevel="0" collapsed="false">
      <c r="A525" s="3" t="s">
        <v>1879</v>
      </c>
      <c r="B525" s="9" t="n">
        <v>46171.9909722222</v>
      </c>
      <c r="C525" s="3" t="s">
        <v>135</v>
      </c>
      <c r="D525" s="3" t="s">
        <v>1880</v>
      </c>
      <c r="E525" s="3" t="s">
        <v>1881</v>
      </c>
      <c r="F525" s="3" t="s">
        <v>54</v>
      </c>
      <c r="G525" s="3"/>
      <c r="H525" s="3"/>
      <c r="I525" s="3" t="s">
        <v>80</v>
      </c>
      <c r="J525" s="3" t="s">
        <v>122</v>
      </c>
      <c r="K525" s="3" t="s">
        <v>213</v>
      </c>
      <c r="L525" s="3" t="n">
        <v>2</v>
      </c>
      <c r="M525" s="3" t="n">
        <v>13.8</v>
      </c>
      <c r="N525" s="3" t="s">
        <v>96</v>
      </c>
      <c r="O525" s="3" t="s">
        <v>194</v>
      </c>
      <c r="P525" s="10"/>
      <c r="Q525" s="3" t="n">
        <f aca="false">IF(F525="Disposable",1,0)</f>
        <v>0</v>
      </c>
      <c r="R525" s="3" t="n">
        <f aca="false">IF(SUMPRODUCT(--ISNUMBER(SEARCH('Spam Rules'!$A$22:$A$35,K525)))&gt;0,1,0)</f>
        <v>0</v>
      </c>
      <c r="S525" s="3" t="n">
        <f aca="false">IF(AND(F525="Free",G525=""),1,0)</f>
        <v>1</v>
      </c>
      <c r="T525" s="3" t="n">
        <f aca="false">IF(LEN(TRIM(K525))&lt;15,1,0)</f>
        <v>0</v>
      </c>
      <c r="U525" s="3" t="n">
        <f aca="false">IF(COUNTIF($E$2:$E$801,E525)&gt;1,1,0)</f>
        <v>0</v>
      </c>
      <c r="V525" s="3" t="n">
        <f aca="false">Q525*'Spam Rules'!$H$6+R525*'Spam Rules'!$H$7+S525*'Spam Rules'!$H$8+T525*'Spam Rules'!$H$9+U525*'Spam Rules'!$H$10</f>
        <v>0</v>
      </c>
      <c r="W525" s="3" t="str">
        <f aca="false">IF(V525&gt;='Spam Rules'!$B$3,"Likely Spam","Genuine")</f>
        <v>Genuine</v>
      </c>
      <c r="X525" s="3" t="n">
        <f aca="false">IFERROR(INDEX('Scoring Model'!$B$5:$B$11,MATCH(C525,'Scoring Model'!$A$5:$A$11,0)),0)</f>
        <v>20</v>
      </c>
      <c r="Y525" s="3" t="n">
        <f aca="false">IFERROR(INDEX('Scoring Model'!$E$5:$E$7,MATCH(F525,'Scoring Model'!$D$5:$D$7,0)),0)</f>
        <v>0</v>
      </c>
      <c r="Z525" s="3" t="n">
        <f aca="false">IFERROR(INDEX('Scoring Model'!$H$5:$H$13,MATCH(J525,'Scoring Model'!$G$5:$G$13,0)),0)</f>
        <v>15</v>
      </c>
      <c r="AA525" s="3" t="n">
        <f aca="false">IF(L525&gt;='Scoring Model'!$B$14,'Scoring Model'!$B$15,IF(L525&gt;='Scoring Model'!$B$16,'Scoring Model'!$B$17,0))</f>
        <v>0</v>
      </c>
      <c r="AB525" s="3" t="n">
        <f aca="false">IF(SUMPRODUCT(--ISNUMBER(SEARCH('Scoring Model'!$D$16:$D$25,K525)))&gt;0,'Scoring Model'!$B$18,0)</f>
        <v>0</v>
      </c>
      <c r="AC525" s="3" t="n">
        <f aca="false">IF(SUMPRODUCT(--ISNUMBER(SEARCH('Scoring Model'!$G$16:$G$23,K525)))&gt;0,'Scoring Model'!$B$19,0)</f>
        <v>-30</v>
      </c>
      <c r="AD525" s="3" t="n">
        <f aca="false">IF(W525="Likely Spam","",SUM(X525:AC525))</f>
        <v>5</v>
      </c>
      <c r="AE525" s="3" t="str">
        <f aca="false">IF(W525="Likely Spam","Spam",IF(AD525&gt;='Scoring Model'!$B$21,"Hot",IF(AD525&gt;='Scoring Model'!$B$22,"Warm","Nurture")))</f>
        <v>Nurture</v>
      </c>
      <c r="AF525" s="3" t="str">
        <f aca="false">IF(W525="Likely Spam","Flagged by spam rules",TRIM(IF(X525&gt;=20,"Strong source. ","")&amp;IF(Y525&gt;0,"Company email. ","")&amp;IF(Z525&gt;=15,"High-value product. ","")&amp;IF(AA525&gt;='Scoring Model'!$B$15,"High engagement. ","")&amp;IF(AB525&gt;0,"Buying intent in message. ","")&amp;IF(AC525&lt;0,"Negative intent in message. ","")))</f>
        <v>Strong source. High-value product. Negative intent in message.</v>
      </c>
      <c r="AG525" s="11" t="n">
        <f aca="false">IF(W525="Likely Spam","",1/(1+EXP(-('Conversion Model'!$B$5+IFERROR(INDEX('Conversion Model'!$B$8:$B$14,MATCH(C525,'Conversion Model'!$A$8:$A$14,0)),0)+IFERROR(INDEX('Conversion Model'!$E$8:$E$9,MATCH(F525,'Conversion Model'!$D$8:$D$9,0)),0)+IFERROR(INDEX('Conversion Model'!$H$8:$H$12,MATCH(IF(LEFT(J525,8)="Payments","Payments",IF(LEFT(J525,7)="Lending","Lending",J525)),'Conversion Model'!$G$8:$G$12,0)),0)+MIN(L525,15)*'Conversion Model'!$B$17+IF(SUMPRODUCT(--ISNUMBER(SEARCH('Scoring Model'!$D$16:$D$25,K525)))&gt;0,'Conversion Model'!$B$18,0)+IF(SUMPRODUCT(--ISNUMBER(SEARCH('Scoring Model'!$G$16:$G$23,K525)))&gt;0,'Conversion Model'!$B$19,0)))))</f>
        <v>0.00585259696543684</v>
      </c>
      <c r="AH525" s="3" t="n">
        <f aca="false">IF(OR(O525="Qualified",O525="Won",O525="Lost"),1,IF(O525="Unqualified",0,""))</f>
        <v>0</v>
      </c>
    </row>
    <row r="526" customFormat="false" ht="15" hidden="false" customHeight="true" outlineLevel="0" collapsed="false">
      <c r="A526" s="3" t="s">
        <v>1882</v>
      </c>
      <c r="B526" s="9" t="n">
        <v>46172.3722222222</v>
      </c>
      <c r="C526" s="3" t="s">
        <v>135</v>
      </c>
      <c r="D526" s="3" t="s">
        <v>1883</v>
      </c>
      <c r="E526" s="3" t="s">
        <v>1884</v>
      </c>
      <c r="F526" s="3" t="s">
        <v>54</v>
      </c>
      <c r="G526" s="3" t="s">
        <v>675</v>
      </c>
      <c r="H526" s="3"/>
      <c r="I526" s="3" t="s">
        <v>107</v>
      </c>
      <c r="J526" s="3" t="s">
        <v>81</v>
      </c>
      <c r="K526" s="3" t="s">
        <v>355</v>
      </c>
      <c r="L526" s="3" t="n">
        <v>6</v>
      </c>
      <c r="M526" s="3" t="n">
        <v>4.6</v>
      </c>
      <c r="N526" s="3" t="s">
        <v>67</v>
      </c>
      <c r="O526" s="3" t="s">
        <v>147</v>
      </c>
      <c r="P526" s="10" t="n">
        <v>96000</v>
      </c>
      <c r="Q526" s="3" t="n">
        <f aca="false">IF(F526="Disposable",1,0)</f>
        <v>0</v>
      </c>
      <c r="R526" s="3" t="n">
        <f aca="false">IF(SUMPRODUCT(--ISNUMBER(SEARCH('Spam Rules'!$A$22:$A$35,K526)))&gt;0,1,0)</f>
        <v>0</v>
      </c>
      <c r="S526" s="3" t="n">
        <f aca="false">IF(AND(F526="Free",G526=""),1,0)</f>
        <v>0</v>
      </c>
      <c r="T526" s="3" t="n">
        <f aca="false">IF(LEN(TRIM(K526))&lt;15,1,0)</f>
        <v>0</v>
      </c>
      <c r="U526" s="3" t="n">
        <f aca="false">IF(COUNTIF($E$2:$E$801,E526)&gt;1,1,0)</f>
        <v>0</v>
      </c>
      <c r="V526" s="3" t="n">
        <f aca="false">Q526*'Spam Rules'!$H$6+R526*'Spam Rules'!$H$7+S526*'Spam Rules'!$H$8+T526*'Spam Rules'!$H$9+U526*'Spam Rules'!$H$10</f>
        <v>0</v>
      </c>
      <c r="W526" s="3" t="str">
        <f aca="false">IF(V526&gt;='Spam Rules'!$B$3,"Likely Spam","Genuine")</f>
        <v>Genuine</v>
      </c>
      <c r="X526" s="3" t="n">
        <f aca="false">IFERROR(INDEX('Scoring Model'!$B$5:$B$11,MATCH(C526,'Scoring Model'!$A$5:$A$11,0)),0)</f>
        <v>20</v>
      </c>
      <c r="Y526" s="3" t="n">
        <f aca="false">IFERROR(INDEX('Scoring Model'!$E$5:$E$7,MATCH(F526,'Scoring Model'!$D$5:$D$7,0)),0)</f>
        <v>0</v>
      </c>
      <c r="Z526" s="3" t="n">
        <f aca="false">IFERROR(INDEX('Scoring Model'!$H$5:$H$13,MATCH(J526,'Scoring Model'!$G$5:$G$13,0)),0)</f>
        <v>5</v>
      </c>
      <c r="AA526" s="3" t="n">
        <f aca="false">IF(L526&gt;='Scoring Model'!$B$14,'Scoring Model'!$B$15,IF(L526&gt;='Scoring Model'!$B$16,'Scoring Model'!$B$17,0))</f>
        <v>8</v>
      </c>
      <c r="AB526" s="3" t="n">
        <f aca="false">IF(SUMPRODUCT(--ISNUMBER(SEARCH('Scoring Model'!$D$16:$D$25,K526)))&gt;0,'Scoring Model'!$B$18,0)</f>
        <v>15</v>
      </c>
      <c r="AC526" s="3" t="n">
        <f aca="false">IF(SUMPRODUCT(--ISNUMBER(SEARCH('Scoring Model'!$G$16:$G$23,K526)))&gt;0,'Scoring Model'!$B$19,0)</f>
        <v>0</v>
      </c>
      <c r="AD526" s="3" t="n">
        <f aca="false">IF(W526="Likely Spam","",SUM(X526:AC526))</f>
        <v>48</v>
      </c>
      <c r="AE526" s="3" t="str">
        <f aca="false">IF(W526="Likely Spam","Spam",IF(AD526&gt;='Scoring Model'!$B$21,"Hot",IF(AD526&gt;='Scoring Model'!$B$22,"Warm","Nurture")))</f>
        <v>Warm</v>
      </c>
      <c r="AF526" s="3" t="str">
        <f aca="false">IF(W526="Likely Spam","Flagged by spam rules",TRIM(IF(X526&gt;=20,"Strong source. ","")&amp;IF(Y526&gt;0,"Company email. ","")&amp;IF(Z526&gt;=15,"High-value product. ","")&amp;IF(AA526&gt;='Scoring Model'!$B$15,"High engagement. ","")&amp;IF(AB526&gt;0,"Buying intent in message. ","")&amp;IF(AC526&lt;0,"Negative intent in message. ","")))</f>
        <v>Strong source. Buying intent in message.</v>
      </c>
      <c r="AG526" s="11" t="n">
        <f aca="false">IF(W526="Likely Spam","",1/(1+EXP(-('Conversion Model'!$B$5+IFERROR(INDEX('Conversion Model'!$B$8:$B$14,MATCH(C526,'Conversion Model'!$A$8:$A$14,0)),0)+IFERROR(INDEX('Conversion Model'!$E$8:$E$9,MATCH(F526,'Conversion Model'!$D$8:$D$9,0)),0)+IFERROR(INDEX('Conversion Model'!$H$8:$H$12,MATCH(IF(LEFT(J526,8)="Payments","Payments",IF(LEFT(J526,7)="Lending","Lending",J526)),'Conversion Model'!$G$8:$G$12,0)),0)+MIN(L526,15)*'Conversion Model'!$B$17+IF(SUMPRODUCT(--ISNUMBER(SEARCH('Scoring Model'!$D$16:$D$25,K526)))&gt;0,'Conversion Model'!$B$18,0)+IF(SUMPRODUCT(--ISNUMBER(SEARCH('Scoring Model'!$G$16:$G$23,K526)))&gt;0,'Conversion Model'!$B$19,0)))))</f>
        <v>0.76781244156036</v>
      </c>
      <c r="AH526" s="3" t="n">
        <f aca="false">IF(OR(O526="Qualified",O526="Won",O526="Lost"),1,IF(O526="Unqualified",0,""))</f>
        <v>1</v>
      </c>
    </row>
    <row r="527" customFormat="false" ht="15" hidden="false" customHeight="true" outlineLevel="0" collapsed="false">
      <c r="A527" s="3" t="s">
        <v>1885</v>
      </c>
      <c r="B527" s="9" t="n">
        <v>46172.8576388889</v>
      </c>
      <c r="C527" s="3" t="s">
        <v>91</v>
      </c>
      <c r="D527" s="3" t="s">
        <v>1366</v>
      </c>
      <c r="E527" s="3" t="s">
        <v>1886</v>
      </c>
      <c r="F527" s="3" t="s">
        <v>54</v>
      </c>
      <c r="G527" s="3" t="s">
        <v>1103</v>
      </c>
      <c r="H527" s="3"/>
      <c r="I527" s="3" t="s">
        <v>260</v>
      </c>
      <c r="J527" s="3" t="s">
        <v>65</v>
      </c>
      <c r="K527" s="3" t="s">
        <v>213</v>
      </c>
      <c r="L527" s="3" t="n">
        <v>4</v>
      </c>
      <c r="M527" s="3" t="n">
        <v>16</v>
      </c>
      <c r="N527" s="3" t="s">
        <v>59</v>
      </c>
      <c r="O527" s="3" t="s">
        <v>194</v>
      </c>
      <c r="P527" s="10"/>
      <c r="Q527" s="3" t="n">
        <f aca="false">IF(F527="Disposable",1,0)</f>
        <v>0</v>
      </c>
      <c r="R527" s="3" t="n">
        <f aca="false">IF(SUMPRODUCT(--ISNUMBER(SEARCH('Spam Rules'!$A$22:$A$35,K527)))&gt;0,1,0)</f>
        <v>0</v>
      </c>
      <c r="S527" s="3" t="n">
        <f aca="false">IF(AND(F527="Free",G527=""),1,0)</f>
        <v>0</v>
      </c>
      <c r="T527" s="3" t="n">
        <f aca="false">IF(LEN(TRIM(K527))&lt;15,1,0)</f>
        <v>0</v>
      </c>
      <c r="U527" s="3" t="n">
        <f aca="false">IF(COUNTIF($E$2:$E$801,E527)&gt;1,1,0)</f>
        <v>0</v>
      </c>
      <c r="V527" s="3" t="n">
        <f aca="false">Q527*'Spam Rules'!$H$6+R527*'Spam Rules'!$H$7+S527*'Spam Rules'!$H$8+T527*'Spam Rules'!$H$9+U527*'Spam Rules'!$H$10</f>
        <v>0</v>
      </c>
      <c r="W527" s="3" t="str">
        <f aca="false">IF(V527&gt;='Spam Rules'!$B$3,"Likely Spam","Genuine")</f>
        <v>Genuine</v>
      </c>
      <c r="X527" s="3" t="n">
        <f aca="false">IFERROR(INDEX('Scoring Model'!$B$5:$B$11,MATCH(C527,'Scoring Model'!$A$5:$A$11,0)),0)</f>
        <v>5</v>
      </c>
      <c r="Y527" s="3" t="n">
        <f aca="false">IFERROR(INDEX('Scoring Model'!$E$5:$E$7,MATCH(F527,'Scoring Model'!$D$5:$D$7,0)),0)</f>
        <v>0</v>
      </c>
      <c r="Z527" s="3" t="n">
        <f aca="false">IFERROR(INDEX('Scoring Model'!$H$5:$H$13,MATCH(J527,'Scoring Model'!$G$5:$G$13,0)),0)</f>
        <v>0</v>
      </c>
      <c r="AA527" s="3" t="n">
        <f aca="false">IF(L527&gt;='Scoring Model'!$B$14,'Scoring Model'!$B$15,IF(L527&gt;='Scoring Model'!$B$16,'Scoring Model'!$B$17,0))</f>
        <v>8</v>
      </c>
      <c r="AB527" s="3" t="n">
        <f aca="false">IF(SUMPRODUCT(--ISNUMBER(SEARCH('Scoring Model'!$D$16:$D$25,K527)))&gt;0,'Scoring Model'!$B$18,0)</f>
        <v>0</v>
      </c>
      <c r="AC527" s="3" t="n">
        <f aca="false">IF(SUMPRODUCT(--ISNUMBER(SEARCH('Scoring Model'!$G$16:$G$23,K527)))&gt;0,'Scoring Model'!$B$19,0)</f>
        <v>-30</v>
      </c>
      <c r="AD527" s="3" t="n">
        <f aca="false">IF(W527="Likely Spam","",SUM(X527:AC527))</f>
        <v>-17</v>
      </c>
      <c r="AE527" s="3" t="str">
        <f aca="false">IF(W527="Likely Spam","Spam",IF(AD527&gt;='Scoring Model'!$B$21,"Hot",IF(AD527&gt;='Scoring Model'!$B$22,"Warm","Nurture")))</f>
        <v>Nurture</v>
      </c>
      <c r="AF527" s="3" t="str">
        <f aca="false">IF(W527="Likely Spam","Flagged by spam rules",TRIM(IF(X527&gt;=20,"Strong source. ","")&amp;IF(Y527&gt;0,"Company email. ","")&amp;IF(Z527&gt;=15,"High-value product. ","")&amp;IF(AA527&gt;='Scoring Model'!$B$15,"High engagement. ","")&amp;IF(AB527&gt;0,"Buying intent in message. ","")&amp;IF(AC527&lt;0,"Negative intent in message. ","")))</f>
        <v>Negative intent in message.</v>
      </c>
      <c r="AG527" s="11" t="n">
        <f aca="false">IF(W527="Likely Spam","",1/(1+EXP(-('Conversion Model'!$B$5+IFERROR(INDEX('Conversion Model'!$B$8:$B$14,MATCH(C527,'Conversion Model'!$A$8:$A$14,0)),0)+IFERROR(INDEX('Conversion Model'!$E$8:$E$9,MATCH(F527,'Conversion Model'!$D$8:$D$9,0)),0)+IFERROR(INDEX('Conversion Model'!$H$8:$H$12,MATCH(IF(LEFT(J527,8)="Payments","Payments",IF(LEFT(J527,7)="Lending","Lending",J527)),'Conversion Model'!$G$8:$G$12,0)),0)+MIN(L527,15)*'Conversion Model'!$B$17+IF(SUMPRODUCT(--ISNUMBER(SEARCH('Scoring Model'!$D$16:$D$25,K527)))&gt;0,'Conversion Model'!$B$18,0)+IF(SUMPRODUCT(--ISNUMBER(SEARCH('Scoring Model'!$G$16:$G$23,K527)))&gt;0,'Conversion Model'!$B$19,0)))))</f>
        <v>0.00748010669552435</v>
      </c>
      <c r="AH527" s="3" t="n">
        <f aca="false">IF(OR(O527="Qualified",O527="Won",O527="Lost"),1,IF(O527="Unqualified",0,""))</f>
        <v>0</v>
      </c>
    </row>
    <row r="528" customFormat="false" ht="15" hidden="false" customHeight="true" outlineLevel="0" collapsed="false">
      <c r="A528" s="3" t="s">
        <v>1887</v>
      </c>
      <c r="B528" s="9" t="n">
        <v>46173.3777777778</v>
      </c>
      <c r="C528" s="3" t="s">
        <v>91</v>
      </c>
      <c r="D528" s="3" t="s">
        <v>1888</v>
      </c>
      <c r="E528" s="3" t="s">
        <v>1889</v>
      </c>
      <c r="F528" s="3" t="s">
        <v>54</v>
      </c>
      <c r="G528" s="3" t="s">
        <v>1890</v>
      </c>
      <c r="H528" s="3"/>
      <c r="I528" s="3" t="s">
        <v>204</v>
      </c>
      <c r="J528" s="3" t="s">
        <v>81</v>
      </c>
      <c r="K528" s="3" t="s">
        <v>213</v>
      </c>
      <c r="L528" s="3" t="n">
        <v>4</v>
      </c>
      <c r="M528" s="3" t="n">
        <v>2.7</v>
      </c>
      <c r="N528" s="3" t="s">
        <v>171</v>
      </c>
      <c r="O528" s="3" t="s">
        <v>194</v>
      </c>
      <c r="P528" s="10"/>
      <c r="Q528" s="3" t="n">
        <f aca="false">IF(F528="Disposable",1,0)</f>
        <v>0</v>
      </c>
      <c r="R528" s="3" t="n">
        <f aca="false">IF(SUMPRODUCT(--ISNUMBER(SEARCH('Spam Rules'!$A$22:$A$35,K528)))&gt;0,1,0)</f>
        <v>0</v>
      </c>
      <c r="S528" s="3" t="n">
        <f aca="false">IF(AND(F528="Free",G528=""),1,0)</f>
        <v>0</v>
      </c>
      <c r="T528" s="3" t="n">
        <f aca="false">IF(LEN(TRIM(K528))&lt;15,1,0)</f>
        <v>0</v>
      </c>
      <c r="U528" s="3" t="n">
        <f aca="false">IF(COUNTIF($E$2:$E$801,E528)&gt;1,1,0)</f>
        <v>0</v>
      </c>
      <c r="V528" s="3" t="n">
        <f aca="false">Q528*'Spam Rules'!$H$6+R528*'Spam Rules'!$H$7+S528*'Spam Rules'!$H$8+T528*'Spam Rules'!$H$9+U528*'Spam Rules'!$H$10</f>
        <v>0</v>
      </c>
      <c r="W528" s="3" t="str">
        <f aca="false">IF(V528&gt;='Spam Rules'!$B$3,"Likely Spam","Genuine")</f>
        <v>Genuine</v>
      </c>
      <c r="X528" s="3" t="n">
        <f aca="false">IFERROR(INDEX('Scoring Model'!$B$5:$B$11,MATCH(C528,'Scoring Model'!$A$5:$A$11,0)),0)</f>
        <v>5</v>
      </c>
      <c r="Y528" s="3" t="n">
        <f aca="false">IFERROR(INDEX('Scoring Model'!$E$5:$E$7,MATCH(F528,'Scoring Model'!$D$5:$D$7,0)),0)</f>
        <v>0</v>
      </c>
      <c r="Z528" s="3" t="n">
        <f aca="false">IFERROR(INDEX('Scoring Model'!$H$5:$H$13,MATCH(J528,'Scoring Model'!$G$5:$G$13,0)),0)</f>
        <v>5</v>
      </c>
      <c r="AA528" s="3" t="n">
        <f aca="false">IF(L528&gt;='Scoring Model'!$B$14,'Scoring Model'!$B$15,IF(L528&gt;='Scoring Model'!$B$16,'Scoring Model'!$B$17,0))</f>
        <v>8</v>
      </c>
      <c r="AB528" s="3" t="n">
        <f aca="false">IF(SUMPRODUCT(--ISNUMBER(SEARCH('Scoring Model'!$D$16:$D$25,K528)))&gt;0,'Scoring Model'!$B$18,0)</f>
        <v>0</v>
      </c>
      <c r="AC528" s="3" t="n">
        <f aca="false">IF(SUMPRODUCT(--ISNUMBER(SEARCH('Scoring Model'!$G$16:$G$23,K528)))&gt;0,'Scoring Model'!$B$19,0)</f>
        <v>-30</v>
      </c>
      <c r="AD528" s="3" t="n">
        <f aca="false">IF(W528="Likely Spam","",SUM(X528:AC528))</f>
        <v>-12</v>
      </c>
      <c r="AE528" s="3" t="str">
        <f aca="false">IF(W528="Likely Spam","Spam",IF(AD528&gt;='Scoring Model'!$B$21,"Hot",IF(AD528&gt;='Scoring Model'!$B$22,"Warm","Nurture")))</f>
        <v>Nurture</v>
      </c>
      <c r="AF528" s="3" t="str">
        <f aca="false">IF(W528="Likely Spam","Flagged by spam rules",TRIM(IF(X528&gt;=20,"Strong source. ","")&amp;IF(Y528&gt;0,"Company email. ","")&amp;IF(Z528&gt;=15,"High-value product. ","")&amp;IF(AA528&gt;='Scoring Model'!$B$15,"High engagement. ","")&amp;IF(AB528&gt;0,"Buying intent in message. ","")&amp;IF(AC528&lt;0,"Negative intent in message. ","")))</f>
        <v>Negative intent in message.</v>
      </c>
      <c r="AG528" s="11" t="n">
        <f aca="false">IF(W528="Likely Spam","",1/(1+EXP(-('Conversion Model'!$B$5+IFERROR(INDEX('Conversion Model'!$B$8:$B$14,MATCH(C528,'Conversion Model'!$A$8:$A$14,0)),0)+IFERROR(INDEX('Conversion Model'!$E$8:$E$9,MATCH(F528,'Conversion Model'!$D$8:$D$9,0)),0)+IFERROR(INDEX('Conversion Model'!$H$8:$H$12,MATCH(IF(LEFT(J528,8)="Payments","Payments",IF(LEFT(J528,7)="Lending","Lending",J528)),'Conversion Model'!$G$8:$G$12,0)),0)+MIN(L528,15)*'Conversion Model'!$B$17+IF(SUMPRODUCT(--ISNUMBER(SEARCH('Scoring Model'!$D$16:$D$25,K528)))&gt;0,'Conversion Model'!$B$18,0)+IF(SUMPRODUCT(--ISNUMBER(SEARCH('Scoring Model'!$G$16:$G$23,K528)))&gt;0,'Conversion Model'!$B$19,0)))))</f>
        <v>0.00602976034533119</v>
      </c>
      <c r="AH528" s="3" t="n">
        <f aca="false">IF(OR(O528="Qualified",O528="Won",O528="Lost"),1,IF(O528="Unqualified",0,""))</f>
        <v>0</v>
      </c>
    </row>
    <row r="529" customFormat="false" ht="15" hidden="false" customHeight="true" outlineLevel="0" collapsed="false">
      <c r="A529" s="3" t="s">
        <v>1891</v>
      </c>
      <c r="B529" s="9" t="n">
        <v>46173.5902777778</v>
      </c>
      <c r="C529" s="3" t="s">
        <v>112</v>
      </c>
      <c r="D529" s="3" t="s">
        <v>1179</v>
      </c>
      <c r="E529" s="3" t="s">
        <v>1250</v>
      </c>
      <c r="F529" s="3" t="s">
        <v>63</v>
      </c>
      <c r="G529" s="3"/>
      <c r="H529" s="3"/>
      <c r="I529" s="3" t="s">
        <v>56</v>
      </c>
      <c r="J529" s="3" t="s">
        <v>81</v>
      </c>
      <c r="K529" s="3" t="s">
        <v>89</v>
      </c>
      <c r="L529" s="3" t="n">
        <v>2</v>
      </c>
      <c r="M529" s="3" t="n">
        <v>31.8</v>
      </c>
      <c r="N529" s="3" t="s">
        <v>59</v>
      </c>
      <c r="O529" s="3"/>
      <c r="P529" s="10"/>
      <c r="Q529" s="3" t="n">
        <f aca="false">IF(F529="Disposable",1,0)</f>
        <v>1</v>
      </c>
      <c r="R529" s="3" t="n">
        <f aca="false">IF(SUMPRODUCT(--ISNUMBER(SEARCH('Spam Rules'!$A$22:$A$35,K529)))&gt;0,1,0)</f>
        <v>1</v>
      </c>
      <c r="S529" s="3" t="n">
        <f aca="false">IF(AND(F529="Free",G529=""),1,0)</f>
        <v>0</v>
      </c>
      <c r="T529" s="3" t="n">
        <f aca="false">IF(LEN(TRIM(K529))&lt;15,1,0)</f>
        <v>0</v>
      </c>
      <c r="U529" s="3" t="n">
        <f aca="false">IF(COUNTIF($E$2:$E$801,E529)&gt;1,1,0)</f>
        <v>1</v>
      </c>
      <c r="V529" s="3" t="n">
        <f aca="false">Q529*'Spam Rules'!$H$6+R529*'Spam Rules'!$H$7+S529*'Spam Rules'!$H$8+T529*'Spam Rules'!$H$9+U529*'Spam Rules'!$H$10</f>
        <v>2</v>
      </c>
      <c r="W529" s="3" t="str">
        <f aca="false">IF(V529&gt;='Spam Rules'!$B$3,"Likely Spam","Genuine")</f>
        <v>Likely Spam</v>
      </c>
      <c r="X529" s="3" t="n">
        <f aca="false">IFERROR(INDEX('Scoring Model'!$B$5:$B$11,MATCH(C529,'Scoring Model'!$A$5:$A$11,0)),0)</f>
        <v>15</v>
      </c>
      <c r="Y529" s="3" t="n">
        <f aca="false">IFERROR(INDEX('Scoring Model'!$E$5:$E$7,MATCH(F529,'Scoring Model'!$D$5:$D$7,0)),0)</f>
        <v>0</v>
      </c>
      <c r="Z529" s="3" t="n">
        <f aca="false">IFERROR(INDEX('Scoring Model'!$H$5:$H$13,MATCH(J529,'Scoring Model'!$G$5:$G$13,0)),0)</f>
        <v>5</v>
      </c>
      <c r="AA529" s="3" t="n">
        <f aca="false">IF(L529&gt;='Scoring Model'!$B$14,'Scoring Model'!$B$15,IF(L529&gt;='Scoring Model'!$B$16,'Scoring Model'!$B$17,0))</f>
        <v>0</v>
      </c>
      <c r="AB529" s="3" t="n">
        <f aca="false">IF(SUMPRODUCT(--ISNUMBER(SEARCH('Scoring Model'!$D$16:$D$25,K529)))&gt;0,'Scoring Model'!$B$18,0)</f>
        <v>0</v>
      </c>
      <c r="AC529" s="3" t="n">
        <f aca="false">IF(SUMPRODUCT(--ISNUMBER(SEARCH('Scoring Model'!$G$16:$G$23,K529)))&gt;0,'Scoring Model'!$B$19,0)</f>
        <v>0</v>
      </c>
      <c r="AD529" s="3" t="str">
        <f aca="false">IF(W529="Likely Spam","",SUM(X529:AC529))</f>
        <v/>
      </c>
      <c r="AE529" s="3" t="str">
        <f aca="false">IF(W529="Likely Spam","Spam",IF(AD529&gt;='Scoring Model'!$B$21,"Hot",IF(AD529&gt;='Scoring Model'!$B$22,"Warm","Nurture")))</f>
        <v>Spam</v>
      </c>
      <c r="AF529" s="3" t="str">
        <f aca="false">IF(W529="Likely Spam","Flagged by spam rules",TRIM(IF(X529&gt;=20,"Strong source. ","")&amp;IF(Y529&gt;0,"Company email. ","")&amp;IF(Z529&gt;=15,"High-value product. ","")&amp;IF(AA529&gt;='Scoring Model'!$B$15,"High engagement. ","")&amp;IF(AB529&gt;0,"Buying intent in message. ","")&amp;IF(AC529&lt;0,"Negative intent in message. ","")))</f>
        <v>Flagged by spam rules</v>
      </c>
      <c r="AG529" s="11" t="str">
        <f aca="false">IF(W529="Likely Spam","",1/(1+EXP(-('Conversion Model'!$B$5+IFERROR(INDEX('Conversion Model'!$B$8:$B$14,MATCH(C529,'Conversion Model'!$A$8:$A$14,0)),0)+IFERROR(INDEX('Conversion Model'!$E$8:$E$9,MATCH(F529,'Conversion Model'!$D$8:$D$9,0)),0)+IFERROR(INDEX('Conversion Model'!$H$8:$H$12,MATCH(IF(LEFT(J529,8)="Payments","Payments",IF(LEFT(J529,7)="Lending","Lending",J529)),'Conversion Model'!$G$8:$G$12,0)),0)+MIN(L529,15)*'Conversion Model'!$B$17+IF(SUMPRODUCT(--ISNUMBER(SEARCH('Scoring Model'!$D$16:$D$25,K529)))&gt;0,'Conversion Model'!$B$18,0)+IF(SUMPRODUCT(--ISNUMBER(SEARCH('Scoring Model'!$G$16:$G$23,K529)))&gt;0,'Conversion Model'!$B$19,0)))))</f>
        <v/>
      </c>
      <c r="AH529" s="3" t="str">
        <f aca="false">IF(OR(O529="Qualified",O529="Won",O529="Lost"),1,IF(O529="Unqualified",0,""))</f>
        <v/>
      </c>
    </row>
    <row r="530" customFormat="false" ht="15" hidden="false" customHeight="true" outlineLevel="0" collapsed="false">
      <c r="A530" s="3" t="s">
        <v>1892</v>
      </c>
      <c r="B530" s="9" t="n">
        <v>46173.5909722222</v>
      </c>
      <c r="C530" s="3" t="s">
        <v>160</v>
      </c>
      <c r="D530" s="3" t="s">
        <v>1194</v>
      </c>
      <c r="E530" s="3" t="s">
        <v>1893</v>
      </c>
      <c r="F530" s="3" t="s">
        <v>22</v>
      </c>
      <c r="G530" s="3" t="s">
        <v>1894</v>
      </c>
      <c r="H530" s="3" t="s">
        <v>1895</v>
      </c>
      <c r="I530" s="3" t="s">
        <v>116</v>
      </c>
      <c r="J530" s="3" t="s">
        <v>245</v>
      </c>
      <c r="K530" s="3" t="s">
        <v>345</v>
      </c>
      <c r="L530" s="3" t="n">
        <v>3</v>
      </c>
      <c r="M530" s="3" t="n">
        <v>31.5</v>
      </c>
      <c r="N530" s="3" t="s">
        <v>171</v>
      </c>
      <c r="O530" s="3"/>
      <c r="P530" s="10"/>
      <c r="Q530" s="3" t="n">
        <f aca="false">IF(F530="Disposable",1,0)</f>
        <v>0</v>
      </c>
      <c r="R530" s="3" t="n">
        <f aca="false">IF(SUMPRODUCT(--ISNUMBER(SEARCH('Spam Rules'!$A$22:$A$35,K530)))&gt;0,1,0)</f>
        <v>0</v>
      </c>
      <c r="S530" s="3" t="n">
        <f aca="false">IF(AND(F530="Free",G530=""),1,0)</f>
        <v>0</v>
      </c>
      <c r="T530" s="3" t="n">
        <f aca="false">IF(LEN(TRIM(K530))&lt;15,1,0)</f>
        <v>0</v>
      </c>
      <c r="U530" s="3" t="n">
        <f aca="false">IF(COUNTIF($E$2:$E$801,E530)&gt;1,1,0)</f>
        <v>0</v>
      </c>
      <c r="V530" s="3" t="n">
        <f aca="false">Q530*'Spam Rules'!$H$6+R530*'Spam Rules'!$H$7+S530*'Spam Rules'!$H$8+T530*'Spam Rules'!$H$9+U530*'Spam Rules'!$H$10</f>
        <v>0</v>
      </c>
      <c r="W530" s="3" t="str">
        <f aca="false">IF(V530&gt;='Spam Rules'!$B$3,"Likely Spam","Genuine")</f>
        <v>Genuine</v>
      </c>
      <c r="X530" s="3" t="n">
        <f aca="false">IFERROR(INDEX('Scoring Model'!$B$5:$B$11,MATCH(C530,'Scoring Model'!$A$5:$A$11,0)),0)</f>
        <v>25</v>
      </c>
      <c r="Y530" s="3" t="n">
        <f aca="false">IFERROR(INDEX('Scoring Model'!$E$5:$E$7,MATCH(F530,'Scoring Model'!$D$5:$D$7,0)),0)</f>
        <v>20</v>
      </c>
      <c r="Z530" s="3" t="n">
        <f aca="false">IFERROR(INDEX('Scoring Model'!$H$5:$H$13,MATCH(J530,'Scoring Model'!$G$5:$G$13,0)),0)</f>
        <v>15</v>
      </c>
      <c r="AA530" s="3" t="n">
        <f aca="false">IF(L530&gt;='Scoring Model'!$B$14,'Scoring Model'!$B$15,IF(L530&gt;='Scoring Model'!$B$16,'Scoring Model'!$B$17,0))</f>
        <v>0</v>
      </c>
      <c r="AB530" s="3" t="n">
        <f aca="false">IF(SUMPRODUCT(--ISNUMBER(SEARCH('Scoring Model'!$D$16:$D$25,K530)))&gt;0,'Scoring Model'!$B$18,0)</f>
        <v>15</v>
      </c>
      <c r="AC530" s="3" t="n">
        <f aca="false">IF(SUMPRODUCT(--ISNUMBER(SEARCH('Scoring Model'!$G$16:$G$23,K530)))&gt;0,'Scoring Model'!$B$19,0)</f>
        <v>0</v>
      </c>
      <c r="AD530" s="3" t="n">
        <f aca="false">IF(W530="Likely Spam","",SUM(X530:AC530))</f>
        <v>75</v>
      </c>
      <c r="AE530" s="3" t="str">
        <f aca="false">IF(W530="Likely Spam","Spam",IF(AD530&gt;='Scoring Model'!$B$21,"Hot",IF(AD530&gt;='Scoring Model'!$B$22,"Warm","Nurture")))</f>
        <v>Hot</v>
      </c>
      <c r="AF530" s="3" t="str">
        <f aca="false">IF(W530="Likely Spam","Flagged by spam rules",TRIM(IF(X530&gt;=20,"Strong source. ","")&amp;IF(Y530&gt;0,"Company email. ","")&amp;IF(Z530&gt;=15,"High-value product. ","")&amp;IF(AA530&gt;='Scoring Model'!$B$15,"High engagement. ","")&amp;IF(AB530&gt;0,"Buying intent in message. ","")&amp;IF(AC530&lt;0,"Negative intent in message. ","")))</f>
        <v>Strong source. Company email. High-value product. Buying intent in message.</v>
      </c>
      <c r="AG530" s="11" t="n">
        <f aca="false">IF(W530="Likely Spam","",1/(1+EXP(-('Conversion Model'!$B$5+IFERROR(INDEX('Conversion Model'!$B$8:$B$14,MATCH(C530,'Conversion Model'!$A$8:$A$14,0)),0)+IFERROR(INDEX('Conversion Model'!$E$8:$E$9,MATCH(F530,'Conversion Model'!$D$8:$D$9,0)),0)+IFERROR(INDEX('Conversion Model'!$H$8:$H$12,MATCH(IF(LEFT(J530,8)="Payments","Payments",IF(LEFT(J530,7)="Lending","Lending",J530)),'Conversion Model'!$G$8:$G$12,0)),0)+MIN(L530,15)*'Conversion Model'!$B$17+IF(SUMPRODUCT(--ISNUMBER(SEARCH('Scoring Model'!$D$16:$D$25,K530)))&gt;0,'Conversion Model'!$B$18,0)+IF(SUMPRODUCT(--ISNUMBER(SEARCH('Scoring Model'!$G$16:$G$23,K530)))&gt;0,'Conversion Model'!$B$19,0)))))</f>
        <v>0.653169391528382</v>
      </c>
      <c r="AH530" s="3" t="str">
        <f aca="false">IF(OR(O530="Qualified",O530="Won",O530="Lost"),1,IF(O530="Unqualified",0,""))</f>
        <v/>
      </c>
    </row>
    <row r="531" customFormat="false" ht="15" hidden="false" customHeight="true" outlineLevel="0" collapsed="false">
      <c r="A531" s="3" t="s">
        <v>1896</v>
      </c>
      <c r="B531" s="9" t="n">
        <v>46173.8034722222</v>
      </c>
      <c r="C531" s="3" t="s">
        <v>112</v>
      </c>
      <c r="D531" s="3" t="s">
        <v>1465</v>
      </c>
      <c r="E531" s="3" t="s">
        <v>1897</v>
      </c>
      <c r="F531" s="3" t="s">
        <v>22</v>
      </c>
      <c r="G531" s="3" t="s">
        <v>79</v>
      </c>
      <c r="H531" s="3" t="s">
        <v>886</v>
      </c>
      <c r="I531" s="3" t="s">
        <v>116</v>
      </c>
      <c r="J531" s="3" t="s">
        <v>122</v>
      </c>
      <c r="K531" s="3" t="s">
        <v>89</v>
      </c>
      <c r="L531" s="3" t="n">
        <v>2</v>
      </c>
      <c r="M531" s="3" t="n">
        <v>56.3</v>
      </c>
      <c r="N531" s="3" t="s">
        <v>59</v>
      </c>
      <c r="O531" s="3"/>
      <c r="P531" s="10"/>
      <c r="Q531" s="3" t="n">
        <f aca="false">IF(F531="Disposable",1,0)</f>
        <v>0</v>
      </c>
      <c r="R531" s="3" t="n">
        <f aca="false">IF(SUMPRODUCT(--ISNUMBER(SEARCH('Spam Rules'!$A$22:$A$35,K531)))&gt;0,1,0)</f>
        <v>1</v>
      </c>
      <c r="S531" s="3" t="n">
        <f aca="false">IF(AND(F531="Free",G531=""),1,0)</f>
        <v>0</v>
      </c>
      <c r="T531" s="3" t="n">
        <f aca="false">IF(LEN(TRIM(K531))&lt;15,1,0)</f>
        <v>0</v>
      </c>
      <c r="U531" s="3" t="n">
        <f aca="false">IF(COUNTIF($E$2:$E$801,E531)&gt;1,1,0)</f>
        <v>0</v>
      </c>
      <c r="V531" s="3" t="n">
        <f aca="false">Q531*'Spam Rules'!$H$6+R531*'Spam Rules'!$H$7+S531*'Spam Rules'!$H$8+T531*'Spam Rules'!$H$9+U531*'Spam Rules'!$H$10</f>
        <v>1</v>
      </c>
      <c r="W531" s="3" t="str">
        <f aca="false">IF(V531&gt;='Spam Rules'!$B$3,"Likely Spam","Genuine")</f>
        <v>Likely Spam</v>
      </c>
      <c r="X531" s="3" t="n">
        <f aca="false">IFERROR(INDEX('Scoring Model'!$B$5:$B$11,MATCH(C531,'Scoring Model'!$A$5:$A$11,0)),0)</f>
        <v>15</v>
      </c>
      <c r="Y531" s="3" t="n">
        <f aca="false">IFERROR(INDEX('Scoring Model'!$E$5:$E$7,MATCH(F531,'Scoring Model'!$D$5:$D$7,0)),0)</f>
        <v>20</v>
      </c>
      <c r="Z531" s="3" t="n">
        <f aca="false">IFERROR(INDEX('Scoring Model'!$H$5:$H$13,MATCH(J531,'Scoring Model'!$G$5:$G$13,0)),0)</f>
        <v>15</v>
      </c>
      <c r="AA531" s="3" t="n">
        <f aca="false">IF(L531&gt;='Scoring Model'!$B$14,'Scoring Model'!$B$15,IF(L531&gt;='Scoring Model'!$B$16,'Scoring Model'!$B$17,0))</f>
        <v>0</v>
      </c>
      <c r="AB531" s="3" t="n">
        <f aca="false">IF(SUMPRODUCT(--ISNUMBER(SEARCH('Scoring Model'!$D$16:$D$25,K531)))&gt;0,'Scoring Model'!$B$18,0)</f>
        <v>0</v>
      </c>
      <c r="AC531" s="3" t="n">
        <f aca="false">IF(SUMPRODUCT(--ISNUMBER(SEARCH('Scoring Model'!$G$16:$G$23,K531)))&gt;0,'Scoring Model'!$B$19,0)</f>
        <v>0</v>
      </c>
      <c r="AD531" s="3" t="str">
        <f aca="false">IF(W531="Likely Spam","",SUM(X531:AC531))</f>
        <v/>
      </c>
      <c r="AE531" s="3" t="str">
        <f aca="false">IF(W531="Likely Spam","Spam",IF(AD531&gt;='Scoring Model'!$B$21,"Hot",IF(AD531&gt;='Scoring Model'!$B$22,"Warm","Nurture")))</f>
        <v>Spam</v>
      </c>
      <c r="AF531" s="3" t="str">
        <f aca="false">IF(W531="Likely Spam","Flagged by spam rules",TRIM(IF(X531&gt;=20,"Strong source. ","")&amp;IF(Y531&gt;0,"Company email. ","")&amp;IF(Z531&gt;=15,"High-value product. ","")&amp;IF(AA531&gt;='Scoring Model'!$B$15,"High engagement. ","")&amp;IF(AB531&gt;0,"Buying intent in message. ","")&amp;IF(AC531&lt;0,"Negative intent in message. ","")))</f>
        <v>Flagged by spam rules</v>
      </c>
      <c r="AG531" s="11" t="str">
        <f aca="false">IF(W531="Likely Spam","",1/(1+EXP(-('Conversion Model'!$B$5+IFERROR(INDEX('Conversion Model'!$B$8:$B$14,MATCH(C531,'Conversion Model'!$A$8:$A$14,0)),0)+IFERROR(INDEX('Conversion Model'!$E$8:$E$9,MATCH(F531,'Conversion Model'!$D$8:$D$9,0)),0)+IFERROR(INDEX('Conversion Model'!$H$8:$H$12,MATCH(IF(LEFT(J531,8)="Payments","Payments",IF(LEFT(J531,7)="Lending","Lending",J531)),'Conversion Model'!$G$8:$G$12,0)),0)+MIN(L531,15)*'Conversion Model'!$B$17+IF(SUMPRODUCT(--ISNUMBER(SEARCH('Scoring Model'!$D$16:$D$25,K531)))&gt;0,'Conversion Model'!$B$18,0)+IF(SUMPRODUCT(--ISNUMBER(SEARCH('Scoring Model'!$G$16:$G$23,K531)))&gt;0,'Conversion Model'!$B$19,0)))))</f>
        <v/>
      </c>
      <c r="AH531" s="3" t="str">
        <f aca="false">IF(OR(O531="Qualified",O531="Won",O531="Lost"),1,IF(O531="Unqualified",0,""))</f>
        <v/>
      </c>
    </row>
    <row r="532" customFormat="false" ht="15" hidden="false" customHeight="true" outlineLevel="0" collapsed="false">
      <c r="A532" s="3" t="s">
        <v>1898</v>
      </c>
      <c r="B532" s="9" t="n">
        <v>46174.3180555556</v>
      </c>
      <c r="C532" s="3" t="s">
        <v>76</v>
      </c>
      <c r="D532" s="3" t="s">
        <v>1899</v>
      </c>
      <c r="E532" s="3" t="s">
        <v>1900</v>
      </c>
      <c r="F532" s="3" t="s">
        <v>63</v>
      </c>
      <c r="G532" s="3"/>
      <c r="H532" s="3"/>
      <c r="I532" s="3" t="s">
        <v>260</v>
      </c>
      <c r="J532" s="3" t="s">
        <v>122</v>
      </c>
      <c r="K532" s="3" t="s">
        <v>322</v>
      </c>
      <c r="L532" s="3" t="n">
        <v>2</v>
      </c>
      <c r="M532" s="3" t="n">
        <v>13.8</v>
      </c>
      <c r="N532" s="3" t="s">
        <v>67</v>
      </c>
      <c r="O532" s="3" t="s">
        <v>68</v>
      </c>
      <c r="P532" s="10"/>
      <c r="Q532" s="3" t="n">
        <f aca="false">IF(F532="Disposable",1,0)</f>
        <v>1</v>
      </c>
      <c r="R532" s="3" t="n">
        <f aca="false">IF(SUMPRODUCT(--ISNUMBER(SEARCH('Spam Rules'!$A$22:$A$35,K532)))&gt;0,1,0)</f>
        <v>0</v>
      </c>
      <c r="S532" s="3" t="n">
        <f aca="false">IF(AND(F532="Free",G532=""),1,0)</f>
        <v>0</v>
      </c>
      <c r="T532" s="3" t="n">
        <f aca="false">IF(LEN(TRIM(K532))&lt;15,1,0)</f>
        <v>1</v>
      </c>
      <c r="U532" s="3" t="n">
        <f aca="false">IF(COUNTIF($E$2:$E$801,E532)&gt;1,1,0)</f>
        <v>0</v>
      </c>
      <c r="V532" s="3" t="n">
        <f aca="false">Q532*'Spam Rules'!$H$6+R532*'Spam Rules'!$H$7+S532*'Spam Rules'!$H$8+T532*'Spam Rules'!$H$9+U532*'Spam Rules'!$H$10</f>
        <v>2</v>
      </c>
      <c r="W532" s="3" t="str">
        <f aca="false">IF(V532&gt;='Spam Rules'!$B$3,"Likely Spam","Genuine")</f>
        <v>Likely Spam</v>
      </c>
      <c r="X532" s="3" t="n">
        <f aca="false">IFERROR(INDEX('Scoring Model'!$B$5:$B$11,MATCH(C532,'Scoring Model'!$A$5:$A$11,0)),0)</f>
        <v>0</v>
      </c>
      <c r="Y532" s="3" t="n">
        <f aca="false">IFERROR(INDEX('Scoring Model'!$E$5:$E$7,MATCH(F532,'Scoring Model'!$D$5:$D$7,0)),0)</f>
        <v>0</v>
      </c>
      <c r="Z532" s="3" t="n">
        <f aca="false">IFERROR(INDEX('Scoring Model'!$H$5:$H$13,MATCH(J532,'Scoring Model'!$G$5:$G$13,0)),0)</f>
        <v>15</v>
      </c>
      <c r="AA532" s="3" t="n">
        <f aca="false">IF(L532&gt;='Scoring Model'!$B$14,'Scoring Model'!$B$15,IF(L532&gt;='Scoring Model'!$B$16,'Scoring Model'!$B$17,0))</f>
        <v>0</v>
      </c>
      <c r="AB532" s="3" t="n">
        <f aca="false">IF(SUMPRODUCT(--ISNUMBER(SEARCH('Scoring Model'!$D$16:$D$25,K532)))&gt;0,'Scoring Model'!$B$18,0)</f>
        <v>0</v>
      </c>
      <c r="AC532" s="3" t="n">
        <f aca="false">IF(SUMPRODUCT(--ISNUMBER(SEARCH('Scoring Model'!$G$16:$G$23,K532)))&gt;0,'Scoring Model'!$B$19,0)</f>
        <v>0</v>
      </c>
      <c r="AD532" s="3" t="str">
        <f aca="false">IF(W532="Likely Spam","",SUM(X532:AC532))</f>
        <v/>
      </c>
      <c r="AE532" s="3" t="str">
        <f aca="false">IF(W532="Likely Spam","Spam",IF(AD532&gt;='Scoring Model'!$B$21,"Hot",IF(AD532&gt;='Scoring Model'!$B$22,"Warm","Nurture")))</f>
        <v>Spam</v>
      </c>
      <c r="AF532" s="3" t="str">
        <f aca="false">IF(W532="Likely Spam","Flagged by spam rules",TRIM(IF(X532&gt;=20,"Strong source. ","")&amp;IF(Y532&gt;0,"Company email. ","")&amp;IF(Z532&gt;=15,"High-value product. ","")&amp;IF(AA532&gt;='Scoring Model'!$B$15,"High engagement. ","")&amp;IF(AB532&gt;0,"Buying intent in message. ","")&amp;IF(AC532&lt;0,"Negative intent in message. ","")))</f>
        <v>Flagged by spam rules</v>
      </c>
      <c r="AG532" s="11" t="str">
        <f aca="false">IF(W532="Likely Spam","",1/(1+EXP(-('Conversion Model'!$B$5+IFERROR(INDEX('Conversion Model'!$B$8:$B$14,MATCH(C532,'Conversion Model'!$A$8:$A$14,0)),0)+IFERROR(INDEX('Conversion Model'!$E$8:$E$9,MATCH(F532,'Conversion Model'!$D$8:$D$9,0)),0)+IFERROR(INDEX('Conversion Model'!$H$8:$H$12,MATCH(IF(LEFT(J532,8)="Payments","Payments",IF(LEFT(J532,7)="Lending","Lending",J532)),'Conversion Model'!$G$8:$G$12,0)),0)+MIN(L532,15)*'Conversion Model'!$B$17+IF(SUMPRODUCT(--ISNUMBER(SEARCH('Scoring Model'!$D$16:$D$25,K532)))&gt;0,'Conversion Model'!$B$18,0)+IF(SUMPRODUCT(--ISNUMBER(SEARCH('Scoring Model'!$G$16:$G$23,K532)))&gt;0,'Conversion Model'!$B$19,0)))))</f>
        <v/>
      </c>
      <c r="AH532" s="3" t="str">
        <f aca="false">IF(OR(O532="Qualified",O532="Won",O532="Lost"),1,IF(O532="Unqualified",0,""))</f>
        <v/>
      </c>
    </row>
    <row r="533" customFormat="false" ht="15" hidden="false" customHeight="true" outlineLevel="0" collapsed="false">
      <c r="A533" s="3" t="s">
        <v>1901</v>
      </c>
      <c r="B533" s="9" t="n">
        <v>46174.3208333333</v>
      </c>
      <c r="C533" s="3" t="s">
        <v>76</v>
      </c>
      <c r="D533" s="3" t="s">
        <v>1902</v>
      </c>
      <c r="E533" s="3" t="s">
        <v>1903</v>
      </c>
      <c r="F533" s="3" t="s">
        <v>63</v>
      </c>
      <c r="G533" s="3"/>
      <c r="H533" s="3"/>
      <c r="I533" s="3" t="s">
        <v>80</v>
      </c>
      <c r="J533" s="3" t="s">
        <v>65</v>
      </c>
      <c r="K533" s="3" t="s">
        <v>82</v>
      </c>
      <c r="L533" s="3" t="n">
        <v>2</v>
      </c>
      <c r="M533" s="3" t="n">
        <v>8</v>
      </c>
      <c r="N533" s="3" t="s">
        <v>67</v>
      </c>
      <c r="O533" s="3" t="s">
        <v>68</v>
      </c>
      <c r="P533" s="10"/>
      <c r="Q533" s="3" t="n">
        <f aca="false">IF(F533="Disposable",1,0)</f>
        <v>1</v>
      </c>
      <c r="R533" s="3" t="n">
        <f aca="false">IF(SUMPRODUCT(--ISNUMBER(SEARCH('Spam Rules'!$A$22:$A$35,K533)))&gt;0,1,0)</f>
        <v>1</v>
      </c>
      <c r="S533" s="3" t="n">
        <f aca="false">IF(AND(F533="Free",G533=""),1,0)</f>
        <v>0</v>
      </c>
      <c r="T533" s="3" t="n">
        <f aca="false">IF(LEN(TRIM(K533))&lt;15,1,0)</f>
        <v>0</v>
      </c>
      <c r="U533" s="3" t="n">
        <f aca="false">IF(COUNTIF($E$2:$E$801,E533)&gt;1,1,0)</f>
        <v>0</v>
      </c>
      <c r="V533" s="3" t="n">
        <f aca="false">Q533*'Spam Rules'!$H$6+R533*'Spam Rules'!$H$7+S533*'Spam Rules'!$H$8+T533*'Spam Rules'!$H$9+U533*'Spam Rules'!$H$10</f>
        <v>2</v>
      </c>
      <c r="W533" s="3" t="str">
        <f aca="false">IF(V533&gt;='Spam Rules'!$B$3,"Likely Spam","Genuine")</f>
        <v>Likely Spam</v>
      </c>
      <c r="X533" s="3" t="n">
        <f aca="false">IFERROR(INDEX('Scoring Model'!$B$5:$B$11,MATCH(C533,'Scoring Model'!$A$5:$A$11,0)),0)</f>
        <v>0</v>
      </c>
      <c r="Y533" s="3" t="n">
        <f aca="false">IFERROR(INDEX('Scoring Model'!$E$5:$E$7,MATCH(F533,'Scoring Model'!$D$5:$D$7,0)),0)</f>
        <v>0</v>
      </c>
      <c r="Z533" s="3" t="n">
        <f aca="false">IFERROR(INDEX('Scoring Model'!$H$5:$H$13,MATCH(J533,'Scoring Model'!$G$5:$G$13,0)),0)</f>
        <v>0</v>
      </c>
      <c r="AA533" s="3" t="n">
        <f aca="false">IF(L533&gt;='Scoring Model'!$B$14,'Scoring Model'!$B$15,IF(L533&gt;='Scoring Model'!$B$16,'Scoring Model'!$B$17,0))</f>
        <v>0</v>
      </c>
      <c r="AB533" s="3" t="n">
        <f aca="false">IF(SUMPRODUCT(--ISNUMBER(SEARCH('Scoring Model'!$D$16:$D$25,K533)))&gt;0,'Scoring Model'!$B$18,0)</f>
        <v>0</v>
      </c>
      <c r="AC533" s="3" t="n">
        <f aca="false">IF(SUMPRODUCT(--ISNUMBER(SEARCH('Scoring Model'!$G$16:$G$23,K533)))&gt;0,'Scoring Model'!$B$19,0)</f>
        <v>0</v>
      </c>
      <c r="AD533" s="3" t="str">
        <f aca="false">IF(W533="Likely Spam","",SUM(X533:AC533))</f>
        <v/>
      </c>
      <c r="AE533" s="3" t="str">
        <f aca="false">IF(W533="Likely Spam","Spam",IF(AD533&gt;='Scoring Model'!$B$21,"Hot",IF(AD533&gt;='Scoring Model'!$B$22,"Warm","Nurture")))</f>
        <v>Spam</v>
      </c>
      <c r="AF533" s="3" t="str">
        <f aca="false">IF(W533="Likely Spam","Flagged by spam rules",TRIM(IF(X533&gt;=20,"Strong source. ","")&amp;IF(Y533&gt;0,"Company email. ","")&amp;IF(Z533&gt;=15,"High-value product. ","")&amp;IF(AA533&gt;='Scoring Model'!$B$15,"High engagement. ","")&amp;IF(AB533&gt;0,"Buying intent in message. ","")&amp;IF(AC533&lt;0,"Negative intent in message. ","")))</f>
        <v>Flagged by spam rules</v>
      </c>
      <c r="AG533" s="11" t="str">
        <f aca="false">IF(W533="Likely Spam","",1/(1+EXP(-('Conversion Model'!$B$5+IFERROR(INDEX('Conversion Model'!$B$8:$B$14,MATCH(C533,'Conversion Model'!$A$8:$A$14,0)),0)+IFERROR(INDEX('Conversion Model'!$E$8:$E$9,MATCH(F533,'Conversion Model'!$D$8:$D$9,0)),0)+IFERROR(INDEX('Conversion Model'!$H$8:$H$12,MATCH(IF(LEFT(J533,8)="Payments","Payments",IF(LEFT(J533,7)="Lending","Lending",J533)),'Conversion Model'!$G$8:$G$12,0)),0)+MIN(L533,15)*'Conversion Model'!$B$17+IF(SUMPRODUCT(--ISNUMBER(SEARCH('Scoring Model'!$D$16:$D$25,K533)))&gt;0,'Conversion Model'!$B$18,0)+IF(SUMPRODUCT(--ISNUMBER(SEARCH('Scoring Model'!$G$16:$G$23,K533)))&gt;0,'Conversion Model'!$B$19,0)))))</f>
        <v/>
      </c>
      <c r="AH533" s="3" t="str">
        <f aca="false">IF(OR(O533="Qualified",O533="Won",O533="Lost"),1,IF(O533="Unqualified",0,""))</f>
        <v/>
      </c>
    </row>
    <row r="534" customFormat="false" ht="15" hidden="false" customHeight="true" outlineLevel="0" collapsed="false">
      <c r="A534" s="3" t="s">
        <v>1904</v>
      </c>
      <c r="B534" s="9" t="n">
        <v>46174.65625</v>
      </c>
      <c r="C534" s="3" t="s">
        <v>135</v>
      </c>
      <c r="D534" s="3" t="s">
        <v>70</v>
      </c>
      <c r="E534" s="3" t="s">
        <v>1905</v>
      </c>
      <c r="F534" s="3" t="s">
        <v>54</v>
      </c>
      <c r="G534" s="3" t="s">
        <v>1232</v>
      </c>
      <c r="H534" s="3"/>
      <c r="I534" s="3" t="s">
        <v>107</v>
      </c>
      <c r="J534" s="3" t="s">
        <v>245</v>
      </c>
      <c r="K534" s="3" t="s">
        <v>1083</v>
      </c>
      <c r="L534" s="3" t="n">
        <v>3</v>
      </c>
      <c r="M534" s="3" t="n">
        <v>22</v>
      </c>
      <c r="N534" s="3" t="s">
        <v>59</v>
      </c>
      <c r="O534" s="3" t="s">
        <v>331</v>
      </c>
      <c r="P534" s="10"/>
      <c r="Q534" s="3" t="n">
        <f aca="false">IF(F534="Disposable",1,0)</f>
        <v>0</v>
      </c>
      <c r="R534" s="3" t="n">
        <f aca="false">IF(SUMPRODUCT(--ISNUMBER(SEARCH('Spam Rules'!$A$22:$A$35,K534)))&gt;0,1,0)</f>
        <v>0</v>
      </c>
      <c r="S534" s="3" t="n">
        <f aca="false">IF(AND(F534="Free",G534=""),1,0)</f>
        <v>0</v>
      </c>
      <c r="T534" s="3" t="n">
        <f aca="false">IF(LEN(TRIM(K534))&lt;15,1,0)</f>
        <v>0</v>
      </c>
      <c r="U534" s="3" t="n">
        <f aca="false">IF(COUNTIF($E$2:$E$801,E534)&gt;1,1,0)</f>
        <v>0</v>
      </c>
      <c r="V534" s="3" t="n">
        <f aca="false">Q534*'Spam Rules'!$H$6+R534*'Spam Rules'!$H$7+S534*'Spam Rules'!$H$8+T534*'Spam Rules'!$H$9+U534*'Spam Rules'!$H$10</f>
        <v>0</v>
      </c>
      <c r="W534" s="3" t="str">
        <f aca="false">IF(V534&gt;='Spam Rules'!$B$3,"Likely Spam","Genuine")</f>
        <v>Genuine</v>
      </c>
      <c r="X534" s="3" t="n">
        <f aca="false">IFERROR(INDEX('Scoring Model'!$B$5:$B$11,MATCH(C534,'Scoring Model'!$A$5:$A$11,0)),0)</f>
        <v>20</v>
      </c>
      <c r="Y534" s="3" t="n">
        <f aca="false">IFERROR(INDEX('Scoring Model'!$E$5:$E$7,MATCH(F534,'Scoring Model'!$D$5:$D$7,0)),0)</f>
        <v>0</v>
      </c>
      <c r="Z534" s="3" t="n">
        <f aca="false">IFERROR(INDEX('Scoring Model'!$H$5:$H$13,MATCH(J534,'Scoring Model'!$G$5:$G$13,0)),0)</f>
        <v>15</v>
      </c>
      <c r="AA534" s="3" t="n">
        <f aca="false">IF(L534&gt;='Scoring Model'!$B$14,'Scoring Model'!$B$15,IF(L534&gt;='Scoring Model'!$B$16,'Scoring Model'!$B$17,0))</f>
        <v>0</v>
      </c>
      <c r="AB534" s="3" t="n">
        <f aca="false">IF(SUMPRODUCT(--ISNUMBER(SEARCH('Scoring Model'!$D$16:$D$25,K534)))&gt;0,'Scoring Model'!$B$18,0)</f>
        <v>15</v>
      </c>
      <c r="AC534" s="3" t="n">
        <f aca="false">IF(SUMPRODUCT(--ISNUMBER(SEARCH('Scoring Model'!$G$16:$G$23,K534)))&gt;0,'Scoring Model'!$B$19,0)</f>
        <v>0</v>
      </c>
      <c r="AD534" s="3" t="n">
        <f aca="false">IF(W534="Likely Spam","",SUM(X534:AC534))</f>
        <v>50</v>
      </c>
      <c r="AE534" s="3" t="str">
        <f aca="false">IF(W534="Likely Spam","Spam",IF(AD534&gt;='Scoring Model'!$B$21,"Hot",IF(AD534&gt;='Scoring Model'!$B$22,"Warm","Nurture")))</f>
        <v>Warm</v>
      </c>
      <c r="AF534" s="3" t="str">
        <f aca="false">IF(W534="Likely Spam","Flagged by spam rules",TRIM(IF(X534&gt;=20,"Strong source. ","")&amp;IF(Y534&gt;0,"Company email. ","")&amp;IF(Z534&gt;=15,"High-value product. ","")&amp;IF(AA534&gt;='Scoring Model'!$B$15,"High engagement. ","")&amp;IF(AB534&gt;0,"Buying intent in message. ","")&amp;IF(AC534&lt;0,"Negative intent in message. ","")))</f>
        <v>Strong source. High-value product. Buying intent in message.</v>
      </c>
      <c r="AG534" s="11" t="n">
        <f aca="false">IF(W534="Likely Spam","",1/(1+EXP(-('Conversion Model'!$B$5+IFERROR(INDEX('Conversion Model'!$B$8:$B$14,MATCH(C534,'Conversion Model'!$A$8:$A$14,0)),0)+IFERROR(INDEX('Conversion Model'!$E$8:$E$9,MATCH(F534,'Conversion Model'!$D$8:$D$9,0)),0)+IFERROR(INDEX('Conversion Model'!$H$8:$H$12,MATCH(IF(LEFT(J534,8)="Payments","Payments",IF(LEFT(J534,7)="Lending","Lending",J534)),'Conversion Model'!$G$8:$G$12,0)),0)+MIN(L534,15)*'Conversion Model'!$B$17+IF(SUMPRODUCT(--ISNUMBER(SEARCH('Scoring Model'!$D$16:$D$25,K534)))&gt;0,'Conversion Model'!$B$18,0)+IF(SUMPRODUCT(--ISNUMBER(SEARCH('Scoring Model'!$G$16:$G$23,K534)))&gt;0,'Conversion Model'!$B$19,0)))))</f>
        <v>0.527721542749164</v>
      </c>
      <c r="AH534" s="3" t="n">
        <f aca="false">IF(OR(O534="Qualified",O534="Won",O534="Lost"),1,IF(O534="Unqualified",0,""))</f>
        <v>1</v>
      </c>
    </row>
    <row r="535" customFormat="false" ht="15" hidden="false" customHeight="true" outlineLevel="0" collapsed="false">
      <c r="A535" s="3" t="s">
        <v>1906</v>
      </c>
      <c r="B535" s="9" t="n">
        <v>46174.6680555556</v>
      </c>
      <c r="C535" s="3" t="s">
        <v>51</v>
      </c>
      <c r="D535" s="3" t="s">
        <v>1630</v>
      </c>
      <c r="E535" s="3" t="s">
        <v>1907</v>
      </c>
      <c r="F535" s="3" t="s">
        <v>54</v>
      </c>
      <c r="G535" s="3" t="s">
        <v>291</v>
      </c>
      <c r="H535" s="3"/>
      <c r="I535" s="3" t="s">
        <v>94</v>
      </c>
      <c r="J535" s="3" t="s">
        <v>81</v>
      </c>
      <c r="K535" s="3" t="s">
        <v>349</v>
      </c>
      <c r="L535" s="3" t="n">
        <v>4</v>
      </c>
      <c r="M535" s="3" t="n">
        <v>17.5</v>
      </c>
      <c r="N535" s="3" t="s">
        <v>171</v>
      </c>
      <c r="O535" s="3"/>
      <c r="P535" s="10"/>
      <c r="Q535" s="3" t="n">
        <f aca="false">IF(F535="Disposable",1,0)</f>
        <v>0</v>
      </c>
      <c r="R535" s="3" t="n">
        <f aca="false">IF(SUMPRODUCT(--ISNUMBER(SEARCH('Spam Rules'!$A$22:$A$35,K535)))&gt;0,1,0)</f>
        <v>0</v>
      </c>
      <c r="S535" s="3" t="n">
        <f aca="false">IF(AND(F535="Free",G535=""),1,0)</f>
        <v>0</v>
      </c>
      <c r="T535" s="3" t="n">
        <f aca="false">IF(LEN(TRIM(K535))&lt;15,1,0)</f>
        <v>0</v>
      </c>
      <c r="U535" s="3" t="n">
        <f aca="false">IF(COUNTIF($E$2:$E$801,E535)&gt;1,1,0)</f>
        <v>1</v>
      </c>
      <c r="V535" s="3" t="n">
        <f aca="false">Q535*'Spam Rules'!$H$6+R535*'Spam Rules'!$H$7+S535*'Spam Rules'!$H$8+T535*'Spam Rules'!$H$9+U535*'Spam Rules'!$H$10</f>
        <v>0</v>
      </c>
      <c r="W535" s="3" t="str">
        <f aca="false">IF(V535&gt;='Spam Rules'!$B$3,"Likely Spam","Genuine")</f>
        <v>Genuine</v>
      </c>
      <c r="X535" s="3" t="n">
        <f aca="false">IFERROR(INDEX('Scoring Model'!$B$5:$B$11,MATCH(C535,'Scoring Model'!$A$5:$A$11,0)),0)</f>
        <v>10</v>
      </c>
      <c r="Y535" s="3" t="n">
        <f aca="false">IFERROR(INDEX('Scoring Model'!$E$5:$E$7,MATCH(F535,'Scoring Model'!$D$5:$D$7,0)),0)</f>
        <v>0</v>
      </c>
      <c r="Z535" s="3" t="n">
        <f aca="false">IFERROR(INDEX('Scoring Model'!$H$5:$H$13,MATCH(J535,'Scoring Model'!$G$5:$G$13,0)),0)</f>
        <v>5</v>
      </c>
      <c r="AA535" s="3" t="n">
        <f aca="false">IF(L535&gt;='Scoring Model'!$B$14,'Scoring Model'!$B$15,IF(L535&gt;='Scoring Model'!$B$16,'Scoring Model'!$B$17,0))</f>
        <v>8</v>
      </c>
      <c r="AB535" s="3" t="n">
        <f aca="false">IF(SUMPRODUCT(--ISNUMBER(SEARCH('Scoring Model'!$D$16:$D$25,K535)))&gt;0,'Scoring Model'!$B$18,0)</f>
        <v>0</v>
      </c>
      <c r="AC535" s="3" t="n">
        <f aca="false">IF(SUMPRODUCT(--ISNUMBER(SEARCH('Scoring Model'!$G$16:$G$23,K535)))&gt;0,'Scoring Model'!$B$19,0)</f>
        <v>-30</v>
      </c>
      <c r="AD535" s="3" t="n">
        <f aca="false">IF(W535="Likely Spam","",SUM(X535:AC535))</f>
        <v>-7</v>
      </c>
      <c r="AE535" s="3" t="str">
        <f aca="false">IF(W535="Likely Spam","Spam",IF(AD535&gt;='Scoring Model'!$B$21,"Hot",IF(AD535&gt;='Scoring Model'!$B$22,"Warm","Nurture")))</f>
        <v>Nurture</v>
      </c>
      <c r="AF535" s="3" t="str">
        <f aca="false">IF(W535="Likely Spam","Flagged by spam rules",TRIM(IF(X535&gt;=20,"Strong source. ","")&amp;IF(Y535&gt;0,"Company email. ","")&amp;IF(Z535&gt;=15,"High-value product. ","")&amp;IF(AA535&gt;='Scoring Model'!$B$15,"High engagement. ","")&amp;IF(AB535&gt;0,"Buying intent in message. ","")&amp;IF(AC535&lt;0,"Negative intent in message. ","")))</f>
        <v>Negative intent in message.</v>
      </c>
      <c r="AG535" s="11" t="n">
        <f aca="false">IF(W535="Likely Spam","",1/(1+EXP(-('Conversion Model'!$B$5+IFERROR(INDEX('Conversion Model'!$B$8:$B$14,MATCH(C535,'Conversion Model'!$A$8:$A$14,0)),0)+IFERROR(INDEX('Conversion Model'!$E$8:$E$9,MATCH(F535,'Conversion Model'!$D$8:$D$9,0)),0)+IFERROR(INDEX('Conversion Model'!$H$8:$H$12,MATCH(IF(LEFT(J535,8)="Payments","Payments",IF(LEFT(J535,7)="Lending","Lending",J535)),'Conversion Model'!$G$8:$G$12,0)),0)+MIN(L535,15)*'Conversion Model'!$B$17+IF(SUMPRODUCT(--ISNUMBER(SEARCH('Scoring Model'!$D$16:$D$25,K535)))&gt;0,'Conversion Model'!$B$18,0)+IF(SUMPRODUCT(--ISNUMBER(SEARCH('Scoring Model'!$G$16:$G$23,K535)))&gt;0,'Conversion Model'!$B$19,0)))))</f>
        <v>0.00821943831182957</v>
      </c>
      <c r="AH535" s="3" t="str">
        <f aca="false">IF(OR(O535="Qualified",O535="Won",O535="Lost"),1,IF(O535="Unqualified",0,""))</f>
        <v/>
      </c>
    </row>
    <row r="536" customFormat="false" ht="15" hidden="false" customHeight="true" outlineLevel="0" collapsed="false">
      <c r="A536" s="3" t="s">
        <v>1908</v>
      </c>
      <c r="B536" s="9" t="n">
        <v>46174.7402777778</v>
      </c>
      <c r="C536" s="3" t="s">
        <v>91</v>
      </c>
      <c r="D536" s="3" t="s">
        <v>365</v>
      </c>
      <c r="E536" s="3" t="s">
        <v>1742</v>
      </c>
      <c r="F536" s="3" t="s">
        <v>63</v>
      </c>
      <c r="G536" s="3"/>
      <c r="H536" s="3"/>
      <c r="I536" s="3" t="s">
        <v>116</v>
      </c>
      <c r="J536" s="3" t="s">
        <v>81</v>
      </c>
      <c r="K536" s="3" t="s">
        <v>126</v>
      </c>
      <c r="L536" s="3" t="n">
        <v>1</v>
      </c>
      <c r="M536" s="3"/>
      <c r="N536" s="3" t="s">
        <v>96</v>
      </c>
      <c r="O536" s="3" t="s">
        <v>68</v>
      </c>
      <c r="P536" s="10"/>
      <c r="Q536" s="3" t="n">
        <f aca="false">IF(F536="Disposable",1,0)</f>
        <v>1</v>
      </c>
      <c r="R536" s="3" t="n">
        <f aca="false">IF(SUMPRODUCT(--ISNUMBER(SEARCH('Spam Rules'!$A$22:$A$35,K536)))&gt;0,1,0)</f>
        <v>0</v>
      </c>
      <c r="S536" s="3" t="n">
        <f aca="false">IF(AND(F536="Free",G536=""),1,0)</f>
        <v>0</v>
      </c>
      <c r="T536" s="3" t="n">
        <f aca="false">IF(LEN(TRIM(K536))&lt;15,1,0)</f>
        <v>1</v>
      </c>
      <c r="U536" s="3" t="n">
        <f aca="false">IF(COUNTIF($E$2:$E$801,E536)&gt;1,1,0)</f>
        <v>1</v>
      </c>
      <c r="V536" s="3" t="n">
        <f aca="false">Q536*'Spam Rules'!$H$6+R536*'Spam Rules'!$H$7+S536*'Spam Rules'!$H$8+T536*'Spam Rules'!$H$9+U536*'Spam Rules'!$H$10</f>
        <v>2</v>
      </c>
      <c r="W536" s="3" t="str">
        <f aca="false">IF(V536&gt;='Spam Rules'!$B$3,"Likely Spam","Genuine")</f>
        <v>Likely Spam</v>
      </c>
      <c r="X536" s="3" t="n">
        <f aca="false">IFERROR(INDEX('Scoring Model'!$B$5:$B$11,MATCH(C536,'Scoring Model'!$A$5:$A$11,0)),0)</f>
        <v>5</v>
      </c>
      <c r="Y536" s="3" t="n">
        <f aca="false">IFERROR(INDEX('Scoring Model'!$E$5:$E$7,MATCH(F536,'Scoring Model'!$D$5:$D$7,0)),0)</f>
        <v>0</v>
      </c>
      <c r="Z536" s="3" t="n">
        <f aca="false">IFERROR(INDEX('Scoring Model'!$H$5:$H$13,MATCH(J536,'Scoring Model'!$G$5:$G$13,0)),0)</f>
        <v>5</v>
      </c>
      <c r="AA536" s="3" t="n">
        <f aca="false">IF(L536&gt;='Scoring Model'!$B$14,'Scoring Model'!$B$15,IF(L536&gt;='Scoring Model'!$B$16,'Scoring Model'!$B$17,0))</f>
        <v>0</v>
      </c>
      <c r="AB536" s="3" t="n">
        <f aca="false">IF(SUMPRODUCT(--ISNUMBER(SEARCH('Scoring Model'!$D$16:$D$25,K536)))&gt;0,'Scoring Model'!$B$18,0)</f>
        <v>0</v>
      </c>
      <c r="AC536" s="3" t="n">
        <f aca="false">IF(SUMPRODUCT(--ISNUMBER(SEARCH('Scoring Model'!$G$16:$G$23,K536)))&gt;0,'Scoring Model'!$B$19,0)</f>
        <v>0</v>
      </c>
      <c r="AD536" s="3" t="str">
        <f aca="false">IF(W536="Likely Spam","",SUM(X536:AC536))</f>
        <v/>
      </c>
      <c r="AE536" s="3" t="str">
        <f aca="false">IF(W536="Likely Spam","Spam",IF(AD536&gt;='Scoring Model'!$B$21,"Hot",IF(AD536&gt;='Scoring Model'!$B$22,"Warm","Nurture")))</f>
        <v>Spam</v>
      </c>
      <c r="AF536" s="3" t="str">
        <f aca="false">IF(W536="Likely Spam","Flagged by spam rules",TRIM(IF(X536&gt;=20,"Strong source. ","")&amp;IF(Y536&gt;0,"Company email. ","")&amp;IF(Z536&gt;=15,"High-value product. ","")&amp;IF(AA536&gt;='Scoring Model'!$B$15,"High engagement. ","")&amp;IF(AB536&gt;0,"Buying intent in message. ","")&amp;IF(AC536&lt;0,"Negative intent in message. ","")))</f>
        <v>Flagged by spam rules</v>
      </c>
      <c r="AG536" s="11" t="str">
        <f aca="false">IF(W536="Likely Spam","",1/(1+EXP(-('Conversion Model'!$B$5+IFERROR(INDEX('Conversion Model'!$B$8:$B$14,MATCH(C536,'Conversion Model'!$A$8:$A$14,0)),0)+IFERROR(INDEX('Conversion Model'!$E$8:$E$9,MATCH(F536,'Conversion Model'!$D$8:$D$9,0)),0)+IFERROR(INDEX('Conversion Model'!$H$8:$H$12,MATCH(IF(LEFT(J536,8)="Payments","Payments",IF(LEFT(J536,7)="Lending","Lending",J536)),'Conversion Model'!$G$8:$G$12,0)),0)+MIN(L536,15)*'Conversion Model'!$B$17+IF(SUMPRODUCT(--ISNUMBER(SEARCH('Scoring Model'!$D$16:$D$25,K536)))&gt;0,'Conversion Model'!$B$18,0)+IF(SUMPRODUCT(--ISNUMBER(SEARCH('Scoring Model'!$G$16:$G$23,K536)))&gt;0,'Conversion Model'!$B$19,0)))))</f>
        <v/>
      </c>
      <c r="AH536" s="3" t="str">
        <f aca="false">IF(OR(O536="Qualified",O536="Won",O536="Lost"),1,IF(O536="Unqualified",0,""))</f>
        <v/>
      </c>
    </row>
    <row r="537" customFormat="false" ht="15" hidden="false" customHeight="true" outlineLevel="0" collapsed="false">
      <c r="A537" s="3" t="s">
        <v>1909</v>
      </c>
      <c r="B537" s="9" t="n">
        <v>46175.2902777778</v>
      </c>
      <c r="C537" s="3" t="s">
        <v>76</v>
      </c>
      <c r="D537" s="3" t="s">
        <v>1910</v>
      </c>
      <c r="E537" s="3" t="s">
        <v>1911</v>
      </c>
      <c r="F537" s="3" t="s">
        <v>54</v>
      </c>
      <c r="G537" s="3"/>
      <c r="H537" s="3"/>
      <c r="I537" s="3" t="s">
        <v>334</v>
      </c>
      <c r="J537" s="3" t="s">
        <v>145</v>
      </c>
      <c r="K537" s="3" t="s">
        <v>349</v>
      </c>
      <c r="L537" s="3" t="n">
        <v>2</v>
      </c>
      <c r="M537" s="3" t="n">
        <v>7</v>
      </c>
      <c r="N537" s="3" t="s">
        <v>96</v>
      </c>
      <c r="O537" s="3" t="s">
        <v>194</v>
      </c>
      <c r="P537" s="10"/>
      <c r="Q537" s="3" t="n">
        <f aca="false">IF(F537="Disposable",1,0)</f>
        <v>0</v>
      </c>
      <c r="R537" s="3" t="n">
        <f aca="false">IF(SUMPRODUCT(--ISNUMBER(SEARCH('Spam Rules'!$A$22:$A$35,K537)))&gt;0,1,0)</f>
        <v>0</v>
      </c>
      <c r="S537" s="3" t="n">
        <f aca="false">IF(AND(F537="Free",G537=""),1,0)</f>
        <v>1</v>
      </c>
      <c r="T537" s="3" t="n">
        <f aca="false">IF(LEN(TRIM(K537))&lt;15,1,0)</f>
        <v>0</v>
      </c>
      <c r="U537" s="3" t="n">
        <f aca="false">IF(COUNTIF($E$2:$E$801,E537)&gt;1,1,0)</f>
        <v>0</v>
      </c>
      <c r="V537" s="3" t="n">
        <f aca="false">Q537*'Spam Rules'!$H$6+R537*'Spam Rules'!$H$7+S537*'Spam Rules'!$H$8+T537*'Spam Rules'!$H$9+U537*'Spam Rules'!$H$10</f>
        <v>0</v>
      </c>
      <c r="W537" s="3" t="str">
        <f aca="false">IF(V537&gt;='Spam Rules'!$B$3,"Likely Spam","Genuine")</f>
        <v>Genuine</v>
      </c>
      <c r="X537" s="3" t="n">
        <f aca="false">IFERROR(INDEX('Scoring Model'!$B$5:$B$11,MATCH(C537,'Scoring Model'!$A$5:$A$11,0)),0)</f>
        <v>0</v>
      </c>
      <c r="Y537" s="3" t="n">
        <f aca="false">IFERROR(INDEX('Scoring Model'!$E$5:$E$7,MATCH(F537,'Scoring Model'!$D$5:$D$7,0)),0)</f>
        <v>0</v>
      </c>
      <c r="Z537" s="3" t="n">
        <f aca="false">IFERROR(INDEX('Scoring Model'!$H$5:$H$13,MATCH(J537,'Scoring Model'!$G$5:$G$13,0)),0)</f>
        <v>5</v>
      </c>
      <c r="AA537" s="3" t="n">
        <f aca="false">IF(L537&gt;='Scoring Model'!$B$14,'Scoring Model'!$B$15,IF(L537&gt;='Scoring Model'!$B$16,'Scoring Model'!$B$17,0))</f>
        <v>0</v>
      </c>
      <c r="AB537" s="3" t="n">
        <f aca="false">IF(SUMPRODUCT(--ISNUMBER(SEARCH('Scoring Model'!$D$16:$D$25,K537)))&gt;0,'Scoring Model'!$B$18,0)</f>
        <v>0</v>
      </c>
      <c r="AC537" s="3" t="n">
        <f aca="false">IF(SUMPRODUCT(--ISNUMBER(SEARCH('Scoring Model'!$G$16:$G$23,K537)))&gt;0,'Scoring Model'!$B$19,0)</f>
        <v>-30</v>
      </c>
      <c r="AD537" s="3" t="n">
        <f aca="false">IF(W537="Likely Spam","",SUM(X537:AC537))</f>
        <v>-25</v>
      </c>
      <c r="AE537" s="3" t="str">
        <f aca="false">IF(W537="Likely Spam","Spam",IF(AD537&gt;='Scoring Model'!$B$21,"Hot",IF(AD537&gt;='Scoring Model'!$B$22,"Warm","Nurture")))</f>
        <v>Nurture</v>
      </c>
      <c r="AF537" s="3" t="str">
        <f aca="false">IF(W537="Likely Spam","Flagged by spam rules",TRIM(IF(X537&gt;=20,"Strong source. ","")&amp;IF(Y537&gt;0,"Company email. ","")&amp;IF(Z537&gt;=15,"High-value product. ","")&amp;IF(AA537&gt;='Scoring Model'!$B$15,"High engagement. ","")&amp;IF(AB537&gt;0,"Buying intent in message. ","")&amp;IF(AC537&lt;0,"Negative intent in message. ","")))</f>
        <v>Negative intent in message.</v>
      </c>
      <c r="AG537" s="11" t="n">
        <f aca="false">IF(W537="Likely Spam","",1/(1+EXP(-('Conversion Model'!$B$5+IFERROR(INDEX('Conversion Model'!$B$8:$B$14,MATCH(C537,'Conversion Model'!$A$8:$A$14,0)),0)+IFERROR(INDEX('Conversion Model'!$E$8:$E$9,MATCH(F537,'Conversion Model'!$D$8:$D$9,0)),0)+IFERROR(INDEX('Conversion Model'!$H$8:$H$12,MATCH(IF(LEFT(J537,8)="Payments","Payments",IF(LEFT(J537,7)="Lending","Lending",J537)),'Conversion Model'!$G$8:$G$12,0)),0)+MIN(L537,15)*'Conversion Model'!$B$17+IF(SUMPRODUCT(--ISNUMBER(SEARCH('Scoring Model'!$D$16:$D$25,K537)))&gt;0,'Conversion Model'!$B$18,0)+IF(SUMPRODUCT(--ISNUMBER(SEARCH('Scoring Model'!$G$16:$G$23,K537)))&gt;0,'Conversion Model'!$B$19,0)))))</f>
        <v>0.00210990546787186</v>
      </c>
      <c r="AH537" s="3" t="n">
        <f aca="false">IF(OR(O537="Qualified",O537="Won",O537="Lost"),1,IF(O537="Unqualified",0,""))</f>
        <v>0</v>
      </c>
    </row>
    <row r="538" customFormat="false" ht="15" hidden="false" customHeight="true" outlineLevel="0" collapsed="false">
      <c r="A538" s="3" t="s">
        <v>1912</v>
      </c>
      <c r="B538" s="9" t="n">
        <v>46175.4597222222</v>
      </c>
      <c r="C538" s="3" t="s">
        <v>128</v>
      </c>
      <c r="D538" s="3" t="s">
        <v>454</v>
      </c>
      <c r="E538" s="3" t="s">
        <v>1913</v>
      </c>
      <c r="F538" s="3" t="s">
        <v>22</v>
      </c>
      <c r="G538" s="3" t="s">
        <v>1840</v>
      </c>
      <c r="H538" s="3" t="s">
        <v>1841</v>
      </c>
      <c r="I538" s="3" t="s">
        <v>260</v>
      </c>
      <c r="J538" s="3" t="s">
        <v>81</v>
      </c>
      <c r="K538" s="3" t="s">
        <v>189</v>
      </c>
      <c r="L538" s="3" t="n">
        <v>4</v>
      </c>
      <c r="M538" s="3" t="n">
        <v>7.5</v>
      </c>
      <c r="N538" s="3" t="s">
        <v>171</v>
      </c>
      <c r="O538" s="3" t="s">
        <v>194</v>
      </c>
      <c r="P538" s="10"/>
      <c r="Q538" s="3" t="n">
        <f aca="false">IF(F538="Disposable",1,0)</f>
        <v>0</v>
      </c>
      <c r="R538" s="3" t="n">
        <f aca="false">IF(SUMPRODUCT(--ISNUMBER(SEARCH('Spam Rules'!$A$22:$A$35,K538)))&gt;0,1,0)</f>
        <v>0</v>
      </c>
      <c r="S538" s="3" t="n">
        <f aca="false">IF(AND(F538="Free",G538=""),1,0)</f>
        <v>0</v>
      </c>
      <c r="T538" s="3" t="n">
        <f aca="false">IF(LEN(TRIM(K538))&lt;15,1,0)</f>
        <v>0</v>
      </c>
      <c r="U538" s="3" t="n">
        <f aca="false">IF(COUNTIF($E$2:$E$801,E538)&gt;1,1,0)</f>
        <v>0</v>
      </c>
      <c r="V538" s="3" t="n">
        <f aca="false">Q538*'Spam Rules'!$H$6+R538*'Spam Rules'!$H$7+S538*'Spam Rules'!$H$8+T538*'Spam Rules'!$H$9+U538*'Spam Rules'!$H$10</f>
        <v>0</v>
      </c>
      <c r="W538" s="3" t="str">
        <f aca="false">IF(V538&gt;='Spam Rules'!$B$3,"Likely Spam","Genuine")</f>
        <v>Genuine</v>
      </c>
      <c r="X538" s="3" t="n">
        <f aca="false">IFERROR(INDEX('Scoring Model'!$B$5:$B$11,MATCH(C538,'Scoring Model'!$A$5:$A$11,0)),0)</f>
        <v>30</v>
      </c>
      <c r="Y538" s="3" t="n">
        <f aca="false">IFERROR(INDEX('Scoring Model'!$E$5:$E$7,MATCH(F538,'Scoring Model'!$D$5:$D$7,0)),0)</f>
        <v>20</v>
      </c>
      <c r="Z538" s="3" t="n">
        <f aca="false">IFERROR(INDEX('Scoring Model'!$H$5:$H$13,MATCH(J538,'Scoring Model'!$G$5:$G$13,0)),0)</f>
        <v>5</v>
      </c>
      <c r="AA538" s="3" t="n">
        <f aca="false">IF(L538&gt;='Scoring Model'!$B$14,'Scoring Model'!$B$15,IF(L538&gt;='Scoring Model'!$B$16,'Scoring Model'!$B$17,0))</f>
        <v>8</v>
      </c>
      <c r="AB538" s="3" t="n">
        <f aca="false">IF(SUMPRODUCT(--ISNUMBER(SEARCH('Scoring Model'!$D$16:$D$25,K538)))&gt;0,'Scoring Model'!$B$18,0)</f>
        <v>15</v>
      </c>
      <c r="AC538" s="3" t="n">
        <f aca="false">IF(SUMPRODUCT(--ISNUMBER(SEARCH('Scoring Model'!$G$16:$G$23,K538)))&gt;0,'Scoring Model'!$B$19,0)</f>
        <v>0</v>
      </c>
      <c r="AD538" s="3" t="n">
        <f aca="false">IF(W538="Likely Spam","",SUM(X538:AC538))</f>
        <v>78</v>
      </c>
      <c r="AE538" s="3" t="str">
        <f aca="false">IF(W538="Likely Spam","Spam",IF(AD538&gt;='Scoring Model'!$B$21,"Hot",IF(AD538&gt;='Scoring Model'!$B$22,"Warm","Nurture")))</f>
        <v>Hot</v>
      </c>
      <c r="AF538" s="3" t="str">
        <f aca="false">IF(W538="Likely Spam","Flagged by spam rules",TRIM(IF(X538&gt;=20,"Strong source. ","")&amp;IF(Y538&gt;0,"Company email. ","")&amp;IF(Z538&gt;=15,"High-value product. ","")&amp;IF(AA538&gt;='Scoring Model'!$B$15,"High engagement. ","")&amp;IF(AB538&gt;0,"Buying intent in message. ","")&amp;IF(AC538&lt;0,"Negative intent in message. ","")))</f>
        <v>Strong source. Company email. Buying intent in message.</v>
      </c>
      <c r="AG538" s="11" t="n">
        <f aca="false">IF(W538="Likely Spam","",1/(1+EXP(-('Conversion Model'!$B$5+IFERROR(INDEX('Conversion Model'!$B$8:$B$14,MATCH(C538,'Conversion Model'!$A$8:$A$14,0)),0)+IFERROR(INDEX('Conversion Model'!$E$8:$E$9,MATCH(F538,'Conversion Model'!$D$8:$D$9,0)),0)+IFERROR(INDEX('Conversion Model'!$H$8:$H$12,MATCH(IF(LEFT(J538,8)="Payments","Payments",IF(LEFT(J538,7)="Lending","Lending",J538)),'Conversion Model'!$G$8:$G$12,0)),0)+MIN(L538,15)*'Conversion Model'!$B$17+IF(SUMPRODUCT(--ISNUMBER(SEARCH('Scoring Model'!$D$16:$D$25,K538)))&gt;0,'Conversion Model'!$B$18,0)+IF(SUMPRODUCT(--ISNUMBER(SEARCH('Scoring Model'!$G$16:$G$23,K538)))&gt;0,'Conversion Model'!$B$19,0)))))</f>
        <v>0.688475125499181</v>
      </c>
      <c r="AH538" s="3" t="n">
        <f aca="false">IF(OR(O538="Qualified",O538="Won",O538="Lost"),1,IF(O538="Unqualified",0,""))</f>
        <v>0</v>
      </c>
    </row>
    <row r="539" customFormat="false" ht="15" hidden="false" customHeight="true" outlineLevel="0" collapsed="false">
      <c r="A539" s="3" t="s">
        <v>1914</v>
      </c>
      <c r="B539" s="9" t="n">
        <v>46175.4916666667</v>
      </c>
      <c r="C539" s="3" t="s">
        <v>76</v>
      </c>
      <c r="D539" s="3" t="s">
        <v>869</v>
      </c>
      <c r="E539" s="3" t="s">
        <v>1263</v>
      </c>
      <c r="F539" s="3" t="s">
        <v>63</v>
      </c>
      <c r="G539" s="3"/>
      <c r="H539" s="3"/>
      <c r="I539" s="3" t="s">
        <v>88</v>
      </c>
      <c r="J539" s="3" t="s">
        <v>122</v>
      </c>
      <c r="K539" s="3" t="s">
        <v>363</v>
      </c>
      <c r="L539" s="3" t="n">
        <v>1</v>
      </c>
      <c r="M539" s="3"/>
      <c r="N539" s="3" t="s">
        <v>96</v>
      </c>
      <c r="O539" s="3" t="s">
        <v>68</v>
      </c>
      <c r="P539" s="10"/>
      <c r="Q539" s="3" t="n">
        <f aca="false">IF(F539="Disposable",1,0)</f>
        <v>1</v>
      </c>
      <c r="R539" s="3" t="n">
        <f aca="false">IF(SUMPRODUCT(--ISNUMBER(SEARCH('Spam Rules'!$A$22:$A$35,K539)))&gt;0,1,0)</f>
        <v>1</v>
      </c>
      <c r="S539" s="3" t="n">
        <f aca="false">IF(AND(F539="Free",G539=""),1,0)</f>
        <v>0</v>
      </c>
      <c r="T539" s="3" t="n">
        <f aca="false">IF(LEN(TRIM(K539))&lt;15,1,0)</f>
        <v>0</v>
      </c>
      <c r="U539" s="3" t="n">
        <f aca="false">IF(COUNTIF($E$2:$E$801,E539)&gt;1,1,0)</f>
        <v>1</v>
      </c>
      <c r="V539" s="3" t="n">
        <f aca="false">Q539*'Spam Rules'!$H$6+R539*'Spam Rules'!$H$7+S539*'Spam Rules'!$H$8+T539*'Spam Rules'!$H$9+U539*'Spam Rules'!$H$10</f>
        <v>2</v>
      </c>
      <c r="W539" s="3" t="str">
        <f aca="false">IF(V539&gt;='Spam Rules'!$B$3,"Likely Spam","Genuine")</f>
        <v>Likely Spam</v>
      </c>
      <c r="X539" s="3" t="n">
        <f aca="false">IFERROR(INDEX('Scoring Model'!$B$5:$B$11,MATCH(C539,'Scoring Model'!$A$5:$A$11,0)),0)</f>
        <v>0</v>
      </c>
      <c r="Y539" s="3" t="n">
        <f aca="false">IFERROR(INDEX('Scoring Model'!$E$5:$E$7,MATCH(F539,'Scoring Model'!$D$5:$D$7,0)),0)</f>
        <v>0</v>
      </c>
      <c r="Z539" s="3" t="n">
        <f aca="false">IFERROR(INDEX('Scoring Model'!$H$5:$H$13,MATCH(J539,'Scoring Model'!$G$5:$G$13,0)),0)</f>
        <v>15</v>
      </c>
      <c r="AA539" s="3" t="n">
        <f aca="false">IF(L539&gt;='Scoring Model'!$B$14,'Scoring Model'!$B$15,IF(L539&gt;='Scoring Model'!$B$16,'Scoring Model'!$B$17,0))</f>
        <v>0</v>
      </c>
      <c r="AB539" s="3" t="n">
        <f aca="false">IF(SUMPRODUCT(--ISNUMBER(SEARCH('Scoring Model'!$D$16:$D$25,K539)))&gt;0,'Scoring Model'!$B$18,0)</f>
        <v>0</v>
      </c>
      <c r="AC539" s="3" t="n">
        <f aca="false">IF(SUMPRODUCT(--ISNUMBER(SEARCH('Scoring Model'!$G$16:$G$23,K539)))&gt;0,'Scoring Model'!$B$19,0)</f>
        <v>0</v>
      </c>
      <c r="AD539" s="3" t="str">
        <f aca="false">IF(W539="Likely Spam","",SUM(X539:AC539))</f>
        <v/>
      </c>
      <c r="AE539" s="3" t="str">
        <f aca="false">IF(W539="Likely Spam","Spam",IF(AD539&gt;='Scoring Model'!$B$21,"Hot",IF(AD539&gt;='Scoring Model'!$B$22,"Warm","Nurture")))</f>
        <v>Spam</v>
      </c>
      <c r="AF539" s="3" t="str">
        <f aca="false">IF(W539="Likely Spam","Flagged by spam rules",TRIM(IF(X539&gt;=20,"Strong source. ","")&amp;IF(Y539&gt;0,"Company email. ","")&amp;IF(Z539&gt;=15,"High-value product. ","")&amp;IF(AA539&gt;='Scoring Model'!$B$15,"High engagement. ","")&amp;IF(AB539&gt;0,"Buying intent in message. ","")&amp;IF(AC539&lt;0,"Negative intent in message. ","")))</f>
        <v>Flagged by spam rules</v>
      </c>
      <c r="AG539" s="11" t="str">
        <f aca="false">IF(W539="Likely Spam","",1/(1+EXP(-('Conversion Model'!$B$5+IFERROR(INDEX('Conversion Model'!$B$8:$B$14,MATCH(C539,'Conversion Model'!$A$8:$A$14,0)),0)+IFERROR(INDEX('Conversion Model'!$E$8:$E$9,MATCH(F539,'Conversion Model'!$D$8:$D$9,0)),0)+IFERROR(INDEX('Conversion Model'!$H$8:$H$12,MATCH(IF(LEFT(J539,8)="Payments","Payments",IF(LEFT(J539,7)="Lending","Lending",J539)),'Conversion Model'!$G$8:$G$12,0)),0)+MIN(L539,15)*'Conversion Model'!$B$17+IF(SUMPRODUCT(--ISNUMBER(SEARCH('Scoring Model'!$D$16:$D$25,K539)))&gt;0,'Conversion Model'!$B$18,0)+IF(SUMPRODUCT(--ISNUMBER(SEARCH('Scoring Model'!$G$16:$G$23,K539)))&gt;0,'Conversion Model'!$B$19,0)))))</f>
        <v/>
      </c>
      <c r="AH539" s="3" t="str">
        <f aca="false">IF(OR(O539="Qualified",O539="Won",O539="Lost"),1,IF(O539="Unqualified",0,""))</f>
        <v/>
      </c>
    </row>
    <row r="540" customFormat="false" ht="15" hidden="false" customHeight="true" outlineLevel="0" collapsed="false">
      <c r="A540" s="3" t="s">
        <v>1915</v>
      </c>
      <c r="B540" s="9" t="n">
        <v>46175.6673611111</v>
      </c>
      <c r="C540" s="3" t="s">
        <v>51</v>
      </c>
      <c r="D540" s="3" t="s">
        <v>1916</v>
      </c>
      <c r="E540" s="3" t="s">
        <v>1917</v>
      </c>
      <c r="F540" s="3" t="s">
        <v>54</v>
      </c>
      <c r="G540" s="3"/>
      <c r="H540" s="3"/>
      <c r="I540" s="3" t="s">
        <v>188</v>
      </c>
      <c r="J540" s="3" t="s">
        <v>65</v>
      </c>
      <c r="K540" s="3" t="s">
        <v>657</v>
      </c>
      <c r="L540" s="3" t="n">
        <v>1</v>
      </c>
      <c r="M540" s="3" t="n">
        <v>35</v>
      </c>
      <c r="N540" s="3" t="s">
        <v>96</v>
      </c>
      <c r="O540" s="3" t="s">
        <v>68</v>
      </c>
      <c r="P540" s="10"/>
      <c r="Q540" s="3" t="n">
        <f aca="false">IF(F540="Disposable",1,0)</f>
        <v>0</v>
      </c>
      <c r="R540" s="3" t="n">
        <f aca="false">IF(SUMPRODUCT(--ISNUMBER(SEARCH('Spam Rules'!$A$22:$A$35,K540)))&gt;0,1,0)</f>
        <v>1</v>
      </c>
      <c r="S540" s="3" t="n">
        <f aca="false">IF(AND(F540="Free",G540=""),1,0)</f>
        <v>1</v>
      </c>
      <c r="T540" s="3" t="n">
        <f aca="false">IF(LEN(TRIM(K540))&lt;15,1,0)</f>
        <v>0</v>
      </c>
      <c r="U540" s="3" t="n">
        <f aca="false">IF(COUNTIF($E$2:$E$801,E540)&gt;1,1,0)</f>
        <v>0</v>
      </c>
      <c r="V540" s="3" t="n">
        <f aca="false">Q540*'Spam Rules'!$H$6+R540*'Spam Rules'!$H$7+S540*'Spam Rules'!$H$8+T540*'Spam Rules'!$H$9+U540*'Spam Rules'!$H$10</f>
        <v>1</v>
      </c>
      <c r="W540" s="3" t="str">
        <f aca="false">IF(V540&gt;='Spam Rules'!$B$3,"Likely Spam","Genuine")</f>
        <v>Likely Spam</v>
      </c>
      <c r="X540" s="3" t="n">
        <f aca="false">IFERROR(INDEX('Scoring Model'!$B$5:$B$11,MATCH(C540,'Scoring Model'!$A$5:$A$11,0)),0)</f>
        <v>10</v>
      </c>
      <c r="Y540" s="3" t="n">
        <f aca="false">IFERROR(INDEX('Scoring Model'!$E$5:$E$7,MATCH(F540,'Scoring Model'!$D$5:$D$7,0)),0)</f>
        <v>0</v>
      </c>
      <c r="Z540" s="3" t="n">
        <f aca="false">IFERROR(INDEX('Scoring Model'!$H$5:$H$13,MATCH(J540,'Scoring Model'!$G$5:$G$13,0)),0)</f>
        <v>0</v>
      </c>
      <c r="AA540" s="3" t="n">
        <f aca="false">IF(L540&gt;='Scoring Model'!$B$14,'Scoring Model'!$B$15,IF(L540&gt;='Scoring Model'!$B$16,'Scoring Model'!$B$17,0))</f>
        <v>0</v>
      </c>
      <c r="AB540" s="3" t="n">
        <f aca="false">IF(SUMPRODUCT(--ISNUMBER(SEARCH('Scoring Model'!$D$16:$D$25,K540)))&gt;0,'Scoring Model'!$B$18,0)</f>
        <v>0</v>
      </c>
      <c r="AC540" s="3" t="n">
        <f aca="false">IF(SUMPRODUCT(--ISNUMBER(SEARCH('Scoring Model'!$G$16:$G$23,K540)))&gt;0,'Scoring Model'!$B$19,0)</f>
        <v>0</v>
      </c>
      <c r="AD540" s="3" t="str">
        <f aca="false">IF(W540="Likely Spam","",SUM(X540:AC540))</f>
        <v/>
      </c>
      <c r="AE540" s="3" t="str">
        <f aca="false">IF(W540="Likely Spam","Spam",IF(AD540&gt;='Scoring Model'!$B$21,"Hot",IF(AD540&gt;='Scoring Model'!$B$22,"Warm","Nurture")))</f>
        <v>Spam</v>
      </c>
      <c r="AF540" s="3" t="str">
        <f aca="false">IF(W540="Likely Spam","Flagged by spam rules",TRIM(IF(X540&gt;=20,"Strong source. ","")&amp;IF(Y540&gt;0,"Company email. ","")&amp;IF(Z540&gt;=15,"High-value product. ","")&amp;IF(AA540&gt;='Scoring Model'!$B$15,"High engagement. ","")&amp;IF(AB540&gt;0,"Buying intent in message. ","")&amp;IF(AC540&lt;0,"Negative intent in message. ","")))</f>
        <v>Flagged by spam rules</v>
      </c>
      <c r="AG540" s="11" t="str">
        <f aca="false">IF(W540="Likely Spam","",1/(1+EXP(-('Conversion Model'!$B$5+IFERROR(INDEX('Conversion Model'!$B$8:$B$14,MATCH(C540,'Conversion Model'!$A$8:$A$14,0)),0)+IFERROR(INDEX('Conversion Model'!$E$8:$E$9,MATCH(F540,'Conversion Model'!$D$8:$D$9,0)),0)+IFERROR(INDEX('Conversion Model'!$H$8:$H$12,MATCH(IF(LEFT(J540,8)="Payments","Payments",IF(LEFT(J540,7)="Lending","Lending",J540)),'Conversion Model'!$G$8:$G$12,0)),0)+MIN(L540,15)*'Conversion Model'!$B$17+IF(SUMPRODUCT(--ISNUMBER(SEARCH('Scoring Model'!$D$16:$D$25,K540)))&gt;0,'Conversion Model'!$B$18,0)+IF(SUMPRODUCT(--ISNUMBER(SEARCH('Scoring Model'!$G$16:$G$23,K540)))&gt;0,'Conversion Model'!$B$19,0)))))</f>
        <v/>
      </c>
      <c r="AH540" s="3" t="str">
        <f aca="false">IF(OR(O540="Qualified",O540="Won",O540="Lost"),1,IF(O540="Unqualified",0,""))</f>
        <v/>
      </c>
    </row>
    <row r="541" customFormat="false" ht="15" hidden="false" customHeight="true" outlineLevel="0" collapsed="false">
      <c r="A541" s="3" t="s">
        <v>1918</v>
      </c>
      <c r="B541" s="9" t="n">
        <v>46175.7618055556</v>
      </c>
      <c r="C541" s="3" t="s">
        <v>128</v>
      </c>
      <c r="D541" s="3" t="s">
        <v>207</v>
      </c>
      <c r="E541" s="3" t="s">
        <v>1919</v>
      </c>
      <c r="F541" s="3" t="s">
        <v>54</v>
      </c>
      <c r="G541" s="3" t="s">
        <v>1144</v>
      </c>
      <c r="H541" s="3"/>
      <c r="I541" s="3" t="s">
        <v>334</v>
      </c>
      <c r="J541" s="3" t="s">
        <v>145</v>
      </c>
      <c r="K541" s="3" t="s">
        <v>189</v>
      </c>
      <c r="L541" s="3" t="n">
        <v>3</v>
      </c>
      <c r="M541" s="3" t="n">
        <v>13.4</v>
      </c>
      <c r="N541" s="3" t="s">
        <v>171</v>
      </c>
      <c r="O541" s="3" t="s">
        <v>110</v>
      </c>
      <c r="P541" s="10"/>
      <c r="Q541" s="3" t="n">
        <f aca="false">IF(F541="Disposable",1,0)</f>
        <v>0</v>
      </c>
      <c r="R541" s="3" t="n">
        <f aca="false">IF(SUMPRODUCT(--ISNUMBER(SEARCH('Spam Rules'!$A$22:$A$35,K541)))&gt;0,1,0)</f>
        <v>0</v>
      </c>
      <c r="S541" s="3" t="n">
        <f aca="false">IF(AND(F541="Free",G541=""),1,0)</f>
        <v>0</v>
      </c>
      <c r="T541" s="3" t="n">
        <f aca="false">IF(LEN(TRIM(K541))&lt;15,1,0)</f>
        <v>0</v>
      </c>
      <c r="U541" s="3" t="n">
        <f aca="false">IF(COUNTIF($E$2:$E$801,E541)&gt;1,1,0)</f>
        <v>0</v>
      </c>
      <c r="V541" s="3" t="n">
        <f aca="false">Q541*'Spam Rules'!$H$6+R541*'Spam Rules'!$H$7+S541*'Spam Rules'!$H$8+T541*'Spam Rules'!$H$9+U541*'Spam Rules'!$H$10</f>
        <v>0</v>
      </c>
      <c r="W541" s="3" t="str">
        <f aca="false">IF(V541&gt;='Spam Rules'!$B$3,"Likely Spam","Genuine")</f>
        <v>Genuine</v>
      </c>
      <c r="X541" s="3" t="n">
        <f aca="false">IFERROR(INDEX('Scoring Model'!$B$5:$B$11,MATCH(C541,'Scoring Model'!$A$5:$A$11,0)),0)</f>
        <v>30</v>
      </c>
      <c r="Y541" s="3" t="n">
        <f aca="false">IFERROR(INDEX('Scoring Model'!$E$5:$E$7,MATCH(F541,'Scoring Model'!$D$5:$D$7,0)),0)</f>
        <v>0</v>
      </c>
      <c r="Z541" s="3" t="n">
        <f aca="false">IFERROR(INDEX('Scoring Model'!$H$5:$H$13,MATCH(J541,'Scoring Model'!$G$5:$G$13,0)),0)</f>
        <v>5</v>
      </c>
      <c r="AA541" s="3" t="n">
        <f aca="false">IF(L541&gt;='Scoring Model'!$B$14,'Scoring Model'!$B$15,IF(L541&gt;='Scoring Model'!$B$16,'Scoring Model'!$B$17,0))</f>
        <v>0</v>
      </c>
      <c r="AB541" s="3" t="n">
        <f aca="false">IF(SUMPRODUCT(--ISNUMBER(SEARCH('Scoring Model'!$D$16:$D$25,K541)))&gt;0,'Scoring Model'!$B$18,0)</f>
        <v>15</v>
      </c>
      <c r="AC541" s="3" t="n">
        <f aca="false">IF(SUMPRODUCT(--ISNUMBER(SEARCH('Scoring Model'!$G$16:$G$23,K541)))&gt;0,'Scoring Model'!$B$19,0)</f>
        <v>0</v>
      </c>
      <c r="AD541" s="3" t="n">
        <f aca="false">IF(W541="Likely Spam","",SUM(X541:AC541))</f>
        <v>50</v>
      </c>
      <c r="AE541" s="3" t="str">
        <f aca="false">IF(W541="Likely Spam","Spam",IF(AD541&gt;='Scoring Model'!$B$21,"Hot",IF(AD541&gt;='Scoring Model'!$B$22,"Warm","Nurture")))</f>
        <v>Warm</v>
      </c>
      <c r="AF541" s="3" t="str">
        <f aca="false">IF(W541="Likely Spam","Flagged by spam rules",TRIM(IF(X541&gt;=20,"Strong source. ","")&amp;IF(Y541&gt;0,"Company email. ","")&amp;IF(Z541&gt;=15,"High-value product. ","")&amp;IF(AA541&gt;='Scoring Model'!$B$15,"High engagement. ","")&amp;IF(AB541&gt;0,"Buying intent in message. ","")&amp;IF(AC541&lt;0,"Negative intent in message. ","")))</f>
        <v>Strong source. Buying intent in message.</v>
      </c>
      <c r="AG541" s="11" t="n">
        <f aca="false">IF(W541="Likely Spam","",1/(1+EXP(-('Conversion Model'!$B$5+IFERROR(INDEX('Conversion Model'!$B$8:$B$14,MATCH(C541,'Conversion Model'!$A$8:$A$14,0)),0)+IFERROR(INDEX('Conversion Model'!$E$8:$E$9,MATCH(F541,'Conversion Model'!$D$8:$D$9,0)),0)+IFERROR(INDEX('Conversion Model'!$H$8:$H$12,MATCH(IF(LEFT(J541,8)="Payments","Payments",IF(LEFT(J541,7)="Lending","Lending",J541)),'Conversion Model'!$G$8:$G$12,0)),0)+MIN(L541,15)*'Conversion Model'!$B$17+IF(SUMPRODUCT(--ISNUMBER(SEARCH('Scoring Model'!$D$16:$D$25,K541)))&gt;0,'Conversion Model'!$B$18,0)+IF(SUMPRODUCT(--ISNUMBER(SEARCH('Scoring Model'!$G$16:$G$23,K541)))&gt;0,'Conversion Model'!$B$19,0)))))</f>
        <v>0.415566585578147</v>
      </c>
      <c r="AH541" s="3" t="n">
        <f aca="false">IF(OR(O541="Qualified",O541="Won",O541="Lost"),1,IF(O541="Unqualified",0,""))</f>
        <v>1</v>
      </c>
    </row>
    <row r="542" customFormat="false" ht="15" hidden="false" customHeight="true" outlineLevel="0" collapsed="false">
      <c r="A542" s="3" t="s">
        <v>1920</v>
      </c>
      <c r="B542" s="9" t="n">
        <v>46175.8513888889</v>
      </c>
      <c r="C542" s="3" t="s">
        <v>160</v>
      </c>
      <c r="D542" s="3" t="s">
        <v>1921</v>
      </c>
      <c r="E542" s="3" t="s">
        <v>1209</v>
      </c>
      <c r="F542" s="3" t="s">
        <v>54</v>
      </c>
      <c r="G542" s="3" t="s">
        <v>321</v>
      </c>
      <c r="H542" s="3"/>
      <c r="I542" s="3" t="s">
        <v>88</v>
      </c>
      <c r="J542" s="3" t="s">
        <v>65</v>
      </c>
      <c r="K542" s="3" t="s">
        <v>239</v>
      </c>
      <c r="L542" s="3" t="n">
        <v>2</v>
      </c>
      <c r="M542" s="3"/>
      <c r="N542" s="3" t="s">
        <v>171</v>
      </c>
      <c r="O542" s="3"/>
      <c r="P542" s="10"/>
      <c r="Q542" s="3" t="n">
        <f aca="false">IF(F542="Disposable",1,0)</f>
        <v>0</v>
      </c>
      <c r="R542" s="3" t="n">
        <f aca="false">IF(SUMPRODUCT(--ISNUMBER(SEARCH('Spam Rules'!$A$22:$A$35,K542)))&gt;0,1,0)</f>
        <v>1</v>
      </c>
      <c r="S542" s="3" t="n">
        <f aca="false">IF(AND(F542="Free",G542=""),1,0)</f>
        <v>0</v>
      </c>
      <c r="T542" s="3" t="n">
        <f aca="false">IF(LEN(TRIM(K542))&lt;15,1,0)</f>
        <v>0</v>
      </c>
      <c r="U542" s="3" t="n">
        <f aca="false">IF(COUNTIF($E$2:$E$801,E542)&gt;1,1,0)</f>
        <v>1</v>
      </c>
      <c r="V542" s="3" t="n">
        <f aca="false">Q542*'Spam Rules'!$H$6+R542*'Spam Rules'!$H$7+S542*'Spam Rules'!$H$8+T542*'Spam Rules'!$H$9+U542*'Spam Rules'!$H$10</f>
        <v>1</v>
      </c>
      <c r="W542" s="3" t="str">
        <f aca="false">IF(V542&gt;='Spam Rules'!$B$3,"Likely Spam","Genuine")</f>
        <v>Likely Spam</v>
      </c>
      <c r="X542" s="3" t="n">
        <f aca="false">IFERROR(INDEX('Scoring Model'!$B$5:$B$11,MATCH(C542,'Scoring Model'!$A$5:$A$11,0)),0)</f>
        <v>25</v>
      </c>
      <c r="Y542" s="3" t="n">
        <f aca="false">IFERROR(INDEX('Scoring Model'!$E$5:$E$7,MATCH(F542,'Scoring Model'!$D$5:$D$7,0)),0)</f>
        <v>0</v>
      </c>
      <c r="Z542" s="3" t="n">
        <f aca="false">IFERROR(INDEX('Scoring Model'!$H$5:$H$13,MATCH(J542,'Scoring Model'!$G$5:$G$13,0)),0)</f>
        <v>0</v>
      </c>
      <c r="AA542" s="3" t="n">
        <f aca="false">IF(L542&gt;='Scoring Model'!$B$14,'Scoring Model'!$B$15,IF(L542&gt;='Scoring Model'!$B$16,'Scoring Model'!$B$17,0))</f>
        <v>0</v>
      </c>
      <c r="AB542" s="3" t="n">
        <f aca="false">IF(SUMPRODUCT(--ISNUMBER(SEARCH('Scoring Model'!$D$16:$D$25,K542)))&gt;0,'Scoring Model'!$B$18,0)</f>
        <v>0</v>
      </c>
      <c r="AC542" s="3" t="n">
        <f aca="false">IF(SUMPRODUCT(--ISNUMBER(SEARCH('Scoring Model'!$G$16:$G$23,K542)))&gt;0,'Scoring Model'!$B$19,0)</f>
        <v>0</v>
      </c>
      <c r="AD542" s="3" t="str">
        <f aca="false">IF(W542="Likely Spam","",SUM(X542:AC542))</f>
        <v/>
      </c>
      <c r="AE542" s="3" t="str">
        <f aca="false">IF(W542="Likely Spam","Spam",IF(AD542&gt;='Scoring Model'!$B$21,"Hot",IF(AD542&gt;='Scoring Model'!$B$22,"Warm","Nurture")))</f>
        <v>Spam</v>
      </c>
      <c r="AF542" s="3" t="str">
        <f aca="false">IF(W542="Likely Spam","Flagged by spam rules",TRIM(IF(X542&gt;=20,"Strong source. ","")&amp;IF(Y542&gt;0,"Company email. ","")&amp;IF(Z542&gt;=15,"High-value product. ","")&amp;IF(AA542&gt;='Scoring Model'!$B$15,"High engagement. ","")&amp;IF(AB542&gt;0,"Buying intent in message. ","")&amp;IF(AC542&lt;0,"Negative intent in message. ","")))</f>
        <v>Flagged by spam rules</v>
      </c>
      <c r="AG542" s="11" t="str">
        <f aca="false">IF(W542="Likely Spam","",1/(1+EXP(-('Conversion Model'!$B$5+IFERROR(INDEX('Conversion Model'!$B$8:$B$14,MATCH(C542,'Conversion Model'!$A$8:$A$14,0)),0)+IFERROR(INDEX('Conversion Model'!$E$8:$E$9,MATCH(F542,'Conversion Model'!$D$8:$D$9,0)),0)+IFERROR(INDEX('Conversion Model'!$H$8:$H$12,MATCH(IF(LEFT(J542,8)="Payments","Payments",IF(LEFT(J542,7)="Lending","Lending",J542)),'Conversion Model'!$G$8:$G$12,0)),0)+MIN(L542,15)*'Conversion Model'!$B$17+IF(SUMPRODUCT(--ISNUMBER(SEARCH('Scoring Model'!$D$16:$D$25,K542)))&gt;0,'Conversion Model'!$B$18,0)+IF(SUMPRODUCT(--ISNUMBER(SEARCH('Scoring Model'!$G$16:$G$23,K542)))&gt;0,'Conversion Model'!$B$19,0)))))</f>
        <v/>
      </c>
      <c r="AH542" s="3" t="str">
        <f aca="false">IF(OR(O542="Qualified",O542="Won",O542="Lost"),1,IF(O542="Unqualified",0,""))</f>
        <v/>
      </c>
    </row>
    <row r="543" customFormat="false" ht="15" hidden="false" customHeight="true" outlineLevel="0" collapsed="false">
      <c r="A543" s="3" t="s">
        <v>1922</v>
      </c>
      <c r="B543" s="9" t="n">
        <v>46176.1430555556</v>
      </c>
      <c r="C543" s="3" t="s">
        <v>51</v>
      </c>
      <c r="D543" s="3" t="s">
        <v>1888</v>
      </c>
      <c r="E543" s="3" t="s">
        <v>1923</v>
      </c>
      <c r="F543" s="3" t="s">
        <v>54</v>
      </c>
      <c r="G543" s="3" t="s">
        <v>321</v>
      </c>
      <c r="H543" s="3"/>
      <c r="I543" s="3" t="s">
        <v>73</v>
      </c>
      <c r="J543" s="3" t="s">
        <v>65</v>
      </c>
      <c r="K543" s="3" t="s">
        <v>363</v>
      </c>
      <c r="L543" s="3" t="n">
        <v>1</v>
      </c>
      <c r="M543" s="3" t="n">
        <v>15.8</v>
      </c>
      <c r="N543" s="3" t="s">
        <v>96</v>
      </c>
      <c r="O543" s="3"/>
      <c r="P543" s="10"/>
      <c r="Q543" s="3" t="n">
        <f aca="false">IF(F543="Disposable",1,0)</f>
        <v>0</v>
      </c>
      <c r="R543" s="3" t="n">
        <f aca="false">IF(SUMPRODUCT(--ISNUMBER(SEARCH('Spam Rules'!$A$22:$A$35,K543)))&gt;0,1,0)</f>
        <v>1</v>
      </c>
      <c r="S543" s="3" t="n">
        <f aca="false">IF(AND(F543="Free",G543=""),1,0)</f>
        <v>0</v>
      </c>
      <c r="T543" s="3" t="n">
        <f aca="false">IF(LEN(TRIM(K543))&lt;15,1,0)</f>
        <v>0</v>
      </c>
      <c r="U543" s="3" t="n">
        <f aca="false">IF(COUNTIF($E$2:$E$801,E543)&gt;1,1,0)</f>
        <v>1</v>
      </c>
      <c r="V543" s="3" t="n">
        <f aca="false">Q543*'Spam Rules'!$H$6+R543*'Spam Rules'!$H$7+S543*'Spam Rules'!$H$8+T543*'Spam Rules'!$H$9+U543*'Spam Rules'!$H$10</f>
        <v>1</v>
      </c>
      <c r="W543" s="3" t="str">
        <f aca="false">IF(V543&gt;='Spam Rules'!$B$3,"Likely Spam","Genuine")</f>
        <v>Likely Spam</v>
      </c>
      <c r="X543" s="3" t="n">
        <f aca="false">IFERROR(INDEX('Scoring Model'!$B$5:$B$11,MATCH(C543,'Scoring Model'!$A$5:$A$11,0)),0)</f>
        <v>10</v>
      </c>
      <c r="Y543" s="3" t="n">
        <f aca="false">IFERROR(INDEX('Scoring Model'!$E$5:$E$7,MATCH(F543,'Scoring Model'!$D$5:$D$7,0)),0)</f>
        <v>0</v>
      </c>
      <c r="Z543" s="3" t="n">
        <f aca="false">IFERROR(INDEX('Scoring Model'!$H$5:$H$13,MATCH(J543,'Scoring Model'!$G$5:$G$13,0)),0)</f>
        <v>0</v>
      </c>
      <c r="AA543" s="3" t="n">
        <f aca="false">IF(L543&gt;='Scoring Model'!$B$14,'Scoring Model'!$B$15,IF(L543&gt;='Scoring Model'!$B$16,'Scoring Model'!$B$17,0))</f>
        <v>0</v>
      </c>
      <c r="AB543" s="3" t="n">
        <f aca="false">IF(SUMPRODUCT(--ISNUMBER(SEARCH('Scoring Model'!$D$16:$D$25,K543)))&gt;0,'Scoring Model'!$B$18,0)</f>
        <v>0</v>
      </c>
      <c r="AC543" s="3" t="n">
        <f aca="false">IF(SUMPRODUCT(--ISNUMBER(SEARCH('Scoring Model'!$G$16:$G$23,K543)))&gt;0,'Scoring Model'!$B$19,0)</f>
        <v>0</v>
      </c>
      <c r="AD543" s="3" t="str">
        <f aca="false">IF(W543="Likely Spam","",SUM(X543:AC543))</f>
        <v/>
      </c>
      <c r="AE543" s="3" t="str">
        <f aca="false">IF(W543="Likely Spam","Spam",IF(AD543&gt;='Scoring Model'!$B$21,"Hot",IF(AD543&gt;='Scoring Model'!$B$22,"Warm","Nurture")))</f>
        <v>Spam</v>
      </c>
      <c r="AF543" s="3" t="str">
        <f aca="false">IF(W543="Likely Spam","Flagged by spam rules",TRIM(IF(X543&gt;=20,"Strong source. ","")&amp;IF(Y543&gt;0,"Company email. ","")&amp;IF(Z543&gt;=15,"High-value product. ","")&amp;IF(AA543&gt;='Scoring Model'!$B$15,"High engagement. ","")&amp;IF(AB543&gt;0,"Buying intent in message. ","")&amp;IF(AC543&lt;0,"Negative intent in message. ","")))</f>
        <v>Flagged by spam rules</v>
      </c>
      <c r="AG543" s="11" t="str">
        <f aca="false">IF(W543="Likely Spam","",1/(1+EXP(-('Conversion Model'!$B$5+IFERROR(INDEX('Conversion Model'!$B$8:$B$14,MATCH(C543,'Conversion Model'!$A$8:$A$14,0)),0)+IFERROR(INDEX('Conversion Model'!$E$8:$E$9,MATCH(F543,'Conversion Model'!$D$8:$D$9,0)),0)+IFERROR(INDEX('Conversion Model'!$H$8:$H$12,MATCH(IF(LEFT(J543,8)="Payments","Payments",IF(LEFT(J543,7)="Lending","Lending",J543)),'Conversion Model'!$G$8:$G$12,0)),0)+MIN(L543,15)*'Conversion Model'!$B$17+IF(SUMPRODUCT(--ISNUMBER(SEARCH('Scoring Model'!$D$16:$D$25,K543)))&gt;0,'Conversion Model'!$B$18,0)+IF(SUMPRODUCT(--ISNUMBER(SEARCH('Scoring Model'!$G$16:$G$23,K543)))&gt;0,'Conversion Model'!$B$19,0)))))</f>
        <v/>
      </c>
      <c r="AH543" s="3" t="str">
        <f aca="false">IF(OR(O543="Qualified",O543="Won",O543="Lost"),1,IF(O543="Unqualified",0,""))</f>
        <v/>
      </c>
    </row>
    <row r="544" customFormat="false" ht="15" hidden="false" customHeight="true" outlineLevel="0" collapsed="false">
      <c r="A544" s="3" t="s">
        <v>1924</v>
      </c>
      <c r="B544" s="9" t="n">
        <v>46176.3152777778</v>
      </c>
      <c r="C544" s="3" t="s">
        <v>112</v>
      </c>
      <c r="D544" s="3" t="s">
        <v>827</v>
      </c>
      <c r="E544" s="3" t="s">
        <v>1925</v>
      </c>
      <c r="F544" s="3" t="s">
        <v>54</v>
      </c>
      <c r="G544" s="3" t="s">
        <v>198</v>
      </c>
      <c r="H544" s="3"/>
      <c r="I544" s="3" t="s">
        <v>73</v>
      </c>
      <c r="J544" s="3" t="s">
        <v>81</v>
      </c>
      <c r="K544" s="3" t="s">
        <v>228</v>
      </c>
      <c r="L544" s="3" t="n">
        <v>5</v>
      </c>
      <c r="M544" s="3" t="n">
        <v>3.3</v>
      </c>
      <c r="N544" s="3" t="s">
        <v>67</v>
      </c>
      <c r="O544" s="3" t="s">
        <v>110</v>
      </c>
      <c r="P544" s="10"/>
      <c r="Q544" s="3" t="n">
        <f aca="false">IF(F544="Disposable",1,0)</f>
        <v>0</v>
      </c>
      <c r="R544" s="3" t="n">
        <f aca="false">IF(SUMPRODUCT(--ISNUMBER(SEARCH('Spam Rules'!$A$22:$A$35,K544)))&gt;0,1,0)</f>
        <v>0</v>
      </c>
      <c r="S544" s="3" t="n">
        <f aca="false">IF(AND(F544="Free",G544=""),1,0)</f>
        <v>0</v>
      </c>
      <c r="T544" s="3" t="n">
        <f aca="false">IF(LEN(TRIM(K544))&lt;15,1,0)</f>
        <v>0</v>
      </c>
      <c r="U544" s="3" t="n">
        <f aca="false">IF(COUNTIF($E$2:$E$801,E544)&gt;1,1,0)</f>
        <v>0</v>
      </c>
      <c r="V544" s="3" t="n">
        <f aca="false">Q544*'Spam Rules'!$H$6+R544*'Spam Rules'!$H$7+S544*'Spam Rules'!$H$8+T544*'Spam Rules'!$H$9+U544*'Spam Rules'!$H$10</f>
        <v>0</v>
      </c>
      <c r="W544" s="3" t="str">
        <f aca="false">IF(V544&gt;='Spam Rules'!$B$3,"Likely Spam","Genuine")</f>
        <v>Genuine</v>
      </c>
      <c r="X544" s="3" t="n">
        <f aca="false">IFERROR(INDEX('Scoring Model'!$B$5:$B$11,MATCH(C544,'Scoring Model'!$A$5:$A$11,0)),0)</f>
        <v>15</v>
      </c>
      <c r="Y544" s="3" t="n">
        <f aca="false">IFERROR(INDEX('Scoring Model'!$E$5:$E$7,MATCH(F544,'Scoring Model'!$D$5:$D$7,0)),0)</f>
        <v>0</v>
      </c>
      <c r="Z544" s="3" t="n">
        <f aca="false">IFERROR(INDEX('Scoring Model'!$H$5:$H$13,MATCH(J544,'Scoring Model'!$G$5:$G$13,0)),0)</f>
        <v>5</v>
      </c>
      <c r="AA544" s="3" t="n">
        <f aca="false">IF(L544&gt;='Scoring Model'!$B$14,'Scoring Model'!$B$15,IF(L544&gt;='Scoring Model'!$B$16,'Scoring Model'!$B$17,0))</f>
        <v>8</v>
      </c>
      <c r="AB544" s="3" t="n">
        <f aca="false">IF(SUMPRODUCT(--ISNUMBER(SEARCH('Scoring Model'!$D$16:$D$25,K544)))&gt;0,'Scoring Model'!$B$18,0)</f>
        <v>15</v>
      </c>
      <c r="AC544" s="3" t="n">
        <f aca="false">IF(SUMPRODUCT(--ISNUMBER(SEARCH('Scoring Model'!$G$16:$G$23,K544)))&gt;0,'Scoring Model'!$B$19,0)</f>
        <v>0</v>
      </c>
      <c r="AD544" s="3" t="n">
        <f aca="false">IF(W544="Likely Spam","",SUM(X544:AC544))</f>
        <v>43</v>
      </c>
      <c r="AE544" s="3" t="str">
        <f aca="false">IF(W544="Likely Spam","Spam",IF(AD544&gt;='Scoring Model'!$B$21,"Hot",IF(AD544&gt;='Scoring Model'!$B$22,"Warm","Nurture")))</f>
        <v>Nurture</v>
      </c>
      <c r="AF544" s="3" t="str">
        <f aca="false">IF(W544="Likely Spam","Flagged by spam rules",TRIM(IF(X544&gt;=20,"Strong source. ","")&amp;IF(Y544&gt;0,"Company email. ","")&amp;IF(Z544&gt;=15,"High-value product. ","")&amp;IF(AA544&gt;='Scoring Model'!$B$15,"High engagement. ","")&amp;IF(AB544&gt;0,"Buying intent in message. ","")&amp;IF(AC544&lt;0,"Negative intent in message. ","")))</f>
        <v>Buying intent in message.</v>
      </c>
      <c r="AG544" s="11" t="n">
        <f aca="false">IF(W544="Likely Spam","",1/(1+EXP(-('Conversion Model'!$B$5+IFERROR(INDEX('Conversion Model'!$B$8:$B$14,MATCH(C544,'Conversion Model'!$A$8:$A$14,0)),0)+IFERROR(INDEX('Conversion Model'!$E$8:$E$9,MATCH(F544,'Conversion Model'!$D$8:$D$9,0)),0)+IFERROR(INDEX('Conversion Model'!$H$8:$H$12,MATCH(IF(LEFT(J544,8)="Payments","Payments",IF(LEFT(J544,7)="Lending","Lending",J544)),'Conversion Model'!$G$8:$G$12,0)),0)+MIN(L544,15)*'Conversion Model'!$B$17+IF(SUMPRODUCT(--ISNUMBER(SEARCH('Scoring Model'!$D$16:$D$25,K544)))&gt;0,'Conversion Model'!$B$18,0)+IF(SUMPRODUCT(--ISNUMBER(SEARCH('Scoring Model'!$G$16:$G$23,K544)))&gt;0,'Conversion Model'!$B$19,0)))))</f>
        <v>0.389123033413235</v>
      </c>
      <c r="AH544" s="3" t="n">
        <f aca="false">IF(OR(O544="Qualified",O544="Won",O544="Lost"),1,IF(O544="Unqualified",0,""))</f>
        <v>1</v>
      </c>
    </row>
    <row r="545" customFormat="false" ht="15" hidden="false" customHeight="true" outlineLevel="0" collapsed="false">
      <c r="A545" s="3" t="s">
        <v>1926</v>
      </c>
      <c r="B545" s="9" t="n">
        <v>46176.4930555556</v>
      </c>
      <c r="C545" s="3" t="s">
        <v>112</v>
      </c>
      <c r="D545" s="3" t="s">
        <v>392</v>
      </c>
      <c r="E545" s="3" t="s">
        <v>1927</v>
      </c>
      <c r="F545" s="3" t="s">
        <v>54</v>
      </c>
      <c r="G545" s="3"/>
      <c r="H545" s="3"/>
      <c r="I545" s="3" t="s">
        <v>334</v>
      </c>
      <c r="J545" s="3" t="s">
        <v>145</v>
      </c>
      <c r="K545" s="3" t="s">
        <v>213</v>
      </c>
      <c r="L545" s="3" t="n">
        <v>3</v>
      </c>
      <c r="M545" s="3" t="n">
        <v>18.4</v>
      </c>
      <c r="N545" s="3" t="s">
        <v>67</v>
      </c>
      <c r="O545" s="3" t="s">
        <v>194</v>
      </c>
      <c r="P545" s="10"/>
      <c r="Q545" s="3" t="n">
        <f aca="false">IF(F545="Disposable",1,0)</f>
        <v>0</v>
      </c>
      <c r="R545" s="3" t="n">
        <f aca="false">IF(SUMPRODUCT(--ISNUMBER(SEARCH('Spam Rules'!$A$22:$A$35,K545)))&gt;0,1,0)</f>
        <v>0</v>
      </c>
      <c r="S545" s="3" t="n">
        <f aca="false">IF(AND(F545="Free",G545=""),1,0)</f>
        <v>1</v>
      </c>
      <c r="T545" s="3" t="n">
        <f aca="false">IF(LEN(TRIM(K545))&lt;15,1,0)</f>
        <v>0</v>
      </c>
      <c r="U545" s="3" t="n">
        <f aca="false">IF(COUNTIF($E$2:$E$801,E545)&gt;1,1,0)</f>
        <v>0</v>
      </c>
      <c r="V545" s="3" t="n">
        <f aca="false">Q545*'Spam Rules'!$H$6+R545*'Spam Rules'!$H$7+S545*'Spam Rules'!$H$8+T545*'Spam Rules'!$H$9+U545*'Spam Rules'!$H$10</f>
        <v>0</v>
      </c>
      <c r="W545" s="3" t="str">
        <f aca="false">IF(V545&gt;='Spam Rules'!$B$3,"Likely Spam","Genuine")</f>
        <v>Genuine</v>
      </c>
      <c r="X545" s="3" t="n">
        <f aca="false">IFERROR(INDEX('Scoring Model'!$B$5:$B$11,MATCH(C545,'Scoring Model'!$A$5:$A$11,0)),0)</f>
        <v>15</v>
      </c>
      <c r="Y545" s="3" t="n">
        <f aca="false">IFERROR(INDEX('Scoring Model'!$E$5:$E$7,MATCH(F545,'Scoring Model'!$D$5:$D$7,0)),0)</f>
        <v>0</v>
      </c>
      <c r="Z545" s="3" t="n">
        <f aca="false">IFERROR(INDEX('Scoring Model'!$H$5:$H$13,MATCH(J545,'Scoring Model'!$G$5:$G$13,0)),0)</f>
        <v>5</v>
      </c>
      <c r="AA545" s="3" t="n">
        <f aca="false">IF(L545&gt;='Scoring Model'!$B$14,'Scoring Model'!$B$15,IF(L545&gt;='Scoring Model'!$B$16,'Scoring Model'!$B$17,0))</f>
        <v>0</v>
      </c>
      <c r="AB545" s="3" t="n">
        <f aca="false">IF(SUMPRODUCT(--ISNUMBER(SEARCH('Scoring Model'!$D$16:$D$25,K545)))&gt;0,'Scoring Model'!$B$18,0)</f>
        <v>0</v>
      </c>
      <c r="AC545" s="3" t="n">
        <f aca="false">IF(SUMPRODUCT(--ISNUMBER(SEARCH('Scoring Model'!$G$16:$G$23,K545)))&gt;0,'Scoring Model'!$B$19,0)</f>
        <v>-30</v>
      </c>
      <c r="AD545" s="3" t="n">
        <f aca="false">IF(W545="Likely Spam","",SUM(X545:AC545))</f>
        <v>-10</v>
      </c>
      <c r="AE545" s="3" t="str">
        <f aca="false">IF(W545="Likely Spam","Spam",IF(AD545&gt;='Scoring Model'!$B$21,"Hot",IF(AD545&gt;='Scoring Model'!$B$22,"Warm","Nurture")))</f>
        <v>Nurture</v>
      </c>
      <c r="AF545" s="3" t="str">
        <f aca="false">IF(W545="Likely Spam","Flagged by spam rules",TRIM(IF(X545&gt;=20,"Strong source. ","")&amp;IF(Y545&gt;0,"Company email. ","")&amp;IF(Z545&gt;=15,"High-value product. ","")&amp;IF(AA545&gt;='Scoring Model'!$B$15,"High engagement. ","")&amp;IF(AB545&gt;0,"Buying intent in message. ","")&amp;IF(AC545&lt;0,"Negative intent in message. ","")))</f>
        <v>Negative intent in message.</v>
      </c>
      <c r="AG545" s="11" t="n">
        <f aca="false">IF(W545="Likely Spam","",1/(1+EXP(-('Conversion Model'!$B$5+IFERROR(INDEX('Conversion Model'!$B$8:$B$14,MATCH(C545,'Conversion Model'!$A$8:$A$14,0)),0)+IFERROR(INDEX('Conversion Model'!$E$8:$E$9,MATCH(F545,'Conversion Model'!$D$8:$D$9,0)),0)+IFERROR(INDEX('Conversion Model'!$H$8:$H$12,MATCH(IF(LEFT(J545,8)="Payments","Payments",IF(LEFT(J545,7)="Lending","Lending",J545)),'Conversion Model'!$G$8:$G$12,0)),0)+MIN(L545,15)*'Conversion Model'!$B$17+IF(SUMPRODUCT(--ISNUMBER(SEARCH('Scoring Model'!$D$16:$D$25,K545)))&gt;0,'Conversion Model'!$B$18,0)+IF(SUMPRODUCT(--ISNUMBER(SEARCH('Scoring Model'!$G$16:$G$23,K545)))&gt;0,'Conversion Model'!$B$19,0)))))</f>
        <v>0.0065938643916765</v>
      </c>
      <c r="AH545" s="3" t="n">
        <f aca="false">IF(OR(O545="Qualified",O545="Won",O545="Lost"),1,IF(O545="Unqualified",0,""))</f>
        <v>0</v>
      </c>
    </row>
    <row r="546" customFormat="false" ht="15" hidden="false" customHeight="true" outlineLevel="0" collapsed="false">
      <c r="A546" s="3" t="s">
        <v>1928</v>
      </c>
      <c r="B546" s="9" t="n">
        <v>46176.5319444445</v>
      </c>
      <c r="C546" s="3" t="s">
        <v>51</v>
      </c>
      <c r="D546" s="3" t="s">
        <v>552</v>
      </c>
      <c r="E546" s="3" t="s">
        <v>1929</v>
      </c>
      <c r="F546" s="3" t="s">
        <v>54</v>
      </c>
      <c r="G546" s="3"/>
      <c r="H546" s="3"/>
      <c r="I546" s="3" t="s">
        <v>56</v>
      </c>
      <c r="J546" s="3" t="s">
        <v>122</v>
      </c>
      <c r="K546" s="3" t="s">
        <v>74</v>
      </c>
      <c r="L546" s="3" t="n">
        <v>3</v>
      </c>
      <c r="M546" s="3" t="n">
        <v>2.5</v>
      </c>
      <c r="N546" s="3" t="s">
        <v>67</v>
      </c>
      <c r="O546" s="3" t="s">
        <v>194</v>
      </c>
      <c r="P546" s="10"/>
      <c r="Q546" s="3" t="n">
        <f aca="false">IF(F546="Disposable",1,0)</f>
        <v>0</v>
      </c>
      <c r="R546" s="3" t="n">
        <f aca="false">IF(SUMPRODUCT(--ISNUMBER(SEARCH('Spam Rules'!$A$22:$A$35,K546)))&gt;0,1,0)</f>
        <v>0</v>
      </c>
      <c r="S546" s="3" t="n">
        <f aca="false">IF(AND(F546="Free",G546=""),1,0)</f>
        <v>1</v>
      </c>
      <c r="T546" s="3" t="n">
        <f aca="false">IF(LEN(TRIM(K546))&lt;15,1,0)</f>
        <v>0</v>
      </c>
      <c r="U546" s="3" t="n">
        <f aca="false">IF(COUNTIF($E$2:$E$801,E546)&gt;1,1,0)</f>
        <v>0</v>
      </c>
      <c r="V546" s="3" t="n">
        <f aca="false">Q546*'Spam Rules'!$H$6+R546*'Spam Rules'!$H$7+S546*'Spam Rules'!$H$8+T546*'Spam Rules'!$H$9+U546*'Spam Rules'!$H$10</f>
        <v>0</v>
      </c>
      <c r="W546" s="3" t="str">
        <f aca="false">IF(V546&gt;='Spam Rules'!$B$3,"Likely Spam","Genuine")</f>
        <v>Genuine</v>
      </c>
      <c r="X546" s="3" t="n">
        <f aca="false">IFERROR(INDEX('Scoring Model'!$B$5:$B$11,MATCH(C546,'Scoring Model'!$A$5:$A$11,0)),0)</f>
        <v>10</v>
      </c>
      <c r="Y546" s="3" t="n">
        <f aca="false">IFERROR(INDEX('Scoring Model'!$E$5:$E$7,MATCH(F546,'Scoring Model'!$D$5:$D$7,0)),0)</f>
        <v>0</v>
      </c>
      <c r="Z546" s="3" t="n">
        <f aca="false">IFERROR(INDEX('Scoring Model'!$H$5:$H$13,MATCH(J546,'Scoring Model'!$G$5:$G$13,0)),0)</f>
        <v>15</v>
      </c>
      <c r="AA546" s="3" t="n">
        <f aca="false">IF(L546&gt;='Scoring Model'!$B$14,'Scoring Model'!$B$15,IF(L546&gt;='Scoring Model'!$B$16,'Scoring Model'!$B$17,0))</f>
        <v>0</v>
      </c>
      <c r="AB546" s="3" t="n">
        <f aca="false">IF(SUMPRODUCT(--ISNUMBER(SEARCH('Scoring Model'!$D$16:$D$25,K546)))&gt;0,'Scoring Model'!$B$18,0)</f>
        <v>0</v>
      </c>
      <c r="AC546" s="3" t="n">
        <f aca="false">IF(SUMPRODUCT(--ISNUMBER(SEARCH('Scoring Model'!$G$16:$G$23,K546)))&gt;0,'Scoring Model'!$B$19,0)</f>
        <v>-30</v>
      </c>
      <c r="AD546" s="3" t="n">
        <f aca="false">IF(W546="Likely Spam","",SUM(X546:AC546))</f>
        <v>-5</v>
      </c>
      <c r="AE546" s="3" t="str">
        <f aca="false">IF(W546="Likely Spam","Spam",IF(AD546&gt;='Scoring Model'!$B$21,"Hot",IF(AD546&gt;='Scoring Model'!$B$22,"Warm","Nurture")))</f>
        <v>Nurture</v>
      </c>
      <c r="AF546" s="3" t="str">
        <f aca="false">IF(W546="Likely Spam","Flagged by spam rules",TRIM(IF(X546&gt;=20,"Strong source. ","")&amp;IF(Y546&gt;0,"Company email. ","")&amp;IF(Z546&gt;=15,"High-value product. ","")&amp;IF(AA546&gt;='Scoring Model'!$B$15,"High engagement. ","")&amp;IF(AB546&gt;0,"Buying intent in message. ","")&amp;IF(AC546&lt;0,"Negative intent in message. ","")))</f>
        <v>High-value product. Negative intent in message.</v>
      </c>
      <c r="AG546" s="11" t="n">
        <f aca="false">IF(W546="Likely Spam","",1/(1+EXP(-('Conversion Model'!$B$5+IFERROR(INDEX('Conversion Model'!$B$8:$B$14,MATCH(C546,'Conversion Model'!$A$8:$A$14,0)),0)+IFERROR(INDEX('Conversion Model'!$E$8:$E$9,MATCH(F546,'Conversion Model'!$D$8:$D$9,0)),0)+IFERROR(INDEX('Conversion Model'!$H$8:$H$12,MATCH(IF(LEFT(J546,8)="Payments","Payments",IF(LEFT(J546,7)="Lending","Lending",J546)),'Conversion Model'!$G$8:$G$12,0)),0)+MIN(L546,15)*'Conversion Model'!$B$17+IF(SUMPRODUCT(--ISNUMBER(SEARCH('Scoring Model'!$D$16:$D$25,K546)))&gt;0,'Conversion Model'!$B$18,0)+IF(SUMPRODUCT(--ISNUMBER(SEARCH('Scoring Model'!$G$16:$G$23,K546)))&gt;0,'Conversion Model'!$B$19,0)))))</f>
        <v>0.0054374110161815</v>
      </c>
      <c r="AH546" s="3" t="n">
        <f aca="false">IF(OR(O546="Qualified",O546="Won",O546="Lost"),1,IF(O546="Unqualified",0,""))</f>
        <v>0</v>
      </c>
    </row>
    <row r="547" customFormat="false" ht="15" hidden="false" customHeight="true" outlineLevel="0" collapsed="false">
      <c r="A547" s="3" t="s">
        <v>1930</v>
      </c>
      <c r="B547" s="9" t="n">
        <v>46176.8388888889</v>
      </c>
      <c r="C547" s="3" t="s">
        <v>76</v>
      </c>
      <c r="D547" s="3" t="s">
        <v>1931</v>
      </c>
      <c r="E547" s="3" t="s">
        <v>1932</v>
      </c>
      <c r="F547" s="3" t="s">
        <v>54</v>
      </c>
      <c r="G547" s="3"/>
      <c r="H547" s="3"/>
      <c r="I547" s="3" t="s">
        <v>56</v>
      </c>
      <c r="J547" s="3" t="s">
        <v>65</v>
      </c>
      <c r="K547" s="3" t="s">
        <v>126</v>
      </c>
      <c r="L547" s="3" t="n">
        <v>1</v>
      </c>
      <c r="M547" s="3" t="n">
        <v>216.2</v>
      </c>
      <c r="N547" s="3" t="s">
        <v>96</v>
      </c>
      <c r="O547" s="3"/>
      <c r="P547" s="10"/>
      <c r="Q547" s="3" t="n">
        <f aca="false">IF(F547="Disposable",1,0)</f>
        <v>0</v>
      </c>
      <c r="R547" s="3" t="n">
        <f aca="false">IF(SUMPRODUCT(--ISNUMBER(SEARCH('Spam Rules'!$A$22:$A$35,K547)))&gt;0,1,0)</f>
        <v>0</v>
      </c>
      <c r="S547" s="3" t="n">
        <f aca="false">IF(AND(F547="Free",G547=""),1,0)</f>
        <v>1</v>
      </c>
      <c r="T547" s="3" t="n">
        <f aca="false">IF(LEN(TRIM(K547))&lt;15,1,0)</f>
        <v>1</v>
      </c>
      <c r="U547" s="3" t="n">
        <f aca="false">IF(COUNTIF($E$2:$E$801,E547)&gt;1,1,0)</f>
        <v>0</v>
      </c>
      <c r="V547" s="3" t="n">
        <f aca="false">Q547*'Spam Rules'!$H$6+R547*'Spam Rules'!$H$7+S547*'Spam Rules'!$H$8+T547*'Spam Rules'!$H$9+U547*'Spam Rules'!$H$10</f>
        <v>1</v>
      </c>
      <c r="W547" s="3" t="str">
        <f aca="false">IF(V547&gt;='Spam Rules'!$B$3,"Likely Spam","Genuine")</f>
        <v>Likely Spam</v>
      </c>
      <c r="X547" s="3" t="n">
        <f aca="false">IFERROR(INDEX('Scoring Model'!$B$5:$B$11,MATCH(C547,'Scoring Model'!$A$5:$A$11,0)),0)</f>
        <v>0</v>
      </c>
      <c r="Y547" s="3" t="n">
        <f aca="false">IFERROR(INDEX('Scoring Model'!$E$5:$E$7,MATCH(F547,'Scoring Model'!$D$5:$D$7,0)),0)</f>
        <v>0</v>
      </c>
      <c r="Z547" s="3" t="n">
        <f aca="false">IFERROR(INDEX('Scoring Model'!$H$5:$H$13,MATCH(J547,'Scoring Model'!$G$5:$G$13,0)),0)</f>
        <v>0</v>
      </c>
      <c r="AA547" s="3" t="n">
        <f aca="false">IF(L547&gt;='Scoring Model'!$B$14,'Scoring Model'!$B$15,IF(L547&gt;='Scoring Model'!$B$16,'Scoring Model'!$B$17,0))</f>
        <v>0</v>
      </c>
      <c r="AB547" s="3" t="n">
        <f aca="false">IF(SUMPRODUCT(--ISNUMBER(SEARCH('Scoring Model'!$D$16:$D$25,K547)))&gt;0,'Scoring Model'!$B$18,0)</f>
        <v>0</v>
      </c>
      <c r="AC547" s="3" t="n">
        <f aca="false">IF(SUMPRODUCT(--ISNUMBER(SEARCH('Scoring Model'!$G$16:$G$23,K547)))&gt;0,'Scoring Model'!$B$19,0)</f>
        <v>0</v>
      </c>
      <c r="AD547" s="3" t="str">
        <f aca="false">IF(W547="Likely Spam","",SUM(X547:AC547))</f>
        <v/>
      </c>
      <c r="AE547" s="3" t="str">
        <f aca="false">IF(W547="Likely Spam","Spam",IF(AD547&gt;='Scoring Model'!$B$21,"Hot",IF(AD547&gt;='Scoring Model'!$B$22,"Warm","Nurture")))</f>
        <v>Spam</v>
      </c>
      <c r="AF547" s="3" t="str">
        <f aca="false">IF(W547="Likely Spam","Flagged by spam rules",TRIM(IF(X547&gt;=20,"Strong source. ","")&amp;IF(Y547&gt;0,"Company email. ","")&amp;IF(Z547&gt;=15,"High-value product. ","")&amp;IF(AA547&gt;='Scoring Model'!$B$15,"High engagement. ","")&amp;IF(AB547&gt;0,"Buying intent in message. ","")&amp;IF(AC547&lt;0,"Negative intent in message. ","")))</f>
        <v>Flagged by spam rules</v>
      </c>
      <c r="AG547" s="11" t="str">
        <f aca="false">IF(W547="Likely Spam","",1/(1+EXP(-('Conversion Model'!$B$5+IFERROR(INDEX('Conversion Model'!$B$8:$B$14,MATCH(C547,'Conversion Model'!$A$8:$A$14,0)),0)+IFERROR(INDEX('Conversion Model'!$E$8:$E$9,MATCH(F547,'Conversion Model'!$D$8:$D$9,0)),0)+IFERROR(INDEX('Conversion Model'!$H$8:$H$12,MATCH(IF(LEFT(J547,8)="Payments","Payments",IF(LEFT(J547,7)="Lending","Lending",J547)),'Conversion Model'!$G$8:$G$12,0)),0)+MIN(L547,15)*'Conversion Model'!$B$17+IF(SUMPRODUCT(--ISNUMBER(SEARCH('Scoring Model'!$D$16:$D$25,K547)))&gt;0,'Conversion Model'!$B$18,0)+IF(SUMPRODUCT(--ISNUMBER(SEARCH('Scoring Model'!$G$16:$G$23,K547)))&gt;0,'Conversion Model'!$B$19,0)))))</f>
        <v/>
      </c>
      <c r="AH547" s="3" t="str">
        <f aca="false">IF(OR(O547="Qualified",O547="Won",O547="Lost"),1,IF(O547="Unqualified",0,""))</f>
        <v/>
      </c>
    </row>
    <row r="548" customFormat="false" ht="15" hidden="false" customHeight="true" outlineLevel="0" collapsed="false">
      <c r="A548" s="3" t="s">
        <v>1933</v>
      </c>
      <c r="B548" s="9" t="n">
        <v>46176.9027777778</v>
      </c>
      <c r="C548" s="3" t="s">
        <v>91</v>
      </c>
      <c r="D548" s="3" t="s">
        <v>1934</v>
      </c>
      <c r="E548" s="3" t="s">
        <v>1935</v>
      </c>
      <c r="F548" s="3" t="s">
        <v>54</v>
      </c>
      <c r="G548" s="3" t="s">
        <v>1862</v>
      </c>
      <c r="H548" s="3"/>
      <c r="I548" s="3" t="s">
        <v>107</v>
      </c>
      <c r="J548" s="3" t="s">
        <v>122</v>
      </c>
      <c r="K548" s="3" t="s">
        <v>349</v>
      </c>
      <c r="L548" s="3" t="n">
        <v>3</v>
      </c>
      <c r="M548" s="3" t="n">
        <v>19.6</v>
      </c>
      <c r="N548" s="3" t="s">
        <v>59</v>
      </c>
      <c r="O548" s="3"/>
      <c r="P548" s="10"/>
      <c r="Q548" s="3" t="n">
        <f aca="false">IF(F548="Disposable",1,0)</f>
        <v>0</v>
      </c>
      <c r="R548" s="3" t="n">
        <f aca="false">IF(SUMPRODUCT(--ISNUMBER(SEARCH('Spam Rules'!$A$22:$A$35,K548)))&gt;0,1,0)</f>
        <v>0</v>
      </c>
      <c r="S548" s="3" t="n">
        <f aca="false">IF(AND(F548="Free",G548=""),1,0)</f>
        <v>0</v>
      </c>
      <c r="T548" s="3" t="n">
        <f aca="false">IF(LEN(TRIM(K548))&lt;15,1,0)</f>
        <v>0</v>
      </c>
      <c r="U548" s="3" t="n">
        <f aca="false">IF(COUNTIF($E$2:$E$801,E548)&gt;1,1,0)</f>
        <v>0</v>
      </c>
      <c r="V548" s="3" t="n">
        <f aca="false">Q548*'Spam Rules'!$H$6+R548*'Spam Rules'!$H$7+S548*'Spam Rules'!$H$8+T548*'Spam Rules'!$H$9+U548*'Spam Rules'!$H$10</f>
        <v>0</v>
      </c>
      <c r="W548" s="3" t="str">
        <f aca="false">IF(V548&gt;='Spam Rules'!$B$3,"Likely Spam","Genuine")</f>
        <v>Genuine</v>
      </c>
      <c r="X548" s="3" t="n">
        <f aca="false">IFERROR(INDEX('Scoring Model'!$B$5:$B$11,MATCH(C548,'Scoring Model'!$A$5:$A$11,0)),0)</f>
        <v>5</v>
      </c>
      <c r="Y548" s="3" t="n">
        <f aca="false">IFERROR(INDEX('Scoring Model'!$E$5:$E$7,MATCH(F548,'Scoring Model'!$D$5:$D$7,0)),0)</f>
        <v>0</v>
      </c>
      <c r="Z548" s="3" t="n">
        <f aca="false">IFERROR(INDEX('Scoring Model'!$H$5:$H$13,MATCH(J548,'Scoring Model'!$G$5:$G$13,0)),0)</f>
        <v>15</v>
      </c>
      <c r="AA548" s="3" t="n">
        <f aca="false">IF(L548&gt;='Scoring Model'!$B$14,'Scoring Model'!$B$15,IF(L548&gt;='Scoring Model'!$B$16,'Scoring Model'!$B$17,0))</f>
        <v>0</v>
      </c>
      <c r="AB548" s="3" t="n">
        <f aca="false">IF(SUMPRODUCT(--ISNUMBER(SEARCH('Scoring Model'!$D$16:$D$25,K548)))&gt;0,'Scoring Model'!$B$18,0)</f>
        <v>0</v>
      </c>
      <c r="AC548" s="3" t="n">
        <f aca="false">IF(SUMPRODUCT(--ISNUMBER(SEARCH('Scoring Model'!$G$16:$G$23,K548)))&gt;0,'Scoring Model'!$B$19,0)</f>
        <v>-30</v>
      </c>
      <c r="AD548" s="3" t="n">
        <f aca="false">IF(W548="Likely Spam","",SUM(X548:AC548))</f>
        <v>-10</v>
      </c>
      <c r="AE548" s="3" t="str">
        <f aca="false">IF(W548="Likely Spam","Spam",IF(AD548&gt;='Scoring Model'!$B$21,"Hot",IF(AD548&gt;='Scoring Model'!$B$22,"Warm","Nurture")))</f>
        <v>Nurture</v>
      </c>
      <c r="AF548" s="3" t="str">
        <f aca="false">IF(W548="Likely Spam","Flagged by spam rules",TRIM(IF(X548&gt;=20,"Strong source. ","")&amp;IF(Y548&gt;0,"Company email. ","")&amp;IF(Z548&gt;=15,"High-value product. ","")&amp;IF(AA548&gt;='Scoring Model'!$B$15,"High engagement. ","")&amp;IF(AB548&gt;0,"Buying intent in message. ","")&amp;IF(AC548&lt;0,"Negative intent in message. ","")))</f>
        <v>High-value product. Negative intent in message.</v>
      </c>
      <c r="AG548" s="11" t="n">
        <f aca="false">IF(W548="Likely Spam","",1/(1+EXP(-('Conversion Model'!$B$5+IFERROR(INDEX('Conversion Model'!$B$8:$B$14,MATCH(C548,'Conversion Model'!$A$8:$A$14,0)),0)+IFERROR(INDEX('Conversion Model'!$E$8:$E$9,MATCH(F548,'Conversion Model'!$D$8:$D$9,0)),0)+IFERROR(INDEX('Conversion Model'!$H$8:$H$12,MATCH(IF(LEFT(J548,8)="Payments","Payments",IF(LEFT(J548,7)="Lending","Lending",J548)),'Conversion Model'!$G$8:$G$12,0)),0)+MIN(L548,15)*'Conversion Model'!$B$17+IF(SUMPRODUCT(--ISNUMBER(SEARCH('Scoring Model'!$D$16:$D$25,K548)))&gt;0,'Conversion Model'!$B$18,0)+IF(SUMPRODUCT(--ISNUMBER(SEARCH('Scoring Model'!$G$16:$G$23,K548)))&gt;0,'Conversion Model'!$B$19,0)))))</f>
        <v>0.00398589317334019</v>
      </c>
      <c r="AH548" s="3" t="str">
        <f aca="false">IF(OR(O548="Qualified",O548="Won",O548="Lost"),1,IF(O548="Unqualified",0,""))</f>
        <v/>
      </c>
    </row>
    <row r="549" customFormat="false" ht="15" hidden="false" customHeight="true" outlineLevel="0" collapsed="false">
      <c r="A549" s="3" t="s">
        <v>1936</v>
      </c>
      <c r="B549" s="9" t="n">
        <v>46177.2222222222</v>
      </c>
      <c r="C549" s="3" t="s">
        <v>91</v>
      </c>
      <c r="D549" s="3" t="s">
        <v>975</v>
      </c>
      <c r="E549" s="3" t="s">
        <v>1937</v>
      </c>
      <c r="F549" s="3" t="s">
        <v>54</v>
      </c>
      <c r="G549" s="3" t="s">
        <v>1840</v>
      </c>
      <c r="H549" s="3"/>
      <c r="I549" s="3" t="s">
        <v>334</v>
      </c>
      <c r="J549" s="3" t="s">
        <v>145</v>
      </c>
      <c r="K549" s="3" t="s">
        <v>378</v>
      </c>
      <c r="L549" s="3" t="n">
        <v>3</v>
      </c>
      <c r="M549" s="3" t="n">
        <v>28.8</v>
      </c>
      <c r="N549" s="3" t="s">
        <v>67</v>
      </c>
      <c r="O549" s="3" t="s">
        <v>194</v>
      </c>
      <c r="P549" s="10"/>
      <c r="Q549" s="3" t="n">
        <f aca="false">IF(F549="Disposable",1,0)</f>
        <v>0</v>
      </c>
      <c r="R549" s="3" t="n">
        <f aca="false">IF(SUMPRODUCT(--ISNUMBER(SEARCH('Spam Rules'!$A$22:$A$35,K549)))&gt;0,1,0)</f>
        <v>0</v>
      </c>
      <c r="S549" s="3" t="n">
        <f aca="false">IF(AND(F549="Free",G549=""),1,0)</f>
        <v>0</v>
      </c>
      <c r="T549" s="3" t="n">
        <f aca="false">IF(LEN(TRIM(K549))&lt;15,1,0)</f>
        <v>0</v>
      </c>
      <c r="U549" s="3" t="n">
        <f aca="false">IF(COUNTIF($E$2:$E$801,E549)&gt;1,1,0)</f>
        <v>0</v>
      </c>
      <c r="V549" s="3" t="n">
        <f aca="false">Q549*'Spam Rules'!$H$6+R549*'Spam Rules'!$H$7+S549*'Spam Rules'!$H$8+T549*'Spam Rules'!$H$9+U549*'Spam Rules'!$H$10</f>
        <v>0</v>
      </c>
      <c r="W549" s="3" t="str">
        <f aca="false">IF(V549&gt;='Spam Rules'!$B$3,"Likely Spam","Genuine")</f>
        <v>Genuine</v>
      </c>
      <c r="X549" s="3" t="n">
        <f aca="false">IFERROR(INDEX('Scoring Model'!$B$5:$B$11,MATCH(C549,'Scoring Model'!$A$5:$A$11,0)),0)</f>
        <v>5</v>
      </c>
      <c r="Y549" s="3" t="n">
        <f aca="false">IFERROR(INDEX('Scoring Model'!$E$5:$E$7,MATCH(F549,'Scoring Model'!$D$5:$D$7,0)),0)</f>
        <v>0</v>
      </c>
      <c r="Z549" s="3" t="n">
        <f aca="false">IFERROR(INDEX('Scoring Model'!$H$5:$H$13,MATCH(J549,'Scoring Model'!$G$5:$G$13,0)),0)</f>
        <v>5</v>
      </c>
      <c r="AA549" s="3" t="n">
        <f aca="false">IF(L549&gt;='Scoring Model'!$B$14,'Scoring Model'!$B$15,IF(L549&gt;='Scoring Model'!$B$16,'Scoring Model'!$B$17,0))</f>
        <v>0</v>
      </c>
      <c r="AB549" s="3" t="n">
        <f aca="false">IF(SUMPRODUCT(--ISNUMBER(SEARCH('Scoring Model'!$D$16:$D$25,K549)))&gt;0,'Scoring Model'!$B$18,0)</f>
        <v>0</v>
      </c>
      <c r="AC549" s="3" t="n">
        <f aca="false">IF(SUMPRODUCT(--ISNUMBER(SEARCH('Scoring Model'!$G$16:$G$23,K549)))&gt;0,'Scoring Model'!$B$19,0)</f>
        <v>-30</v>
      </c>
      <c r="AD549" s="3" t="n">
        <f aca="false">IF(W549="Likely Spam","",SUM(X549:AC549))</f>
        <v>-20</v>
      </c>
      <c r="AE549" s="3" t="str">
        <f aca="false">IF(W549="Likely Spam","Spam",IF(AD549&gt;='Scoring Model'!$B$21,"Hot",IF(AD549&gt;='Scoring Model'!$B$22,"Warm","Nurture")))</f>
        <v>Nurture</v>
      </c>
      <c r="AF549" s="3" t="str">
        <f aca="false">IF(W549="Likely Spam","Flagged by spam rules",TRIM(IF(X549&gt;=20,"Strong source. ","")&amp;IF(Y549&gt;0,"Company email. ","")&amp;IF(Z549&gt;=15,"High-value product. ","")&amp;IF(AA549&gt;='Scoring Model'!$B$15,"High engagement. ","")&amp;IF(AB549&gt;0,"Buying intent in message. ","")&amp;IF(AC549&lt;0,"Negative intent in message. ","")))</f>
        <v>Negative intent in message.</v>
      </c>
      <c r="AG549" s="11" t="n">
        <f aca="false">IF(W549="Likely Spam","",1/(1+EXP(-('Conversion Model'!$B$5+IFERROR(INDEX('Conversion Model'!$B$8:$B$14,MATCH(C549,'Conversion Model'!$A$8:$A$14,0)),0)+IFERROR(INDEX('Conversion Model'!$E$8:$E$9,MATCH(F549,'Conversion Model'!$D$8:$D$9,0)),0)+IFERROR(INDEX('Conversion Model'!$H$8:$H$12,MATCH(IF(LEFT(J549,8)="Payments","Payments",IF(LEFT(J549,7)="Lending","Lending",J549)),'Conversion Model'!$G$8:$G$12,0)),0)+MIN(L549,15)*'Conversion Model'!$B$17+IF(SUMPRODUCT(--ISNUMBER(SEARCH('Scoring Model'!$D$16:$D$25,K549)))&gt;0,'Conversion Model'!$B$18,0)+IF(SUMPRODUCT(--ISNUMBER(SEARCH('Scoring Model'!$G$16:$G$23,K549)))&gt;0,'Conversion Model'!$B$19,0)))))</f>
        <v>0.00468823425682458</v>
      </c>
      <c r="AH549" s="3" t="n">
        <f aca="false">IF(OR(O549="Qualified",O549="Won",O549="Lost"),1,IF(O549="Unqualified",0,""))</f>
        <v>0</v>
      </c>
    </row>
    <row r="550" customFormat="false" ht="15" hidden="false" customHeight="true" outlineLevel="0" collapsed="false">
      <c r="A550" s="3" t="s">
        <v>1938</v>
      </c>
      <c r="B550" s="9" t="n">
        <v>46177.3618055556</v>
      </c>
      <c r="C550" s="3" t="s">
        <v>135</v>
      </c>
      <c r="D550" s="3" t="s">
        <v>482</v>
      </c>
      <c r="E550" s="3" t="s">
        <v>1939</v>
      </c>
      <c r="F550" s="3" t="s">
        <v>22</v>
      </c>
      <c r="G550" s="3" t="s">
        <v>151</v>
      </c>
      <c r="H550" s="3" t="s">
        <v>152</v>
      </c>
      <c r="I550" s="3" t="s">
        <v>227</v>
      </c>
      <c r="J550" s="3" t="s">
        <v>117</v>
      </c>
      <c r="K550" s="3" t="s">
        <v>118</v>
      </c>
      <c r="L550" s="3" t="n">
        <v>5</v>
      </c>
      <c r="M550" s="3" t="n">
        <v>7.9</v>
      </c>
      <c r="N550" s="3" t="s">
        <v>171</v>
      </c>
      <c r="O550" s="3"/>
      <c r="P550" s="10"/>
      <c r="Q550" s="3" t="n">
        <f aca="false">IF(F550="Disposable",1,0)</f>
        <v>0</v>
      </c>
      <c r="R550" s="3" t="n">
        <f aca="false">IF(SUMPRODUCT(--ISNUMBER(SEARCH('Spam Rules'!$A$22:$A$35,K550)))&gt;0,1,0)</f>
        <v>0</v>
      </c>
      <c r="S550" s="3" t="n">
        <f aca="false">IF(AND(F550="Free",G550=""),1,0)</f>
        <v>0</v>
      </c>
      <c r="T550" s="3" t="n">
        <f aca="false">IF(LEN(TRIM(K550))&lt;15,1,0)</f>
        <v>0</v>
      </c>
      <c r="U550" s="3" t="n">
        <f aca="false">IF(COUNTIF($E$2:$E$801,E550)&gt;1,1,0)</f>
        <v>0</v>
      </c>
      <c r="V550" s="3" t="n">
        <f aca="false">Q550*'Spam Rules'!$H$6+R550*'Spam Rules'!$H$7+S550*'Spam Rules'!$H$8+T550*'Spam Rules'!$H$9+U550*'Spam Rules'!$H$10</f>
        <v>0</v>
      </c>
      <c r="W550" s="3" t="str">
        <f aca="false">IF(V550&gt;='Spam Rules'!$B$3,"Likely Spam","Genuine")</f>
        <v>Genuine</v>
      </c>
      <c r="X550" s="3" t="n">
        <f aca="false">IFERROR(INDEX('Scoring Model'!$B$5:$B$11,MATCH(C550,'Scoring Model'!$A$5:$A$11,0)),0)</f>
        <v>20</v>
      </c>
      <c r="Y550" s="3" t="n">
        <f aca="false">IFERROR(INDEX('Scoring Model'!$E$5:$E$7,MATCH(F550,'Scoring Model'!$D$5:$D$7,0)),0)</f>
        <v>20</v>
      </c>
      <c r="Z550" s="3" t="n">
        <f aca="false">IFERROR(INDEX('Scoring Model'!$H$5:$H$13,MATCH(J550,'Scoring Model'!$G$5:$G$13,0)),0)</f>
        <v>15</v>
      </c>
      <c r="AA550" s="3" t="n">
        <f aca="false">IF(L550&gt;='Scoring Model'!$B$14,'Scoring Model'!$B$15,IF(L550&gt;='Scoring Model'!$B$16,'Scoring Model'!$B$17,0))</f>
        <v>8</v>
      </c>
      <c r="AB550" s="3" t="n">
        <f aca="false">IF(SUMPRODUCT(--ISNUMBER(SEARCH('Scoring Model'!$D$16:$D$25,K550)))&gt;0,'Scoring Model'!$B$18,0)</f>
        <v>15</v>
      </c>
      <c r="AC550" s="3" t="n">
        <f aca="false">IF(SUMPRODUCT(--ISNUMBER(SEARCH('Scoring Model'!$G$16:$G$23,K550)))&gt;0,'Scoring Model'!$B$19,0)</f>
        <v>0</v>
      </c>
      <c r="AD550" s="3" t="n">
        <f aca="false">IF(W550="Likely Spam","",SUM(X550:AC550))</f>
        <v>78</v>
      </c>
      <c r="AE550" s="3" t="str">
        <f aca="false">IF(W550="Likely Spam","Spam",IF(AD550&gt;='Scoring Model'!$B$21,"Hot",IF(AD550&gt;='Scoring Model'!$B$22,"Warm","Nurture")))</f>
        <v>Hot</v>
      </c>
      <c r="AF550" s="3" t="str">
        <f aca="false">IF(W550="Likely Spam","Flagged by spam rules",TRIM(IF(X550&gt;=20,"Strong source. ","")&amp;IF(Y550&gt;0,"Company email. ","")&amp;IF(Z550&gt;=15,"High-value product. ","")&amp;IF(AA550&gt;='Scoring Model'!$B$15,"High engagement. ","")&amp;IF(AB550&gt;0,"Buying intent in message. ","")&amp;IF(AC550&lt;0,"Negative intent in message. ","")))</f>
        <v>Strong source. Company email. High-value product. Buying intent in message.</v>
      </c>
      <c r="AG550" s="11" t="n">
        <f aca="false">IF(W550="Likely Spam","",1/(1+EXP(-('Conversion Model'!$B$5+IFERROR(INDEX('Conversion Model'!$B$8:$B$14,MATCH(C550,'Conversion Model'!$A$8:$A$14,0)),0)+IFERROR(INDEX('Conversion Model'!$E$8:$E$9,MATCH(F550,'Conversion Model'!$D$8:$D$9,0)),0)+IFERROR(INDEX('Conversion Model'!$H$8:$H$12,MATCH(IF(LEFT(J550,8)="Payments","Payments",IF(LEFT(J550,7)="Lending","Lending",J550)),'Conversion Model'!$G$8:$G$12,0)),0)+MIN(L550,15)*'Conversion Model'!$B$17+IF(SUMPRODUCT(--ISNUMBER(SEARCH('Scoring Model'!$D$16:$D$25,K550)))&gt;0,'Conversion Model'!$B$18,0)+IF(SUMPRODUCT(--ISNUMBER(SEARCH('Scoring Model'!$G$16:$G$23,K550)))&gt;0,'Conversion Model'!$B$19,0)))))</f>
        <v>0.930603702366119</v>
      </c>
      <c r="AH550" s="3" t="str">
        <f aca="false">IF(OR(O550="Qualified",O550="Won",O550="Lost"),1,IF(O550="Unqualified",0,""))</f>
        <v/>
      </c>
    </row>
    <row r="551" customFormat="false" ht="15" hidden="false" customHeight="true" outlineLevel="0" collapsed="false">
      <c r="A551" s="3" t="s">
        <v>1940</v>
      </c>
      <c r="B551" s="9" t="n">
        <v>46177.4152777778</v>
      </c>
      <c r="C551" s="3" t="s">
        <v>128</v>
      </c>
      <c r="D551" s="3" t="s">
        <v>833</v>
      </c>
      <c r="E551" s="3" t="s">
        <v>1941</v>
      </c>
      <c r="F551" s="3" t="s">
        <v>22</v>
      </c>
      <c r="G551" s="3" t="s">
        <v>1833</v>
      </c>
      <c r="H551" s="3" t="s">
        <v>1834</v>
      </c>
      <c r="I551" s="3" t="s">
        <v>227</v>
      </c>
      <c r="J551" s="3" t="s">
        <v>108</v>
      </c>
      <c r="K551" s="3" t="s">
        <v>228</v>
      </c>
      <c r="L551" s="3" t="n">
        <v>6</v>
      </c>
      <c r="M551" s="3" t="n">
        <v>8</v>
      </c>
      <c r="N551" s="3" t="s">
        <v>59</v>
      </c>
      <c r="O551" s="3" t="s">
        <v>110</v>
      </c>
      <c r="P551" s="10"/>
      <c r="Q551" s="3" t="n">
        <f aca="false">IF(F551="Disposable",1,0)</f>
        <v>0</v>
      </c>
      <c r="R551" s="3" t="n">
        <f aca="false">IF(SUMPRODUCT(--ISNUMBER(SEARCH('Spam Rules'!$A$22:$A$35,K551)))&gt;0,1,0)</f>
        <v>0</v>
      </c>
      <c r="S551" s="3" t="n">
        <f aca="false">IF(AND(F551="Free",G551=""),1,0)</f>
        <v>0</v>
      </c>
      <c r="T551" s="3" t="n">
        <f aca="false">IF(LEN(TRIM(K551))&lt;15,1,0)</f>
        <v>0</v>
      </c>
      <c r="U551" s="3" t="n">
        <f aca="false">IF(COUNTIF($E$2:$E$801,E551)&gt;1,1,0)</f>
        <v>0</v>
      </c>
      <c r="V551" s="3" t="n">
        <f aca="false">Q551*'Spam Rules'!$H$6+R551*'Spam Rules'!$H$7+S551*'Spam Rules'!$H$8+T551*'Spam Rules'!$H$9+U551*'Spam Rules'!$H$10</f>
        <v>0</v>
      </c>
      <c r="W551" s="3" t="str">
        <f aca="false">IF(V551&gt;='Spam Rules'!$B$3,"Likely Spam","Genuine")</f>
        <v>Genuine</v>
      </c>
      <c r="X551" s="3" t="n">
        <f aca="false">IFERROR(INDEX('Scoring Model'!$B$5:$B$11,MATCH(C551,'Scoring Model'!$A$5:$A$11,0)),0)</f>
        <v>30</v>
      </c>
      <c r="Y551" s="3" t="n">
        <f aca="false">IFERROR(INDEX('Scoring Model'!$E$5:$E$7,MATCH(F551,'Scoring Model'!$D$5:$D$7,0)),0)</f>
        <v>20</v>
      </c>
      <c r="Z551" s="3" t="n">
        <f aca="false">IFERROR(INDEX('Scoring Model'!$H$5:$H$13,MATCH(J551,'Scoring Model'!$G$5:$G$13,0)),0)</f>
        <v>15</v>
      </c>
      <c r="AA551" s="3" t="n">
        <f aca="false">IF(L551&gt;='Scoring Model'!$B$14,'Scoring Model'!$B$15,IF(L551&gt;='Scoring Model'!$B$16,'Scoring Model'!$B$17,0))</f>
        <v>8</v>
      </c>
      <c r="AB551" s="3" t="n">
        <f aca="false">IF(SUMPRODUCT(--ISNUMBER(SEARCH('Scoring Model'!$D$16:$D$25,K551)))&gt;0,'Scoring Model'!$B$18,0)</f>
        <v>15</v>
      </c>
      <c r="AC551" s="3" t="n">
        <f aca="false">IF(SUMPRODUCT(--ISNUMBER(SEARCH('Scoring Model'!$G$16:$G$23,K551)))&gt;0,'Scoring Model'!$B$19,0)</f>
        <v>0</v>
      </c>
      <c r="AD551" s="3" t="n">
        <f aca="false">IF(W551="Likely Spam","",SUM(X551:AC551))</f>
        <v>88</v>
      </c>
      <c r="AE551" s="3" t="str">
        <f aca="false">IF(W551="Likely Spam","Spam",IF(AD551&gt;='Scoring Model'!$B$21,"Hot",IF(AD551&gt;='Scoring Model'!$B$22,"Warm","Nurture")))</f>
        <v>Hot</v>
      </c>
      <c r="AF551" s="3" t="str">
        <f aca="false">IF(W551="Likely Spam","Flagged by spam rules",TRIM(IF(X551&gt;=20,"Strong source. ","")&amp;IF(Y551&gt;0,"Company email. ","")&amp;IF(Z551&gt;=15,"High-value product. ","")&amp;IF(AA551&gt;='Scoring Model'!$B$15,"High engagement. ","")&amp;IF(AB551&gt;0,"Buying intent in message. ","")&amp;IF(AC551&lt;0,"Negative intent in message. ","")))</f>
        <v>Strong source. Company email. High-value product. Buying intent in message.</v>
      </c>
      <c r="AG551" s="11" t="n">
        <f aca="false">IF(W551="Likely Spam","",1/(1+EXP(-('Conversion Model'!$B$5+IFERROR(INDEX('Conversion Model'!$B$8:$B$14,MATCH(C551,'Conversion Model'!$A$8:$A$14,0)),0)+IFERROR(INDEX('Conversion Model'!$E$8:$E$9,MATCH(F551,'Conversion Model'!$D$8:$D$9,0)),0)+IFERROR(INDEX('Conversion Model'!$H$8:$H$12,MATCH(IF(LEFT(J551,8)="Payments","Payments",IF(LEFT(J551,7)="Lending","Lending",J551)),'Conversion Model'!$G$8:$G$12,0)),0)+MIN(L551,15)*'Conversion Model'!$B$17+IF(SUMPRODUCT(--ISNUMBER(SEARCH('Scoring Model'!$D$16:$D$25,K551)))&gt;0,'Conversion Model'!$B$18,0)+IF(SUMPRODUCT(--ISNUMBER(SEARCH('Scoring Model'!$G$16:$G$23,K551)))&gt;0,'Conversion Model'!$B$19,0)))))</f>
        <v>0.941750232915189</v>
      </c>
      <c r="AH551" s="3" t="n">
        <f aca="false">IF(OR(O551="Qualified",O551="Won",O551="Lost"),1,IF(O551="Unqualified",0,""))</f>
        <v>1</v>
      </c>
    </row>
    <row r="552" customFormat="false" ht="15" hidden="false" customHeight="true" outlineLevel="0" collapsed="false">
      <c r="A552" s="3" t="s">
        <v>1942</v>
      </c>
      <c r="B552" s="9" t="n">
        <v>46178.2104166667</v>
      </c>
      <c r="C552" s="3" t="s">
        <v>76</v>
      </c>
      <c r="D552" s="3" t="s">
        <v>1943</v>
      </c>
      <c r="E552" s="3" t="s">
        <v>1578</v>
      </c>
      <c r="F552" s="3" t="s">
        <v>22</v>
      </c>
      <c r="G552" s="3" t="s">
        <v>321</v>
      </c>
      <c r="H552" s="3" t="s">
        <v>388</v>
      </c>
      <c r="I552" s="3" t="s">
        <v>139</v>
      </c>
      <c r="J552" s="3" t="s">
        <v>122</v>
      </c>
      <c r="K552" s="3" t="s">
        <v>66</v>
      </c>
      <c r="L552" s="3" t="n">
        <v>2</v>
      </c>
      <c r="M552" s="3" t="n">
        <v>10.4</v>
      </c>
      <c r="N552" s="3" t="s">
        <v>96</v>
      </c>
      <c r="O552" s="3"/>
      <c r="P552" s="10"/>
      <c r="Q552" s="3" t="n">
        <f aca="false">IF(F552="Disposable",1,0)</f>
        <v>0</v>
      </c>
      <c r="R552" s="3" t="n">
        <f aca="false">IF(SUMPRODUCT(--ISNUMBER(SEARCH('Spam Rules'!$A$22:$A$35,K552)))&gt;0,1,0)</f>
        <v>1</v>
      </c>
      <c r="S552" s="3" t="n">
        <f aca="false">IF(AND(F552="Free",G552=""),1,0)</f>
        <v>0</v>
      </c>
      <c r="T552" s="3" t="n">
        <f aca="false">IF(LEN(TRIM(K552))&lt;15,1,0)</f>
        <v>0</v>
      </c>
      <c r="U552" s="3" t="n">
        <f aca="false">IF(COUNTIF($E$2:$E$801,E552)&gt;1,1,0)</f>
        <v>1</v>
      </c>
      <c r="V552" s="3" t="n">
        <f aca="false">Q552*'Spam Rules'!$H$6+R552*'Spam Rules'!$H$7+S552*'Spam Rules'!$H$8+T552*'Spam Rules'!$H$9+U552*'Spam Rules'!$H$10</f>
        <v>1</v>
      </c>
      <c r="W552" s="3" t="str">
        <f aca="false">IF(V552&gt;='Spam Rules'!$B$3,"Likely Spam","Genuine")</f>
        <v>Likely Spam</v>
      </c>
      <c r="X552" s="3" t="n">
        <f aca="false">IFERROR(INDEX('Scoring Model'!$B$5:$B$11,MATCH(C552,'Scoring Model'!$A$5:$A$11,0)),0)</f>
        <v>0</v>
      </c>
      <c r="Y552" s="3" t="n">
        <f aca="false">IFERROR(INDEX('Scoring Model'!$E$5:$E$7,MATCH(F552,'Scoring Model'!$D$5:$D$7,0)),0)</f>
        <v>20</v>
      </c>
      <c r="Z552" s="3" t="n">
        <f aca="false">IFERROR(INDEX('Scoring Model'!$H$5:$H$13,MATCH(J552,'Scoring Model'!$G$5:$G$13,0)),0)</f>
        <v>15</v>
      </c>
      <c r="AA552" s="3" t="n">
        <f aca="false">IF(L552&gt;='Scoring Model'!$B$14,'Scoring Model'!$B$15,IF(L552&gt;='Scoring Model'!$B$16,'Scoring Model'!$B$17,0))</f>
        <v>0</v>
      </c>
      <c r="AB552" s="3" t="n">
        <f aca="false">IF(SUMPRODUCT(--ISNUMBER(SEARCH('Scoring Model'!$D$16:$D$25,K552)))&gt;0,'Scoring Model'!$B$18,0)</f>
        <v>0</v>
      </c>
      <c r="AC552" s="3" t="n">
        <f aca="false">IF(SUMPRODUCT(--ISNUMBER(SEARCH('Scoring Model'!$G$16:$G$23,K552)))&gt;0,'Scoring Model'!$B$19,0)</f>
        <v>0</v>
      </c>
      <c r="AD552" s="3" t="str">
        <f aca="false">IF(W552="Likely Spam","",SUM(X552:AC552))</f>
        <v/>
      </c>
      <c r="AE552" s="3" t="str">
        <f aca="false">IF(W552="Likely Spam","Spam",IF(AD552&gt;='Scoring Model'!$B$21,"Hot",IF(AD552&gt;='Scoring Model'!$B$22,"Warm","Nurture")))</f>
        <v>Spam</v>
      </c>
      <c r="AF552" s="3" t="str">
        <f aca="false">IF(W552="Likely Spam","Flagged by spam rules",TRIM(IF(X552&gt;=20,"Strong source. ","")&amp;IF(Y552&gt;0,"Company email. ","")&amp;IF(Z552&gt;=15,"High-value product. ","")&amp;IF(AA552&gt;='Scoring Model'!$B$15,"High engagement. ","")&amp;IF(AB552&gt;0,"Buying intent in message. ","")&amp;IF(AC552&lt;0,"Negative intent in message. ","")))</f>
        <v>Flagged by spam rules</v>
      </c>
      <c r="AG552" s="11" t="str">
        <f aca="false">IF(W552="Likely Spam","",1/(1+EXP(-('Conversion Model'!$B$5+IFERROR(INDEX('Conversion Model'!$B$8:$B$14,MATCH(C552,'Conversion Model'!$A$8:$A$14,0)),0)+IFERROR(INDEX('Conversion Model'!$E$8:$E$9,MATCH(F552,'Conversion Model'!$D$8:$D$9,0)),0)+IFERROR(INDEX('Conversion Model'!$H$8:$H$12,MATCH(IF(LEFT(J552,8)="Payments","Payments",IF(LEFT(J552,7)="Lending","Lending",J552)),'Conversion Model'!$G$8:$G$12,0)),0)+MIN(L552,15)*'Conversion Model'!$B$17+IF(SUMPRODUCT(--ISNUMBER(SEARCH('Scoring Model'!$D$16:$D$25,K552)))&gt;0,'Conversion Model'!$B$18,0)+IF(SUMPRODUCT(--ISNUMBER(SEARCH('Scoring Model'!$G$16:$G$23,K552)))&gt;0,'Conversion Model'!$B$19,0)))))</f>
        <v/>
      </c>
      <c r="AH552" s="3" t="str">
        <f aca="false">IF(OR(O552="Qualified",O552="Won",O552="Lost"),1,IF(O552="Unqualified",0,""))</f>
        <v/>
      </c>
    </row>
    <row r="553" customFormat="false" ht="15" hidden="false" customHeight="true" outlineLevel="0" collapsed="false">
      <c r="A553" s="3" t="s">
        <v>1944</v>
      </c>
      <c r="B553" s="9" t="n">
        <v>46178.2805555556</v>
      </c>
      <c r="C553" s="3" t="s">
        <v>91</v>
      </c>
      <c r="D553" s="3" t="s">
        <v>1113</v>
      </c>
      <c r="E553" s="3" t="s">
        <v>1945</v>
      </c>
      <c r="F553" s="3" t="s">
        <v>54</v>
      </c>
      <c r="G553" s="3" t="s">
        <v>798</v>
      </c>
      <c r="H553" s="3"/>
      <c r="I553" s="3" t="s">
        <v>94</v>
      </c>
      <c r="J553" s="3" t="s">
        <v>65</v>
      </c>
      <c r="K553" s="3" t="s">
        <v>213</v>
      </c>
      <c r="L553" s="3" t="n">
        <v>1</v>
      </c>
      <c r="M553" s="3" t="n">
        <v>6.9</v>
      </c>
      <c r="N553" s="3" t="s">
        <v>96</v>
      </c>
      <c r="O553" s="3" t="s">
        <v>194</v>
      </c>
      <c r="P553" s="10"/>
      <c r="Q553" s="3" t="n">
        <f aca="false">IF(F553="Disposable",1,0)</f>
        <v>0</v>
      </c>
      <c r="R553" s="3" t="n">
        <f aca="false">IF(SUMPRODUCT(--ISNUMBER(SEARCH('Spam Rules'!$A$22:$A$35,K553)))&gt;0,1,0)</f>
        <v>0</v>
      </c>
      <c r="S553" s="3" t="n">
        <f aca="false">IF(AND(F553="Free",G553=""),1,0)</f>
        <v>0</v>
      </c>
      <c r="T553" s="3" t="n">
        <f aca="false">IF(LEN(TRIM(K553))&lt;15,1,0)</f>
        <v>0</v>
      </c>
      <c r="U553" s="3" t="n">
        <f aca="false">IF(COUNTIF($E$2:$E$801,E553)&gt;1,1,0)</f>
        <v>0</v>
      </c>
      <c r="V553" s="3" t="n">
        <f aca="false">Q553*'Spam Rules'!$H$6+R553*'Spam Rules'!$H$7+S553*'Spam Rules'!$H$8+T553*'Spam Rules'!$H$9+U553*'Spam Rules'!$H$10</f>
        <v>0</v>
      </c>
      <c r="W553" s="3" t="str">
        <f aca="false">IF(V553&gt;='Spam Rules'!$B$3,"Likely Spam","Genuine")</f>
        <v>Genuine</v>
      </c>
      <c r="X553" s="3" t="n">
        <f aca="false">IFERROR(INDEX('Scoring Model'!$B$5:$B$11,MATCH(C553,'Scoring Model'!$A$5:$A$11,0)),0)</f>
        <v>5</v>
      </c>
      <c r="Y553" s="3" t="n">
        <f aca="false">IFERROR(INDEX('Scoring Model'!$E$5:$E$7,MATCH(F553,'Scoring Model'!$D$5:$D$7,0)),0)</f>
        <v>0</v>
      </c>
      <c r="Z553" s="3" t="n">
        <f aca="false">IFERROR(INDEX('Scoring Model'!$H$5:$H$13,MATCH(J553,'Scoring Model'!$G$5:$G$13,0)),0)</f>
        <v>0</v>
      </c>
      <c r="AA553" s="3" t="n">
        <f aca="false">IF(L553&gt;='Scoring Model'!$B$14,'Scoring Model'!$B$15,IF(L553&gt;='Scoring Model'!$B$16,'Scoring Model'!$B$17,0))</f>
        <v>0</v>
      </c>
      <c r="AB553" s="3" t="n">
        <f aca="false">IF(SUMPRODUCT(--ISNUMBER(SEARCH('Scoring Model'!$D$16:$D$25,K553)))&gt;0,'Scoring Model'!$B$18,0)</f>
        <v>0</v>
      </c>
      <c r="AC553" s="3" t="n">
        <f aca="false">IF(SUMPRODUCT(--ISNUMBER(SEARCH('Scoring Model'!$G$16:$G$23,K553)))&gt;0,'Scoring Model'!$B$19,0)</f>
        <v>-30</v>
      </c>
      <c r="AD553" s="3" t="n">
        <f aca="false">IF(W553="Likely Spam","",SUM(X553:AC553))</f>
        <v>-25</v>
      </c>
      <c r="AE553" s="3" t="str">
        <f aca="false">IF(W553="Likely Spam","Spam",IF(AD553&gt;='Scoring Model'!$B$21,"Hot",IF(AD553&gt;='Scoring Model'!$B$22,"Warm","Nurture")))</f>
        <v>Nurture</v>
      </c>
      <c r="AF553" s="3" t="str">
        <f aca="false">IF(W553="Likely Spam","Flagged by spam rules",TRIM(IF(X553&gt;=20,"Strong source. ","")&amp;IF(Y553&gt;0,"Company email. ","")&amp;IF(Z553&gt;=15,"High-value product. ","")&amp;IF(AA553&gt;='Scoring Model'!$B$15,"High engagement. ","")&amp;IF(AB553&gt;0,"Buying intent in message. ","")&amp;IF(AC553&lt;0,"Negative intent in message. ","")))</f>
        <v>Negative intent in message.</v>
      </c>
      <c r="AG553" s="11" t="n">
        <f aca="false">IF(W553="Likely Spam","",1/(1+EXP(-('Conversion Model'!$B$5+IFERROR(INDEX('Conversion Model'!$B$8:$B$14,MATCH(C553,'Conversion Model'!$A$8:$A$14,0)),0)+IFERROR(INDEX('Conversion Model'!$E$8:$E$9,MATCH(F553,'Conversion Model'!$D$8:$D$9,0)),0)+IFERROR(INDEX('Conversion Model'!$H$8:$H$12,MATCH(IF(LEFT(J553,8)="Payments","Payments",IF(LEFT(J553,7)="Lending","Lending",J553)),'Conversion Model'!$G$8:$G$12,0)),0)+MIN(L553,15)*'Conversion Model'!$B$17+IF(SUMPRODUCT(--ISNUMBER(SEARCH('Scoring Model'!$D$16:$D$25,K553)))&gt;0,'Conversion Model'!$B$18,0)+IF(SUMPRODUCT(--ISNUMBER(SEARCH('Scoring Model'!$G$16:$G$23,K553)))&gt;0,'Conversion Model'!$B$19,0)))))</f>
        <v>0.000679142643711316</v>
      </c>
      <c r="AH553" s="3" t="n">
        <f aca="false">IF(OR(O553="Qualified",O553="Won",O553="Lost"),1,IF(O553="Unqualified",0,""))</f>
        <v>0</v>
      </c>
    </row>
    <row r="554" customFormat="false" ht="15" hidden="false" customHeight="true" outlineLevel="0" collapsed="false">
      <c r="A554" s="3" t="s">
        <v>1946</v>
      </c>
      <c r="B554" s="9" t="n">
        <v>46179.35625</v>
      </c>
      <c r="C554" s="3" t="s">
        <v>160</v>
      </c>
      <c r="D554" s="3" t="s">
        <v>1947</v>
      </c>
      <c r="E554" s="3" t="s">
        <v>721</v>
      </c>
      <c r="F554" s="3" t="s">
        <v>54</v>
      </c>
      <c r="G554" s="3"/>
      <c r="H554" s="3"/>
      <c r="I554" s="3" t="s">
        <v>64</v>
      </c>
      <c r="J554" s="3" t="s">
        <v>81</v>
      </c>
      <c r="K554" s="3" t="s">
        <v>239</v>
      </c>
      <c r="L554" s="3" t="n">
        <v>1</v>
      </c>
      <c r="M554" s="3"/>
      <c r="N554" s="3" t="s">
        <v>96</v>
      </c>
      <c r="O554" s="3" t="s">
        <v>68</v>
      </c>
      <c r="P554" s="10"/>
      <c r="Q554" s="3" t="n">
        <f aca="false">IF(F554="Disposable",1,0)</f>
        <v>0</v>
      </c>
      <c r="R554" s="3" t="n">
        <f aca="false">IF(SUMPRODUCT(--ISNUMBER(SEARCH('Spam Rules'!$A$22:$A$35,K554)))&gt;0,1,0)</f>
        <v>1</v>
      </c>
      <c r="S554" s="3" t="n">
        <f aca="false">IF(AND(F554="Free",G554=""),1,0)</f>
        <v>1</v>
      </c>
      <c r="T554" s="3" t="n">
        <f aca="false">IF(LEN(TRIM(K554))&lt;15,1,0)</f>
        <v>0</v>
      </c>
      <c r="U554" s="3" t="n">
        <f aca="false">IF(COUNTIF($E$2:$E$801,E554)&gt;1,1,0)</f>
        <v>1</v>
      </c>
      <c r="V554" s="3" t="n">
        <f aca="false">Q554*'Spam Rules'!$H$6+R554*'Spam Rules'!$H$7+S554*'Spam Rules'!$H$8+T554*'Spam Rules'!$H$9+U554*'Spam Rules'!$H$10</f>
        <v>1</v>
      </c>
      <c r="W554" s="3" t="str">
        <f aca="false">IF(V554&gt;='Spam Rules'!$B$3,"Likely Spam","Genuine")</f>
        <v>Likely Spam</v>
      </c>
      <c r="X554" s="3" t="n">
        <f aca="false">IFERROR(INDEX('Scoring Model'!$B$5:$B$11,MATCH(C554,'Scoring Model'!$A$5:$A$11,0)),0)</f>
        <v>25</v>
      </c>
      <c r="Y554" s="3" t="n">
        <f aca="false">IFERROR(INDEX('Scoring Model'!$E$5:$E$7,MATCH(F554,'Scoring Model'!$D$5:$D$7,0)),0)</f>
        <v>0</v>
      </c>
      <c r="Z554" s="3" t="n">
        <f aca="false">IFERROR(INDEX('Scoring Model'!$H$5:$H$13,MATCH(J554,'Scoring Model'!$G$5:$G$13,0)),0)</f>
        <v>5</v>
      </c>
      <c r="AA554" s="3" t="n">
        <f aca="false">IF(L554&gt;='Scoring Model'!$B$14,'Scoring Model'!$B$15,IF(L554&gt;='Scoring Model'!$B$16,'Scoring Model'!$B$17,0))</f>
        <v>0</v>
      </c>
      <c r="AB554" s="3" t="n">
        <f aca="false">IF(SUMPRODUCT(--ISNUMBER(SEARCH('Scoring Model'!$D$16:$D$25,K554)))&gt;0,'Scoring Model'!$B$18,0)</f>
        <v>0</v>
      </c>
      <c r="AC554" s="3" t="n">
        <f aca="false">IF(SUMPRODUCT(--ISNUMBER(SEARCH('Scoring Model'!$G$16:$G$23,K554)))&gt;0,'Scoring Model'!$B$19,0)</f>
        <v>0</v>
      </c>
      <c r="AD554" s="3" t="str">
        <f aca="false">IF(W554="Likely Spam","",SUM(X554:AC554))</f>
        <v/>
      </c>
      <c r="AE554" s="3" t="str">
        <f aca="false">IF(W554="Likely Spam","Spam",IF(AD554&gt;='Scoring Model'!$B$21,"Hot",IF(AD554&gt;='Scoring Model'!$B$22,"Warm","Nurture")))</f>
        <v>Spam</v>
      </c>
      <c r="AF554" s="3" t="str">
        <f aca="false">IF(W554="Likely Spam","Flagged by spam rules",TRIM(IF(X554&gt;=20,"Strong source. ","")&amp;IF(Y554&gt;0,"Company email. ","")&amp;IF(Z554&gt;=15,"High-value product. ","")&amp;IF(AA554&gt;='Scoring Model'!$B$15,"High engagement. ","")&amp;IF(AB554&gt;0,"Buying intent in message. ","")&amp;IF(AC554&lt;0,"Negative intent in message. ","")))</f>
        <v>Flagged by spam rules</v>
      </c>
      <c r="AG554" s="11" t="str">
        <f aca="false">IF(W554="Likely Spam","",1/(1+EXP(-('Conversion Model'!$B$5+IFERROR(INDEX('Conversion Model'!$B$8:$B$14,MATCH(C554,'Conversion Model'!$A$8:$A$14,0)),0)+IFERROR(INDEX('Conversion Model'!$E$8:$E$9,MATCH(F554,'Conversion Model'!$D$8:$D$9,0)),0)+IFERROR(INDEX('Conversion Model'!$H$8:$H$12,MATCH(IF(LEFT(J554,8)="Payments","Payments",IF(LEFT(J554,7)="Lending","Lending",J554)),'Conversion Model'!$G$8:$G$12,0)),0)+MIN(L554,15)*'Conversion Model'!$B$17+IF(SUMPRODUCT(--ISNUMBER(SEARCH('Scoring Model'!$D$16:$D$25,K554)))&gt;0,'Conversion Model'!$B$18,0)+IF(SUMPRODUCT(--ISNUMBER(SEARCH('Scoring Model'!$G$16:$G$23,K554)))&gt;0,'Conversion Model'!$B$19,0)))))</f>
        <v/>
      </c>
      <c r="AH554" s="3" t="str">
        <f aca="false">IF(OR(O554="Qualified",O554="Won",O554="Lost"),1,IF(O554="Unqualified",0,""))</f>
        <v/>
      </c>
    </row>
    <row r="555" customFormat="false" ht="15" hidden="false" customHeight="true" outlineLevel="0" collapsed="false">
      <c r="A555" s="3" t="s">
        <v>1948</v>
      </c>
      <c r="B555" s="9" t="n">
        <v>46179.4479166667</v>
      </c>
      <c r="C555" s="3" t="s">
        <v>51</v>
      </c>
      <c r="D555" s="3" t="s">
        <v>1057</v>
      </c>
      <c r="E555" s="3" t="s">
        <v>1583</v>
      </c>
      <c r="F555" s="3" t="s">
        <v>63</v>
      </c>
      <c r="G555" s="3"/>
      <c r="H555" s="3"/>
      <c r="I555" s="3" t="s">
        <v>107</v>
      </c>
      <c r="J555" s="3" t="s">
        <v>65</v>
      </c>
      <c r="K555" s="3" t="s">
        <v>126</v>
      </c>
      <c r="L555" s="3" t="n">
        <v>1</v>
      </c>
      <c r="M555" s="3" t="n">
        <v>15.9</v>
      </c>
      <c r="N555" s="3" t="s">
        <v>96</v>
      </c>
      <c r="O555" s="3" t="s">
        <v>68</v>
      </c>
      <c r="P555" s="10"/>
      <c r="Q555" s="3" t="n">
        <f aca="false">IF(F555="Disposable",1,0)</f>
        <v>1</v>
      </c>
      <c r="R555" s="3" t="n">
        <f aca="false">IF(SUMPRODUCT(--ISNUMBER(SEARCH('Spam Rules'!$A$22:$A$35,K555)))&gt;0,1,0)</f>
        <v>0</v>
      </c>
      <c r="S555" s="3" t="n">
        <f aca="false">IF(AND(F555="Free",G555=""),1,0)</f>
        <v>0</v>
      </c>
      <c r="T555" s="3" t="n">
        <f aca="false">IF(LEN(TRIM(K555))&lt;15,1,0)</f>
        <v>1</v>
      </c>
      <c r="U555" s="3" t="n">
        <f aca="false">IF(COUNTIF($E$2:$E$801,E555)&gt;1,1,0)</f>
        <v>1</v>
      </c>
      <c r="V555" s="3" t="n">
        <f aca="false">Q555*'Spam Rules'!$H$6+R555*'Spam Rules'!$H$7+S555*'Spam Rules'!$H$8+T555*'Spam Rules'!$H$9+U555*'Spam Rules'!$H$10</f>
        <v>2</v>
      </c>
      <c r="W555" s="3" t="str">
        <f aca="false">IF(V555&gt;='Spam Rules'!$B$3,"Likely Spam","Genuine")</f>
        <v>Likely Spam</v>
      </c>
      <c r="X555" s="3" t="n">
        <f aca="false">IFERROR(INDEX('Scoring Model'!$B$5:$B$11,MATCH(C555,'Scoring Model'!$A$5:$A$11,0)),0)</f>
        <v>10</v>
      </c>
      <c r="Y555" s="3" t="n">
        <f aca="false">IFERROR(INDEX('Scoring Model'!$E$5:$E$7,MATCH(F555,'Scoring Model'!$D$5:$D$7,0)),0)</f>
        <v>0</v>
      </c>
      <c r="Z555" s="3" t="n">
        <f aca="false">IFERROR(INDEX('Scoring Model'!$H$5:$H$13,MATCH(J555,'Scoring Model'!$G$5:$G$13,0)),0)</f>
        <v>0</v>
      </c>
      <c r="AA555" s="3" t="n">
        <f aca="false">IF(L555&gt;='Scoring Model'!$B$14,'Scoring Model'!$B$15,IF(L555&gt;='Scoring Model'!$B$16,'Scoring Model'!$B$17,0))</f>
        <v>0</v>
      </c>
      <c r="AB555" s="3" t="n">
        <f aca="false">IF(SUMPRODUCT(--ISNUMBER(SEARCH('Scoring Model'!$D$16:$D$25,K555)))&gt;0,'Scoring Model'!$B$18,0)</f>
        <v>0</v>
      </c>
      <c r="AC555" s="3" t="n">
        <f aca="false">IF(SUMPRODUCT(--ISNUMBER(SEARCH('Scoring Model'!$G$16:$G$23,K555)))&gt;0,'Scoring Model'!$B$19,0)</f>
        <v>0</v>
      </c>
      <c r="AD555" s="3" t="str">
        <f aca="false">IF(W555="Likely Spam","",SUM(X555:AC555))</f>
        <v/>
      </c>
      <c r="AE555" s="3" t="str">
        <f aca="false">IF(W555="Likely Spam","Spam",IF(AD555&gt;='Scoring Model'!$B$21,"Hot",IF(AD555&gt;='Scoring Model'!$B$22,"Warm","Nurture")))</f>
        <v>Spam</v>
      </c>
      <c r="AF555" s="3" t="str">
        <f aca="false">IF(W555="Likely Spam","Flagged by spam rules",TRIM(IF(X555&gt;=20,"Strong source. ","")&amp;IF(Y555&gt;0,"Company email. ","")&amp;IF(Z555&gt;=15,"High-value product. ","")&amp;IF(AA555&gt;='Scoring Model'!$B$15,"High engagement. ","")&amp;IF(AB555&gt;0,"Buying intent in message. ","")&amp;IF(AC555&lt;0,"Negative intent in message. ","")))</f>
        <v>Flagged by spam rules</v>
      </c>
      <c r="AG555" s="11" t="str">
        <f aca="false">IF(W555="Likely Spam","",1/(1+EXP(-('Conversion Model'!$B$5+IFERROR(INDEX('Conversion Model'!$B$8:$B$14,MATCH(C555,'Conversion Model'!$A$8:$A$14,0)),0)+IFERROR(INDEX('Conversion Model'!$E$8:$E$9,MATCH(F555,'Conversion Model'!$D$8:$D$9,0)),0)+IFERROR(INDEX('Conversion Model'!$H$8:$H$12,MATCH(IF(LEFT(J555,8)="Payments","Payments",IF(LEFT(J555,7)="Lending","Lending",J555)),'Conversion Model'!$G$8:$G$12,0)),0)+MIN(L555,15)*'Conversion Model'!$B$17+IF(SUMPRODUCT(--ISNUMBER(SEARCH('Scoring Model'!$D$16:$D$25,K555)))&gt;0,'Conversion Model'!$B$18,0)+IF(SUMPRODUCT(--ISNUMBER(SEARCH('Scoring Model'!$G$16:$G$23,K555)))&gt;0,'Conversion Model'!$B$19,0)))))</f>
        <v/>
      </c>
      <c r="AH555" s="3" t="str">
        <f aca="false">IF(OR(O555="Qualified",O555="Won",O555="Lost"),1,IF(O555="Unqualified",0,""))</f>
        <v/>
      </c>
    </row>
    <row r="556" customFormat="false" ht="15" hidden="false" customHeight="true" outlineLevel="0" collapsed="false">
      <c r="A556" s="3" t="s">
        <v>1949</v>
      </c>
      <c r="B556" s="9" t="n">
        <v>46179.8868055556</v>
      </c>
      <c r="C556" s="3" t="s">
        <v>76</v>
      </c>
      <c r="D556" s="3" t="s">
        <v>1950</v>
      </c>
      <c r="E556" s="3" t="s">
        <v>1951</v>
      </c>
      <c r="F556" s="3" t="s">
        <v>54</v>
      </c>
      <c r="G556" s="3"/>
      <c r="H556" s="3"/>
      <c r="I556" s="3" t="s">
        <v>64</v>
      </c>
      <c r="J556" s="3" t="s">
        <v>145</v>
      </c>
      <c r="K556" s="3" t="s">
        <v>101</v>
      </c>
      <c r="L556" s="3" t="n">
        <v>3</v>
      </c>
      <c r="M556" s="3" t="n">
        <v>9.6</v>
      </c>
      <c r="N556" s="3" t="s">
        <v>67</v>
      </c>
      <c r="O556" s="3" t="s">
        <v>194</v>
      </c>
      <c r="P556" s="10"/>
      <c r="Q556" s="3" t="n">
        <f aca="false">IF(F556="Disposable",1,0)</f>
        <v>0</v>
      </c>
      <c r="R556" s="3" t="n">
        <f aca="false">IF(SUMPRODUCT(--ISNUMBER(SEARCH('Spam Rules'!$A$22:$A$35,K556)))&gt;0,1,0)</f>
        <v>0</v>
      </c>
      <c r="S556" s="3" t="n">
        <f aca="false">IF(AND(F556="Free",G556=""),1,0)</f>
        <v>1</v>
      </c>
      <c r="T556" s="3" t="n">
        <f aca="false">IF(LEN(TRIM(K556))&lt;15,1,0)</f>
        <v>0</v>
      </c>
      <c r="U556" s="3" t="n">
        <f aca="false">IF(COUNTIF($E$2:$E$801,E556)&gt;1,1,0)</f>
        <v>0</v>
      </c>
      <c r="V556" s="3" t="n">
        <f aca="false">Q556*'Spam Rules'!$H$6+R556*'Spam Rules'!$H$7+S556*'Spam Rules'!$H$8+T556*'Spam Rules'!$H$9+U556*'Spam Rules'!$H$10</f>
        <v>0</v>
      </c>
      <c r="W556" s="3" t="str">
        <f aca="false">IF(V556&gt;='Spam Rules'!$B$3,"Likely Spam","Genuine")</f>
        <v>Genuine</v>
      </c>
      <c r="X556" s="3" t="n">
        <f aca="false">IFERROR(INDEX('Scoring Model'!$B$5:$B$11,MATCH(C556,'Scoring Model'!$A$5:$A$11,0)),0)</f>
        <v>0</v>
      </c>
      <c r="Y556" s="3" t="n">
        <f aca="false">IFERROR(INDEX('Scoring Model'!$E$5:$E$7,MATCH(F556,'Scoring Model'!$D$5:$D$7,0)),0)</f>
        <v>0</v>
      </c>
      <c r="Z556" s="3" t="n">
        <f aca="false">IFERROR(INDEX('Scoring Model'!$H$5:$H$13,MATCH(J556,'Scoring Model'!$G$5:$G$13,0)),0)</f>
        <v>5</v>
      </c>
      <c r="AA556" s="3" t="n">
        <f aca="false">IF(L556&gt;='Scoring Model'!$B$14,'Scoring Model'!$B$15,IF(L556&gt;='Scoring Model'!$B$16,'Scoring Model'!$B$17,0))</f>
        <v>0</v>
      </c>
      <c r="AB556" s="3" t="n">
        <f aca="false">IF(SUMPRODUCT(--ISNUMBER(SEARCH('Scoring Model'!$D$16:$D$25,K556)))&gt;0,'Scoring Model'!$B$18,0)</f>
        <v>0</v>
      </c>
      <c r="AC556" s="3" t="n">
        <f aca="false">IF(SUMPRODUCT(--ISNUMBER(SEARCH('Scoring Model'!$G$16:$G$23,K556)))&gt;0,'Scoring Model'!$B$19,0)</f>
        <v>-30</v>
      </c>
      <c r="AD556" s="3" t="n">
        <f aca="false">IF(W556="Likely Spam","",SUM(X556:AC556))</f>
        <v>-25</v>
      </c>
      <c r="AE556" s="3" t="str">
        <f aca="false">IF(W556="Likely Spam","Spam",IF(AD556&gt;='Scoring Model'!$B$21,"Hot",IF(AD556&gt;='Scoring Model'!$B$22,"Warm","Nurture")))</f>
        <v>Nurture</v>
      </c>
      <c r="AF556" s="3" t="str">
        <f aca="false">IF(W556="Likely Spam","Flagged by spam rules",TRIM(IF(X556&gt;=20,"Strong source. ","")&amp;IF(Y556&gt;0,"Company email. ","")&amp;IF(Z556&gt;=15,"High-value product. ","")&amp;IF(AA556&gt;='Scoring Model'!$B$15,"High engagement. ","")&amp;IF(AB556&gt;0,"Buying intent in message. ","")&amp;IF(AC556&lt;0,"Negative intent in message. ","")))</f>
        <v>Negative intent in message.</v>
      </c>
      <c r="AG556" s="11" t="n">
        <f aca="false">IF(W556="Likely Spam","",1/(1+EXP(-('Conversion Model'!$B$5+IFERROR(INDEX('Conversion Model'!$B$8:$B$14,MATCH(C556,'Conversion Model'!$A$8:$A$14,0)),0)+IFERROR(INDEX('Conversion Model'!$E$8:$E$9,MATCH(F556,'Conversion Model'!$D$8:$D$9,0)),0)+IFERROR(INDEX('Conversion Model'!$H$8:$H$12,MATCH(IF(LEFT(J556,8)="Payments","Payments",IF(LEFT(J556,7)="Lending","Lending",J556)),'Conversion Model'!$G$8:$G$12,0)),0)+MIN(L556,15)*'Conversion Model'!$B$17+IF(SUMPRODUCT(--ISNUMBER(SEARCH('Scoring Model'!$D$16:$D$25,K556)))&gt;0,'Conversion Model'!$B$18,0)+IF(SUMPRODUCT(--ISNUMBER(SEARCH('Scoring Model'!$G$16:$G$23,K556)))&gt;0,'Conversion Model'!$B$19,0)))))</f>
        <v>0.00469290282354794</v>
      </c>
      <c r="AH556" s="3" t="n">
        <f aca="false">IF(OR(O556="Qualified",O556="Won",O556="Lost"),1,IF(O556="Unqualified",0,""))</f>
        <v>0</v>
      </c>
    </row>
    <row r="557" customFormat="false" ht="15" hidden="false" customHeight="true" outlineLevel="0" collapsed="false">
      <c r="A557" s="3" t="s">
        <v>1952</v>
      </c>
      <c r="B557" s="9" t="n">
        <v>46180.6076388889</v>
      </c>
      <c r="C557" s="3" t="s">
        <v>76</v>
      </c>
      <c r="D557" s="3" t="s">
        <v>1116</v>
      </c>
      <c r="E557" s="3" t="s">
        <v>1953</v>
      </c>
      <c r="F557" s="3" t="s">
        <v>54</v>
      </c>
      <c r="G557" s="3" t="s">
        <v>237</v>
      </c>
      <c r="H557" s="3"/>
      <c r="I557" s="3" t="s">
        <v>188</v>
      </c>
      <c r="J557" s="3" t="s">
        <v>122</v>
      </c>
      <c r="K557" s="3" t="s">
        <v>170</v>
      </c>
      <c r="L557" s="3" t="n">
        <v>2</v>
      </c>
      <c r="M557" s="3" t="n">
        <v>7.9</v>
      </c>
      <c r="N557" s="3" t="s">
        <v>96</v>
      </c>
      <c r="O557" s="3" t="s">
        <v>68</v>
      </c>
      <c r="P557" s="10"/>
      <c r="Q557" s="3" t="n">
        <f aca="false">IF(F557="Disposable",1,0)</f>
        <v>0</v>
      </c>
      <c r="R557" s="3" t="n">
        <f aca="false">IF(SUMPRODUCT(--ISNUMBER(SEARCH('Spam Rules'!$A$22:$A$35,K557)))&gt;0,1,0)</f>
        <v>0</v>
      </c>
      <c r="S557" s="3" t="n">
        <f aca="false">IF(AND(F557="Free",G557=""),1,0)</f>
        <v>0</v>
      </c>
      <c r="T557" s="3" t="n">
        <f aca="false">IF(LEN(TRIM(K557))&lt;15,1,0)</f>
        <v>1</v>
      </c>
      <c r="U557" s="3" t="n">
        <f aca="false">IF(COUNTIF($E$2:$E$801,E557)&gt;1,1,0)</f>
        <v>0</v>
      </c>
      <c r="V557" s="3" t="n">
        <f aca="false">Q557*'Spam Rules'!$H$6+R557*'Spam Rules'!$H$7+S557*'Spam Rules'!$H$8+T557*'Spam Rules'!$H$9+U557*'Spam Rules'!$H$10</f>
        <v>1</v>
      </c>
      <c r="W557" s="3" t="str">
        <f aca="false">IF(V557&gt;='Spam Rules'!$B$3,"Likely Spam","Genuine")</f>
        <v>Likely Spam</v>
      </c>
      <c r="X557" s="3" t="n">
        <f aca="false">IFERROR(INDEX('Scoring Model'!$B$5:$B$11,MATCH(C557,'Scoring Model'!$A$5:$A$11,0)),0)</f>
        <v>0</v>
      </c>
      <c r="Y557" s="3" t="n">
        <f aca="false">IFERROR(INDEX('Scoring Model'!$E$5:$E$7,MATCH(F557,'Scoring Model'!$D$5:$D$7,0)),0)</f>
        <v>0</v>
      </c>
      <c r="Z557" s="3" t="n">
        <f aca="false">IFERROR(INDEX('Scoring Model'!$H$5:$H$13,MATCH(J557,'Scoring Model'!$G$5:$G$13,0)),0)</f>
        <v>15</v>
      </c>
      <c r="AA557" s="3" t="n">
        <f aca="false">IF(L557&gt;='Scoring Model'!$B$14,'Scoring Model'!$B$15,IF(L557&gt;='Scoring Model'!$B$16,'Scoring Model'!$B$17,0))</f>
        <v>0</v>
      </c>
      <c r="AB557" s="3" t="n">
        <f aca="false">IF(SUMPRODUCT(--ISNUMBER(SEARCH('Scoring Model'!$D$16:$D$25,K557)))&gt;0,'Scoring Model'!$B$18,0)</f>
        <v>0</v>
      </c>
      <c r="AC557" s="3" t="n">
        <f aca="false">IF(SUMPRODUCT(--ISNUMBER(SEARCH('Scoring Model'!$G$16:$G$23,K557)))&gt;0,'Scoring Model'!$B$19,0)</f>
        <v>0</v>
      </c>
      <c r="AD557" s="3" t="str">
        <f aca="false">IF(W557="Likely Spam","",SUM(X557:AC557))</f>
        <v/>
      </c>
      <c r="AE557" s="3" t="str">
        <f aca="false">IF(W557="Likely Spam","Spam",IF(AD557&gt;='Scoring Model'!$B$21,"Hot",IF(AD557&gt;='Scoring Model'!$B$22,"Warm","Nurture")))</f>
        <v>Spam</v>
      </c>
      <c r="AF557" s="3" t="str">
        <f aca="false">IF(W557="Likely Spam","Flagged by spam rules",TRIM(IF(X557&gt;=20,"Strong source. ","")&amp;IF(Y557&gt;0,"Company email. ","")&amp;IF(Z557&gt;=15,"High-value product. ","")&amp;IF(AA557&gt;='Scoring Model'!$B$15,"High engagement. ","")&amp;IF(AB557&gt;0,"Buying intent in message. ","")&amp;IF(AC557&lt;0,"Negative intent in message. ","")))</f>
        <v>Flagged by spam rules</v>
      </c>
      <c r="AG557" s="11" t="str">
        <f aca="false">IF(W557="Likely Spam","",1/(1+EXP(-('Conversion Model'!$B$5+IFERROR(INDEX('Conversion Model'!$B$8:$B$14,MATCH(C557,'Conversion Model'!$A$8:$A$14,0)),0)+IFERROR(INDEX('Conversion Model'!$E$8:$E$9,MATCH(F557,'Conversion Model'!$D$8:$D$9,0)),0)+IFERROR(INDEX('Conversion Model'!$H$8:$H$12,MATCH(IF(LEFT(J557,8)="Payments","Payments",IF(LEFT(J557,7)="Lending","Lending",J557)),'Conversion Model'!$G$8:$G$12,0)),0)+MIN(L557,15)*'Conversion Model'!$B$17+IF(SUMPRODUCT(--ISNUMBER(SEARCH('Scoring Model'!$D$16:$D$25,K557)))&gt;0,'Conversion Model'!$B$18,0)+IF(SUMPRODUCT(--ISNUMBER(SEARCH('Scoring Model'!$G$16:$G$23,K557)))&gt;0,'Conversion Model'!$B$19,0)))))</f>
        <v/>
      </c>
      <c r="AH557" s="3" t="str">
        <f aca="false">IF(OR(O557="Qualified",O557="Won",O557="Lost"),1,IF(O557="Unqualified",0,""))</f>
        <v/>
      </c>
    </row>
    <row r="558" customFormat="false" ht="15" hidden="false" customHeight="true" outlineLevel="0" collapsed="false">
      <c r="A558" s="3" t="s">
        <v>1954</v>
      </c>
      <c r="B558" s="9" t="n">
        <v>46180.9631944444</v>
      </c>
      <c r="C558" s="3" t="s">
        <v>76</v>
      </c>
      <c r="D558" s="3" t="s">
        <v>482</v>
      </c>
      <c r="E558" s="3" t="s">
        <v>1526</v>
      </c>
      <c r="F558" s="3" t="s">
        <v>22</v>
      </c>
      <c r="G558" s="3" t="s">
        <v>79</v>
      </c>
      <c r="H558" s="3" t="s">
        <v>886</v>
      </c>
      <c r="I558" s="3" t="s">
        <v>204</v>
      </c>
      <c r="J558" s="3" t="s">
        <v>65</v>
      </c>
      <c r="K558" s="3" t="s">
        <v>89</v>
      </c>
      <c r="L558" s="3" t="n">
        <v>2</v>
      </c>
      <c r="M558" s="3" t="n">
        <v>19.3</v>
      </c>
      <c r="N558" s="3" t="s">
        <v>67</v>
      </c>
      <c r="O558" s="3" t="s">
        <v>68</v>
      </c>
      <c r="P558" s="10"/>
      <c r="Q558" s="3" t="n">
        <f aca="false">IF(F558="Disposable",1,0)</f>
        <v>0</v>
      </c>
      <c r="R558" s="3" t="n">
        <f aca="false">IF(SUMPRODUCT(--ISNUMBER(SEARCH('Spam Rules'!$A$22:$A$35,K558)))&gt;0,1,0)</f>
        <v>1</v>
      </c>
      <c r="S558" s="3" t="n">
        <f aca="false">IF(AND(F558="Free",G558=""),1,0)</f>
        <v>0</v>
      </c>
      <c r="T558" s="3" t="n">
        <f aca="false">IF(LEN(TRIM(K558))&lt;15,1,0)</f>
        <v>0</v>
      </c>
      <c r="U558" s="3" t="n">
        <f aca="false">IF(COUNTIF($E$2:$E$801,E558)&gt;1,1,0)</f>
        <v>1</v>
      </c>
      <c r="V558" s="3" t="n">
        <f aca="false">Q558*'Spam Rules'!$H$6+R558*'Spam Rules'!$H$7+S558*'Spam Rules'!$H$8+T558*'Spam Rules'!$H$9+U558*'Spam Rules'!$H$10</f>
        <v>1</v>
      </c>
      <c r="W558" s="3" t="str">
        <f aca="false">IF(V558&gt;='Spam Rules'!$B$3,"Likely Spam","Genuine")</f>
        <v>Likely Spam</v>
      </c>
      <c r="X558" s="3" t="n">
        <f aca="false">IFERROR(INDEX('Scoring Model'!$B$5:$B$11,MATCH(C558,'Scoring Model'!$A$5:$A$11,0)),0)</f>
        <v>0</v>
      </c>
      <c r="Y558" s="3" t="n">
        <f aca="false">IFERROR(INDEX('Scoring Model'!$E$5:$E$7,MATCH(F558,'Scoring Model'!$D$5:$D$7,0)),0)</f>
        <v>20</v>
      </c>
      <c r="Z558" s="3" t="n">
        <f aca="false">IFERROR(INDEX('Scoring Model'!$H$5:$H$13,MATCH(J558,'Scoring Model'!$G$5:$G$13,0)),0)</f>
        <v>0</v>
      </c>
      <c r="AA558" s="3" t="n">
        <f aca="false">IF(L558&gt;='Scoring Model'!$B$14,'Scoring Model'!$B$15,IF(L558&gt;='Scoring Model'!$B$16,'Scoring Model'!$B$17,0))</f>
        <v>0</v>
      </c>
      <c r="AB558" s="3" t="n">
        <f aca="false">IF(SUMPRODUCT(--ISNUMBER(SEARCH('Scoring Model'!$D$16:$D$25,K558)))&gt;0,'Scoring Model'!$B$18,0)</f>
        <v>0</v>
      </c>
      <c r="AC558" s="3" t="n">
        <f aca="false">IF(SUMPRODUCT(--ISNUMBER(SEARCH('Scoring Model'!$G$16:$G$23,K558)))&gt;0,'Scoring Model'!$B$19,0)</f>
        <v>0</v>
      </c>
      <c r="AD558" s="3" t="str">
        <f aca="false">IF(W558="Likely Spam","",SUM(X558:AC558))</f>
        <v/>
      </c>
      <c r="AE558" s="3" t="str">
        <f aca="false">IF(W558="Likely Spam","Spam",IF(AD558&gt;='Scoring Model'!$B$21,"Hot",IF(AD558&gt;='Scoring Model'!$B$22,"Warm","Nurture")))</f>
        <v>Spam</v>
      </c>
      <c r="AF558" s="3" t="str">
        <f aca="false">IF(W558="Likely Spam","Flagged by spam rules",TRIM(IF(X558&gt;=20,"Strong source. ","")&amp;IF(Y558&gt;0,"Company email. ","")&amp;IF(Z558&gt;=15,"High-value product. ","")&amp;IF(AA558&gt;='Scoring Model'!$B$15,"High engagement. ","")&amp;IF(AB558&gt;0,"Buying intent in message. ","")&amp;IF(AC558&lt;0,"Negative intent in message. ","")))</f>
        <v>Flagged by spam rules</v>
      </c>
      <c r="AG558" s="11" t="str">
        <f aca="false">IF(W558="Likely Spam","",1/(1+EXP(-('Conversion Model'!$B$5+IFERROR(INDEX('Conversion Model'!$B$8:$B$14,MATCH(C558,'Conversion Model'!$A$8:$A$14,0)),0)+IFERROR(INDEX('Conversion Model'!$E$8:$E$9,MATCH(F558,'Conversion Model'!$D$8:$D$9,0)),0)+IFERROR(INDEX('Conversion Model'!$H$8:$H$12,MATCH(IF(LEFT(J558,8)="Payments","Payments",IF(LEFT(J558,7)="Lending","Lending",J558)),'Conversion Model'!$G$8:$G$12,0)),0)+MIN(L558,15)*'Conversion Model'!$B$17+IF(SUMPRODUCT(--ISNUMBER(SEARCH('Scoring Model'!$D$16:$D$25,K558)))&gt;0,'Conversion Model'!$B$18,0)+IF(SUMPRODUCT(--ISNUMBER(SEARCH('Scoring Model'!$G$16:$G$23,K558)))&gt;0,'Conversion Model'!$B$19,0)))))</f>
        <v/>
      </c>
      <c r="AH558" s="3" t="str">
        <f aca="false">IF(OR(O558="Qualified",O558="Won",O558="Lost"),1,IF(O558="Unqualified",0,""))</f>
        <v/>
      </c>
    </row>
    <row r="559" customFormat="false" ht="15" hidden="false" customHeight="true" outlineLevel="0" collapsed="false">
      <c r="A559" s="3" t="s">
        <v>1955</v>
      </c>
      <c r="B559" s="9" t="n">
        <v>46181.4666666667</v>
      </c>
      <c r="C559" s="3" t="s">
        <v>160</v>
      </c>
      <c r="D559" s="3" t="s">
        <v>693</v>
      </c>
      <c r="E559" s="3" t="s">
        <v>1956</v>
      </c>
      <c r="F559" s="3" t="s">
        <v>22</v>
      </c>
      <c r="G559" s="3" t="s">
        <v>917</v>
      </c>
      <c r="H559" s="3" t="s">
        <v>1099</v>
      </c>
      <c r="I559" s="3" t="s">
        <v>88</v>
      </c>
      <c r="J559" s="3" t="s">
        <v>117</v>
      </c>
      <c r="K559" s="3" t="s">
        <v>1957</v>
      </c>
      <c r="L559" s="3" t="n">
        <v>5</v>
      </c>
      <c r="M559" s="3" t="n">
        <v>5.5</v>
      </c>
      <c r="N559" s="3" t="s">
        <v>67</v>
      </c>
      <c r="O559" s="3" t="s">
        <v>331</v>
      </c>
      <c r="P559" s="10"/>
      <c r="Q559" s="3" t="n">
        <f aca="false">IF(F559="Disposable",1,0)</f>
        <v>0</v>
      </c>
      <c r="R559" s="3" t="n">
        <f aca="false">IF(SUMPRODUCT(--ISNUMBER(SEARCH('Spam Rules'!$A$22:$A$35,K559)))&gt;0,1,0)</f>
        <v>0</v>
      </c>
      <c r="S559" s="3" t="n">
        <f aca="false">IF(AND(F559="Free",G559=""),1,0)</f>
        <v>0</v>
      </c>
      <c r="T559" s="3" t="n">
        <f aca="false">IF(LEN(TRIM(K559))&lt;15,1,0)</f>
        <v>0</v>
      </c>
      <c r="U559" s="3" t="n">
        <f aca="false">IF(COUNTIF($E$2:$E$801,E559)&gt;1,1,0)</f>
        <v>0</v>
      </c>
      <c r="V559" s="3" t="n">
        <f aca="false">Q559*'Spam Rules'!$H$6+R559*'Spam Rules'!$H$7+S559*'Spam Rules'!$H$8+T559*'Spam Rules'!$H$9+U559*'Spam Rules'!$H$10</f>
        <v>0</v>
      </c>
      <c r="W559" s="3" t="str">
        <f aca="false">IF(V559&gt;='Spam Rules'!$B$3,"Likely Spam","Genuine")</f>
        <v>Genuine</v>
      </c>
      <c r="X559" s="3" t="n">
        <f aca="false">IFERROR(INDEX('Scoring Model'!$B$5:$B$11,MATCH(C559,'Scoring Model'!$A$5:$A$11,0)),0)</f>
        <v>25</v>
      </c>
      <c r="Y559" s="3" t="n">
        <f aca="false">IFERROR(INDEX('Scoring Model'!$E$5:$E$7,MATCH(F559,'Scoring Model'!$D$5:$D$7,0)),0)</f>
        <v>20</v>
      </c>
      <c r="Z559" s="3" t="n">
        <f aca="false">IFERROR(INDEX('Scoring Model'!$H$5:$H$13,MATCH(J559,'Scoring Model'!$G$5:$G$13,0)),0)</f>
        <v>15</v>
      </c>
      <c r="AA559" s="3" t="n">
        <f aca="false">IF(L559&gt;='Scoring Model'!$B$14,'Scoring Model'!$B$15,IF(L559&gt;='Scoring Model'!$B$16,'Scoring Model'!$B$17,0))</f>
        <v>8</v>
      </c>
      <c r="AB559" s="3" t="n">
        <f aca="false">IF(SUMPRODUCT(--ISNUMBER(SEARCH('Scoring Model'!$D$16:$D$25,K559)))&gt;0,'Scoring Model'!$B$18,0)</f>
        <v>15</v>
      </c>
      <c r="AC559" s="3" t="n">
        <f aca="false">IF(SUMPRODUCT(--ISNUMBER(SEARCH('Scoring Model'!$G$16:$G$23,K559)))&gt;0,'Scoring Model'!$B$19,0)</f>
        <v>0</v>
      </c>
      <c r="AD559" s="3" t="n">
        <f aca="false">IF(W559="Likely Spam","",SUM(X559:AC559))</f>
        <v>83</v>
      </c>
      <c r="AE559" s="3" t="str">
        <f aca="false">IF(W559="Likely Spam","Spam",IF(AD559&gt;='Scoring Model'!$B$21,"Hot",IF(AD559&gt;='Scoring Model'!$B$22,"Warm","Nurture")))</f>
        <v>Hot</v>
      </c>
      <c r="AF559" s="3" t="str">
        <f aca="false">IF(W559="Likely Spam","Flagged by spam rules",TRIM(IF(X559&gt;=20,"Strong source. ","")&amp;IF(Y559&gt;0,"Company email. ","")&amp;IF(Z559&gt;=15,"High-value product. ","")&amp;IF(AA559&gt;='Scoring Model'!$B$15,"High engagement. ","")&amp;IF(AB559&gt;0,"Buying intent in message. ","")&amp;IF(AC559&lt;0,"Negative intent in message. ","")))</f>
        <v>Strong source. Company email. High-value product. Buying intent in message.</v>
      </c>
      <c r="AG559" s="11" t="n">
        <f aca="false">IF(W559="Likely Spam","",1/(1+EXP(-('Conversion Model'!$B$5+IFERROR(INDEX('Conversion Model'!$B$8:$B$14,MATCH(C559,'Conversion Model'!$A$8:$A$14,0)),0)+IFERROR(INDEX('Conversion Model'!$E$8:$E$9,MATCH(F559,'Conversion Model'!$D$8:$D$9,0)),0)+IFERROR(INDEX('Conversion Model'!$H$8:$H$12,MATCH(IF(LEFT(J559,8)="Payments","Payments",IF(LEFT(J559,7)="Lending","Lending",J559)),'Conversion Model'!$G$8:$G$12,0)),0)+MIN(L559,15)*'Conversion Model'!$B$17+IF(SUMPRODUCT(--ISNUMBER(SEARCH('Scoring Model'!$D$16:$D$25,K559)))&gt;0,'Conversion Model'!$B$18,0)+IF(SUMPRODUCT(--ISNUMBER(SEARCH('Scoring Model'!$G$16:$G$23,K559)))&gt;0,'Conversion Model'!$B$19,0)))))</f>
        <v>0.903523267757436</v>
      </c>
      <c r="AH559" s="3" t="n">
        <f aca="false">IF(OR(O559="Qualified",O559="Won",O559="Lost"),1,IF(O559="Unqualified",0,""))</f>
        <v>1</v>
      </c>
    </row>
    <row r="560" customFormat="false" ht="15" hidden="false" customHeight="true" outlineLevel="0" collapsed="false">
      <c r="A560" s="3" t="s">
        <v>1958</v>
      </c>
      <c r="B560" s="9" t="n">
        <v>46181.4805555556</v>
      </c>
      <c r="C560" s="3" t="s">
        <v>51</v>
      </c>
      <c r="D560" s="3" t="s">
        <v>784</v>
      </c>
      <c r="E560" s="3" t="s">
        <v>1959</v>
      </c>
      <c r="F560" s="3" t="s">
        <v>22</v>
      </c>
      <c r="G560" s="3" t="s">
        <v>502</v>
      </c>
      <c r="H560" s="3" t="s">
        <v>1960</v>
      </c>
      <c r="I560" s="3" t="s">
        <v>116</v>
      </c>
      <c r="J560" s="3" t="s">
        <v>122</v>
      </c>
      <c r="K560" s="3" t="s">
        <v>146</v>
      </c>
      <c r="L560" s="3" t="n">
        <v>10</v>
      </c>
      <c r="M560" s="3" t="n">
        <v>25.4</v>
      </c>
      <c r="N560" s="3" t="s">
        <v>96</v>
      </c>
      <c r="O560" s="3" t="s">
        <v>147</v>
      </c>
      <c r="P560" s="10" t="n">
        <v>96000</v>
      </c>
      <c r="Q560" s="3" t="n">
        <f aca="false">IF(F560="Disposable",1,0)</f>
        <v>0</v>
      </c>
      <c r="R560" s="3" t="n">
        <f aca="false">IF(SUMPRODUCT(--ISNUMBER(SEARCH('Spam Rules'!$A$22:$A$35,K560)))&gt;0,1,0)</f>
        <v>0</v>
      </c>
      <c r="S560" s="3" t="n">
        <f aca="false">IF(AND(F560="Free",G560=""),1,0)</f>
        <v>0</v>
      </c>
      <c r="T560" s="3" t="n">
        <f aca="false">IF(LEN(TRIM(K560))&lt;15,1,0)</f>
        <v>0</v>
      </c>
      <c r="U560" s="3" t="n">
        <f aca="false">IF(COUNTIF($E$2:$E$801,E560)&gt;1,1,0)</f>
        <v>0</v>
      </c>
      <c r="V560" s="3" t="n">
        <f aca="false">Q560*'Spam Rules'!$H$6+R560*'Spam Rules'!$H$7+S560*'Spam Rules'!$H$8+T560*'Spam Rules'!$H$9+U560*'Spam Rules'!$H$10</f>
        <v>0</v>
      </c>
      <c r="W560" s="3" t="str">
        <f aca="false">IF(V560&gt;='Spam Rules'!$B$3,"Likely Spam","Genuine")</f>
        <v>Genuine</v>
      </c>
      <c r="X560" s="3" t="n">
        <f aca="false">IFERROR(INDEX('Scoring Model'!$B$5:$B$11,MATCH(C560,'Scoring Model'!$A$5:$A$11,0)),0)</f>
        <v>10</v>
      </c>
      <c r="Y560" s="3" t="n">
        <f aca="false">IFERROR(INDEX('Scoring Model'!$E$5:$E$7,MATCH(F560,'Scoring Model'!$D$5:$D$7,0)),0)</f>
        <v>20</v>
      </c>
      <c r="Z560" s="3" t="n">
        <f aca="false">IFERROR(INDEX('Scoring Model'!$H$5:$H$13,MATCH(J560,'Scoring Model'!$G$5:$G$13,0)),0)</f>
        <v>15</v>
      </c>
      <c r="AA560" s="3" t="n">
        <f aca="false">IF(L560&gt;='Scoring Model'!$B$14,'Scoring Model'!$B$15,IF(L560&gt;='Scoring Model'!$B$16,'Scoring Model'!$B$17,0))</f>
        <v>15</v>
      </c>
      <c r="AB560" s="3" t="n">
        <f aca="false">IF(SUMPRODUCT(--ISNUMBER(SEARCH('Scoring Model'!$D$16:$D$25,K560)))&gt;0,'Scoring Model'!$B$18,0)</f>
        <v>15</v>
      </c>
      <c r="AC560" s="3" t="n">
        <f aca="false">IF(SUMPRODUCT(--ISNUMBER(SEARCH('Scoring Model'!$G$16:$G$23,K560)))&gt;0,'Scoring Model'!$B$19,0)</f>
        <v>0</v>
      </c>
      <c r="AD560" s="3" t="n">
        <f aca="false">IF(W560="Likely Spam","",SUM(X560:AC560))</f>
        <v>75</v>
      </c>
      <c r="AE560" s="3" t="str">
        <f aca="false">IF(W560="Likely Spam","Spam",IF(AD560&gt;='Scoring Model'!$B$21,"Hot",IF(AD560&gt;='Scoring Model'!$B$22,"Warm","Nurture")))</f>
        <v>Hot</v>
      </c>
      <c r="AF560" s="3" t="str">
        <f aca="false">IF(W560="Likely Spam","Flagged by spam rules",TRIM(IF(X560&gt;=20,"Strong source. ","")&amp;IF(Y560&gt;0,"Company email. ","")&amp;IF(Z560&gt;=15,"High-value product. ","")&amp;IF(AA560&gt;='Scoring Model'!$B$15,"High engagement. ","")&amp;IF(AB560&gt;0,"Buying intent in message. ","")&amp;IF(AC560&lt;0,"Negative intent in message. ","")))</f>
        <v>Company email. High-value product. High engagement. Buying intent in message.</v>
      </c>
      <c r="AG560" s="11" t="n">
        <f aca="false">IF(W560="Likely Spam","",1/(1+EXP(-('Conversion Model'!$B$5+IFERROR(INDEX('Conversion Model'!$B$8:$B$14,MATCH(C560,'Conversion Model'!$A$8:$A$14,0)),0)+IFERROR(INDEX('Conversion Model'!$E$8:$E$9,MATCH(F560,'Conversion Model'!$D$8:$D$9,0)),0)+IFERROR(INDEX('Conversion Model'!$H$8:$H$12,MATCH(IF(LEFT(J560,8)="Payments","Payments",IF(LEFT(J560,7)="Lending","Lending",J560)),'Conversion Model'!$G$8:$G$12,0)),0)+MIN(L560,15)*'Conversion Model'!$B$17+IF(SUMPRODUCT(--ISNUMBER(SEARCH('Scoring Model'!$D$16:$D$25,K560)))&gt;0,'Conversion Model'!$B$18,0)+IF(SUMPRODUCT(--ISNUMBER(SEARCH('Scoring Model'!$G$16:$G$23,K560)))&gt;0,'Conversion Model'!$B$19,0)))))</f>
        <v>0.991796849421052</v>
      </c>
      <c r="AH560" s="3" t="n">
        <f aca="false">IF(OR(O560="Qualified",O560="Won",O560="Lost"),1,IF(O560="Unqualified",0,""))</f>
        <v>1</v>
      </c>
    </row>
    <row r="561" customFormat="false" ht="15" hidden="false" customHeight="true" outlineLevel="0" collapsed="false">
      <c r="A561" s="3" t="s">
        <v>1961</v>
      </c>
      <c r="B561" s="9" t="n">
        <v>46181.8506944445</v>
      </c>
      <c r="C561" s="3" t="s">
        <v>76</v>
      </c>
      <c r="D561" s="3" t="s">
        <v>1962</v>
      </c>
      <c r="E561" s="3" t="s">
        <v>1963</v>
      </c>
      <c r="F561" s="3" t="s">
        <v>54</v>
      </c>
      <c r="G561" s="3" t="s">
        <v>237</v>
      </c>
      <c r="H561" s="3"/>
      <c r="I561" s="3" t="s">
        <v>73</v>
      </c>
      <c r="J561" s="3" t="s">
        <v>65</v>
      </c>
      <c r="K561" s="3" t="s">
        <v>95</v>
      </c>
      <c r="L561" s="3" t="n">
        <v>1</v>
      </c>
      <c r="M561" s="3" t="n">
        <v>32.9</v>
      </c>
      <c r="N561" s="3" t="s">
        <v>96</v>
      </c>
      <c r="O561" s="3" t="s">
        <v>68</v>
      </c>
      <c r="P561" s="10"/>
      <c r="Q561" s="3" t="n">
        <f aca="false">IF(F561="Disposable",1,0)</f>
        <v>0</v>
      </c>
      <c r="R561" s="3" t="n">
        <f aca="false">IF(SUMPRODUCT(--ISNUMBER(SEARCH('Spam Rules'!$A$22:$A$35,K561)))&gt;0,1,0)</f>
        <v>1</v>
      </c>
      <c r="S561" s="3" t="n">
        <f aca="false">IF(AND(F561="Free",G561=""),1,0)</f>
        <v>0</v>
      </c>
      <c r="T561" s="3" t="n">
        <f aca="false">IF(LEN(TRIM(K561))&lt;15,1,0)</f>
        <v>0</v>
      </c>
      <c r="U561" s="3" t="n">
        <f aca="false">IF(COUNTIF($E$2:$E$801,E561)&gt;1,1,0)</f>
        <v>0</v>
      </c>
      <c r="V561" s="3" t="n">
        <f aca="false">Q561*'Spam Rules'!$H$6+R561*'Spam Rules'!$H$7+S561*'Spam Rules'!$H$8+T561*'Spam Rules'!$H$9+U561*'Spam Rules'!$H$10</f>
        <v>1</v>
      </c>
      <c r="W561" s="3" t="str">
        <f aca="false">IF(V561&gt;='Spam Rules'!$B$3,"Likely Spam","Genuine")</f>
        <v>Likely Spam</v>
      </c>
      <c r="X561" s="3" t="n">
        <f aca="false">IFERROR(INDEX('Scoring Model'!$B$5:$B$11,MATCH(C561,'Scoring Model'!$A$5:$A$11,0)),0)</f>
        <v>0</v>
      </c>
      <c r="Y561" s="3" t="n">
        <f aca="false">IFERROR(INDEX('Scoring Model'!$E$5:$E$7,MATCH(F561,'Scoring Model'!$D$5:$D$7,0)),0)</f>
        <v>0</v>
      </c>
      <c r="Z561" s="3" t="n">
        <f aca="false">IFERROR(INDEX('Scoring Model'!$H$5:$H$13,MATCH(J561,'Scoring Model'!$G$5:$G$13,0)),0)</f>
        <v>0</v>
      </c>
      <c r="AA561" s="3" t="n">
        <f aca="false">IF(L561&gt;='Scoring Model'!$B$14,'Scoring Model'!$B$15,IF(L561&gt;='Scoring Model'!$B$16,'Scoring Model'!$B$17,0))</f>
        <v>0</v>
      </c>
      <c r="AB561" s="3" t="n">
        <f aca="false">IF(SUMPRODUCT(--ISNUMBER(SEARCH('Scoring Model'!$D$16:$D$25,K561)))&gt;0,'Scoring Model'!$B$18,0)</f>
        <v>0</v>
      </c>
      <c r="AC561" s="3" t="n">
        <f aca="false">IF(SUMPRODUCT(--ISNUMBER(SEARCH('Scoring Model'!$G$16:$G$23,K561)))&gt;0,'Scoring Model'!$B$19,0)</f>
        <v>0</v>
      </c>
      <c r="AD561" s="3" t="str">
        <f aca="false">IF(W561="Likely Spam","",SUM(X561:AC561))</f>
        <v/>
      </c>
      <c r="AE561" s="3" t="str">
        <f aca="false">IF(W561="Likely Spam","Spam",IF(AD561&gt;='Scoring Model'!$B$21,"Hot",IF(AD561&gt;='Scoring Model'!$B$22,"Warm","Nurture")))</f>
        <v>Spam</v>
      </c>
      <c r="AF561" s="3" t="str">
        <f aca="false">IF(W561="Likely Spam","Flagged by spam rules",TRIM(IF(X561&gt;=20,"Strong source. ","")&amp;IF(Y561&gt;0,"Company email. ","")&amp;IF(Z561&gt;=15,"High-value product. ","")&amp;IF(AA561&gt;='Scoring Model'!$B$15,"High engagement. ","")&amp;IF(AB561&gt;0,"Buying intent in message. ","")&amp;IF(AC561&lt;0,"Negative intent in message. ","")))</f>
        <v>Flagged by spam rules</v>
      </c>
      <c r="AG561" s="11" t="str">
        <f aca="false">IF(W561="Likely Spam","",1/(1+EXP(-('Conversion Model'!$B$5+IFERROR(INDEX('Conversion Model'!$B$8:$B$14,MATCH(C561,'Conversion Model'!$A$8:$A$14,0)),0)+IFERROR(INDEX('Conversion Model'!$E$8:$E$9,MATCH(F561,'Conversion Model'!$D$8:$D$9,0)),0)+IFERROR(INDEX('Conversion Model'!$H$8:$H$12,MATCH(IF(LEFT(J561,8)="Payments","Payments",IF(LEFT(J561,7)="Lending","Lending",J561)),'Conversion Model'!$G$8:$G$12,0)),0)+MIN(L561,15)*'Conversion Model'!$B$17+IF(SUMPRODUCT(--ISNUMBER(SEARCH('Scoring Model'!$D$16:$D$25,K561)))&gt;0,'Conversion Model'!$B$18,0)+IF(SUMPRODUCT(--ISNUMBER(SEARCH('Scoring Model'!$G$16:$G$23,K561)))&gt;0,'Conversion Model'!$B$19,0)))))</f>
        <v/>
      </c>
      <c r="AH561" s="3" t="str">
        <f aca="false">IF(OR(O561="Qualified",O561="Won",O561="Lost"),1,IF(O561="Unqualified",0,""))</f>
        <v/>
      </c>
    </row>
    <row r="562" customFormat="false" ht="15" hidden="false" customHeight="true" outlineLevel="0" collapsed="false">
      <c r="A562" s="3" t="s">
        <v>1964</v>
      </c>
      <c r="B562" s="9" t="n">
        <v>46182.0597222222</v>
      </c>
      <c r="C562" s="3" t="s">
        <v>91</v>
      </c>
      <c r="D562" s="3" t="s">
        <v>1965</v>
      </c>
      <c r="E562" s="3" t="s">
        <v>169</v>
      </c>
      <c r="F562" s="3" t="s">
        <v>22</v>
      </c>
      <c r="G562" s="3" t="s">
        <v>321</v>
      </c>
      <c r="H562" s="3" t="s">
        <v>388</v>
      </c>
      <c r="I562" s="3" t="s">
        <v>64</v>
      </c>
      <c r="J562" s="3" t="s">
        <v>81</v>
      </c>
      <c r="K562" s="3" t="s">
        <v>239</v>
      </c>
      <c r="L562" s="3" t="n">
        <v>2</v>
      </c>
      <c r="M562" s="3" t="n">
        <v>22</v>
      </c>
      <c r="N562" s="3" t="s">
        <v>59</v>
      </c>
      <c r="O562" s="3"/>
      <c r="P562" s="10"/>
      <c r="Q562" s="3" t="n">
        <f aca="false">IF(F562="Disposable",1,0)</f>
        <v>0</v>
      </c>
      <c r="R562" s="3" t="n">
        <f aca="false">IF(SUMPRODUCT(--ISNUMBER(SEARCH('Spam Rules'!$A$22:$A$35,K562)))&gt;0,1,0)</f>
        <v>1</v>
      </c>
      <c r="S562" s="3" t="n">
        <f aca="false">IF(AND(F562="Free",G562=""),1,0)</f>
        <v>0</v>
      </c>
      <c r="T562" s="3" t="n">
        <f aca="false">IF(LEN(TRIM(K562))&lt;15,1,0)</f>
        <v>0</v>
      </c>
      <c r="U562" s="3" t="n">
        <f aca="false">IF(COUNTIF($E$2:$E$801,E562)&gt;1,1,0)</f>
        <v>1</v>
      </c>
      <c r="V562" s="3" t="n">
        <f aca="false">Q562*'Spam Rules'!$H$6+R562*'Spam Rules'!$H$7+S562*'Spam Rules'!$H$8+T562*'Spam Rules'!$H$9+U562*'Spam Rules'!$H$10</f>
        <v>1</v>
      </c>
      <c r="W562" s="3" t="str">
        <f aca="false">IF(V562&gt;='Spam Rules'!$B$3,"Likely Spam","Genuine")</f>
        <v>Likely Spam</v>
      </c>
      <c r="X562" s="3" t="n">
        <f aca="false">IFERROR(INDEX('Scoring Model'!$B$5:$B$11,MATCH(C562,'Scoring Model'!$A$5:$A$11,0)),0)</f>
        <v>5</v>
      </c>
      <c r="Y562" s="3" t="n">
        <f aca="false">IFERROR(INDEX('Scoring Model'!$E$5:$E$7,MATCH(F562,'Scoring Model'!$D$5:$D$7,0)),0)</f>
        <v>20</v>
      </c>
      <c r="Z562" s="3" t="n">
        <f aca="false">IFERROR(INDEX('Scoring Model'!$H$5:$H$13,MATCH(J562,'Scoring Model'!$G$5:$G$13,0)),0)</f>
        <v>5</v>
      </c>
      <c r="AA562" s="3" t="n">
        <f aca="false">IF(L562&gt;='Scoring Model'!$B$14,'Scoring Model'!$B$15,IF(L562&gt;='Scoring Model'!$B$16,'Scoring Model'!$B$17,0))</f>
        <v>0</v>
      </c>
      <c r="AB562" s="3" t="n">
        <f aca="false">IF(SUMPRODUCT(--ISNUMBER(SEARCH('Scoring Model'!$D$16:$D$25,K562)))&gt;0,'Scoring Model'!$B$18,0)</f>
        <v>0</v>
      </c>
      <c r="AC562" s="3" t="n">
        <f aca="false">IF(SUMPRODUCT(--ISNUMBER(SEARCH('Scoring Model'!$G$16:$G$23,K562)))&gt;0,'Scoring Model'!$B$19,0)</f>
        <v>0</v>
      </c>
      <c r="AD562" s="3" t="str">
        <f aca="false">IF(W562="Likely Spam","",SUM(X562:AC562))</f>
        <v/>
      </c>
      <c r="AE562" s="3" t="str">
        <f aca="false">IF(W562="Likely Spam","Spam",IF(AD562&gt;='Scoring Model'!$B$21,"Hot",IF(AD562&gt;='Scoring Model'!$B$22,"Warm","Nurture")))</f>
        <v>Spam</v>
      </c>
      <c r="AF562" s="3" t="str">
        <f aca="false">IF(W562="Likely Spam","Flagged by spam rules",TRIM(IF(X562&gt;=20,"Strong source. ","")&amp;IF(Y562&gt;0,"Company email. ","")&amp;IF(Z562&gt;=15,"High-value product. ","")&amp;IF(AA562&gt;='Scoring Model'!$B$15,"High engagement. ","")&amp;IF(AB562&gt;0,"Buying intent in message. ","")&amp;IF(AC562&lt;0,"Negative intent in message. ","")))</f>
        <v>Flagged by spam rules</v>
      </c>
      <c r="AG562" s="11" t="str">
        <f aca="false">IF(W562="Likely Spam","",1/(1+EXP(-('Conversion Model'!$B$5+IFERROR(INDEX('Conversion Model'!$B$8:$B$14,MATCH(C562,'Conversion Model'!$A$8:$A$14,0)),0)+IFERROR(INDEX('Conversion Model'!$E$8:$E$9,MATCH(F562,'Conversion Model'!$D$8:$D$9,0)),0)+IFERROR(INDEX('Conversion Model'!$H$8:$H$12,MATCH(IF(LEFT(J562,8)="Payments","Payments",IF(LEFT(J562,7)="Lending","Lending",J562)),'Conversion Model'!$G$8:$G$12,0)),0)+MIN(L562,15)*'Conversion Model'!$B$17+IF(SUMPRODUCT(--ISNUMBER(SEARCH('Scoring Model'!$D$16:$D$25,K562)))&gt;0,'Conversion Model'!$B$18,0)+IF(SUMPRODUCT(--ISNUMBER(SEARCH('Scoring Model'!$G$16:$G$23,K562)))&gt;0,'Conversion Model'!$B$19,0)))))</f>
        <v/>
      </c>
      <c r="AH562" s="3" t="str">
        <f aca="false">IF(OR(O562="Qualified",O562="Won",O562="Lost"),1,IF(O562="Unqualified",0,""))</f>
        <v/>
      </c>
    </row>
    <row r="563" customFormat="false" ht="15" hidden="false" customHeight="true" outlineLevel="0" collapsed="false">
      <c r="A563" s="3" t="s">
        <v>1966</v>
      </c>
      <c r="B563" s="9" t="n">
        <v>46182.5868055556</v>
      </c>
      <c r="C563" s="3" t="s">
        <v>91</v>
      </c>
      <c r="D563" s="3" t="s">
        <v>1672</v>
      </c>
      <c r="E563" s="3" t="s">
        <v>1967</v>
      </c>
      <c r="F563" s="3" t="s">
        <v>22</v>
      </c>
      <c r="G563" s="3" t="s">
        <v>163</v>
      </c>
      <c r="H563" s="3" t="s">
        <v>164</v>
      </c>
      <c r="I563" s="3" t="s">
        <v>73</v>
      </c>
      <c r="J563" s="3" t="s">
        <v>145</v>
      </c>
      <c r="K563" s="3" t="s">
        <v>228</v>
      </c>
      <c r="L563" s="3" t="n">
        <v>5</v>
      </c>
      <c r="M563" s="3" t="n">
        <v>29.7</v>
      </c>
      <c r="N563" s="3" t="s">
        <v>59</v>
      </c>
      <c r="O563" s="3"/>
      <c r="P563" s="10"/>
      <c r="Q563" s="3" t="n">
        <f aca="false">IF(F563="Disposable",1,0)</f>
        <v>0</v>
      </c>
      <c r="R563" s="3" t="n">
        <f aca="false">IF(SUMPRODUCT(--ISNUMBER(SEARCH('Spam Rules'!$A$22:$A$35,K563)))&gt;0,1,0)</f>
        <v>0</v>
      </c>
      <c r="S563" s="3" t="n">
        <f aca="false">IF(AND(F563="Free",G563=""),1,0)</f>
        <v>0</v>
      </c>
      <c r="T563" s="3" t="n">
        <f aca="false">IF(LEN(TRIM(K563))&lt;15,1,0)</f>
        <v>0</v>
      </c>
      <c r="U563" s="3" t="n">
        <f aca="false">IF(COUNTIF($E$2:$E$801,E563)&gt;1,1,0)</f>
        <v>0</v>
      </c>
      <c r="V563" s="3" t="n">
        <f aca="false">Q563*'Spam Rules'!$H$6+R563*'Spam Rules'!$H$7+S563*'Spam Rules'!$H$8+T563*'Spam Rules'!$H$9+U563*'Spam Rules'!$H$10</f>
        <v>0</v>
      </c>
      <c r="W563" s="3" t="str">
        <f aca="false">IF(V563&gt;='Spam Rules'!$B$3,"Likely Spam","Genuine")</f>
        <v>Genuine</v>
      </c>
      <c r="X563" s="3" t="n">
        <f aca="false">IFERROR(INDEX('Scoring Model'!$B$5:$B$11,MATCH(C563,'Scoring Model'!$A$5:$A$11,0)),0)</f>
        <v>5</v>
      </c>
      <c r="Y563" s="3" t="n">
        <f aca="false">IFERROR(INDEX('Scoring Model'!$E$5:$E$7,MATCH(F563,'Scoring Model'!$D$5:$D$7,0)),0)</f>
        <v>20</v>
      </c>
      <c r="Z563" s="3" t="n">
        <f aca="false">IFERROR(INDEX('Scoring Model'!$H$5:$H$13,MATCH(J563,'Scoring Model'!$G$5:$G$13,0)),0)</f>
        <v>5</v>
      </c>
      <c r="AA563" s="3" t="n">
        <f aca="false">IF(L563&gt;='Scoring Model'!$B$14,'Scoring Model'!$B$15,IF(L563&gt;='Scoring Model'!$B$16,'Scoring Model'!$B$17,0))</f>
        <v>8</v>
      </c>
      <c r="AB563" s="3" t="n">
        <f aca="false">IF(SUMPRODUCT(--ISNUMBER(SEARCH('Scoring Model'!$D$16:$D$25,K563)))&gt;0,'Scoring Model'!$B$18,0)</f>
        <v>15</v>
      </c>
      <c r="AC563" s="3" t="n">
        <f aca="false">IF(SUMPRODUCT(--ISNUMBER(SEARCH('Scoring Model'!$G$16:$G$23,K563)))&gt;0,'Scoring Model'!$B$19,0)</f>
        <v>0</v>
      </c>
      <c r="AD563" s="3" t="n">
        <f aca="false">IF(W563="Likely Spam","",SUM(X563:AC563))</f>
        <v>53</v>
      </c>
      <c r="AE563" s="3" t="str">
        <f aca="false">IF(W563="Likely Spam","Spam",IF(AD563&gt;='Scoring Model'!$B$21,"Hot",IF(AD563&gt;='Scoring Model'!$B$22,"Warm","Nurture")))</f>
        <v>Warm</v>
      </c>
      <c r="AF563" s="3" t="str">
        <f aca="false">IF(W563="Likely Spam","Flagged by spam rules",TRIM(IF(X563&gt;=20,"Strong source. ","")&amp;IF(Y563&gt;0,"Company email. ","")&amp;IF(Z563&gt;=15,"High-value product. ","")&amp;IF(AA563&gt;='Scoring Model'!$B$15,"High engagement. ","")&amp;IF(AB563&gt;0,"Buying intent in message. ","")&amp;IF(AC563&lt;0,"Negative intent in message. ","")))</f>
        <v>Company email. Buying intent in message.</v>
      </c>
      <c r="AG563" s="11" t="n">
        <f aca="false">IF(W563="Likely Spam","",1/(1+EXP(-('Conversion Model'!$B$5+IFERROR(INDEX('Conversion Model'!$B$8:$B$14,MATCH(C563,'Conversion Model'!$A$8:$A$14,0)),0)+IFERROR(INDEX('Conversion Model'!$E$8:$E$9,MATCH(F563,'Conversion Model'!$D$8:$D$9,0)),0)+IFERROR(INDEX('Conversion Model'!$H$8:$H$12,MATCH(IF(LEFT(J563,8)="Payments","Payments",IF(LEFT(J563,7)="Lending","Lending",J563)),'Conversion Model'!$G$8:$G$12,0)),0)+MIN(L563,15)*'Conversion Model'!$B$17+IF(SUMPRODUCT(--ISNUMBER(SEARCH('Scoring Model'!$D$16:$D$25,K563)))&gt;0,'Conversion Model'!$B$18,0)+IF(SUMPRODUCT(--ISNUMBER(SEARCH('Scoring Model'!$G$16:$G$23,K563)))&gt;0,'Conversion Model'!$B$19,0)))))</f>
        <v>0.653848696285311</v>
      </c>
      <c r="AH563" s="3" t="str">
        <f aca="false">IF(OR(O563="Qualified",O563="Won",O563="Lost"),1,IF(O563="Unqualified",0,""))</f>
        <v/>
      </c>
    </row>
    <row r="564" customFormat="false" ht="15" hidden="false" customHeight="true" outlineLevel="0" collapsed="false">
      <c r="A564" s="3" t="s">
        <v>1968</v>
      </c>
      <c r="B564" s="9" t="n">
        <v>46183.2895833333</v>
      </c>
      <c r="C564" s="3" t="s">
        <v>76</v>
      </c>
      <c r="D564" s="3" t="s">
        <v>426</v>
      </c>
      <c r="E564" s="3" t="s">
        <v>1573</v>
      </c>
      <c r="F564" s="3" t="s">
        <v>54</v>
      </c>
      <c r="G564" s="3" t="s">
        <v>321</v>
      </c>
      <c r="H564" s="3"/>
      <c r="I564" s="3" t="s">
        <v>116</v>
      </c>
      <c r="J564" s="3" t="s">
        <v>65</v>
      </c>
      <c r="K564" s="3" t="s">
        <v>657</v>
      </c>
      <c r="L564" s="3" t="n">
        <v>2</v>
      </c>
      <c r="M564" s="3"/>
      <c r="N564" s="3" t="s">
        <v>96</v>
      </c>
      <c r="O564" s="3" t="s">
        <v>68</v>
      </c>
      <c r="P564" s="10"/>
      <c r="Q564" s="3" t="n">
        <f aca="false">IF(F564="Disposable",1,0)</f>
        <v>0</v>
      </c>
      <c r="R564" s="3" t="n">
        <f aca="false">IF(SUMPRODUCT(--ISNUMBER(SEARCH('Spam Rules'!$A$22:$A$35,K564)))&gt;0,1,0)</f>
        <v>1</v>
      </c>
      <c r="S564" s="3" t="n">
        <f aca="false">IF(AND(F564="Free",G564=""),1,0)</f>
        <v>0</v>
      </c>
      <c r="T564" s="3" t="n">
        <f aca="false">IF(LEN(TRIM(K564))&lt;15,1,0)</f>
        <v>0</v>
      </c>
      <c r="U564" s="3" t="n">
        <f aca="false">IF(COUNTIF($E$2:$E$801,E564)&gt;1,1,0)</f>
        <v>1</v>
      </c>
      <c r="V564" s="3" t="n">
        <f aca="false">Q564*'Spam Rules'!$H$6+R564*'Spam Rules'!$H$7+S564*'Spam Rules'!$H$8+T564*'Spam Rules'!$H$9+U564*'Spam Rules'!$H$10</f>
        <v>1</v>
      </c>
      <c r="W564" s="3" t="str">
        <f aca="false">IF(V564&gt;='Spam Rules'!$B$3,"Likely Spam","Genuine")</f>
        <v>Likely Spam</v>
      </c>
      <c r="X564" s="3" t="n">
        <f aca="false">IFERROR(INDEX('Scoring Model'!$B$5:$B$11,MATCH(C564,'Scoring Model'!$A$5:$A$11,0)),0)</f>
        <v>0</v>
      </c>
      <c r="Y564" s="3" t="n">
        <f aca="false">IFERROR(INDEX('Scoring Model'!$E$5:$E$7,MATCH(F564,'Scoring Model'!$D$5:$D$7,0)),0)</f>
        <v>0</v>
      </c>
      <c r="Z564" s="3" t="n">
        <f aca="false">IFERROR(INDEX('Scoring Model'!$H$5:$H$13,MATCH(J564,'Scoring Model'!$G$5:$G$13,0)),0)</f>
        <v>0</v>
      </c>
      <c r="AA564" s="3" t="n">
        <f aca="false">IF(L564&gt;='Scoring Model'!$B$14,'Scoring Model'!$B$15,IF(L564&gt;='Scoring Model'!$B$16,'Scoring Model'!$B$17,0))</f>
        <v>0</v>
      </c>
      <c r="AB564" s="3" t="n">
        <f aca="false">IF(SUMPRODUCT(--ISNUMBER(SEARCH('Scoring Model'!$D$16:$D$25,K564)))&gt;0,'Scoring Model'!$B$18,0)</f>
        <v>0</v>
      </c>
      <c r="AC564" s="3" t="n">
        <f aca="false">IF(SUMPRODUCT(--ISNUMBER(SEARCH('Scoring Model'!$G$16:$G$23,K564)))&gt;0,'Scoring Model'!$B$19,0)</f>
        <v>0</v>
      </c>
      <c r="AD564" s="3" t="str">
        <f aca="false">IF(W564="Likely Spam","",SUM(X564:AC564))</f>
        <v/>
      </c>
      <c r="AE564" s="3" t="str">
        <f aca="false">IF(W564="Likely Spam","Spam",IF(AD564&gt;='Scoring Model'!$B$21,"Hot",IF(AD564&gt;='Scoring Model'!$B$22,"Warm","Nurture")))</f>
        <v>Spam</v>
      </c>
      <c r="AF564" s="3" t="str">
        <f aca="false">IF(W564="Likely Spam","Flagged by spam rules",TRIM(IF(X564&gt;=20,"Strong source. ","")&amp;IF(Y564&gt;0,"Company email. ","")&amp;IF(Z564&gt;=15,"High-value product. ","")&amp;IF(AA564&gt;='Scoring Model'!$B$15,"High engagement. ","")&amp;IF(AB564&gt;0,"Buying intent in message. ","")&amp;IF(AC564&lt;0,"Negative intent in message. ","")))</f>
        <v>Flagged by spam rules</v>
      </c>
      <c r="AG564" s="11" t="str">
        <f aca="false">IF(W564="Likely Spam","",1/(1+EXP(-('Conversion Model'!$B$5+IFERROR(INDEX('Conversion Model'!$B$8:$B$14,MATCH(C564,'Conversion Model'!$A$8:$A$14,0)),0)+IFERROR(INDEX('Conversion Model'!$E$8:$E$9,MATCH(F564,'Conversion Model'!$D$8:$D$9,0)),0)+IFERROR(INDEX('Conversion Model'!$H$8:$H$12,MATCH(IF(LEFT(J564,8)="Payments","Payments",IF(LEFT(J564,7)="Lending","Lending",J564)),'Conversion Model'!$G$8:$G$12,0)),0)+MIN(L564,15)*'Conversion Model'!$B$17+IF(SUMPRODUCT(--ISNUMBER(SEARCH('Scoring Model'!$D$16:$D$25,K564)))&gt;0,'Conversion Model'!$B$18,0)+IF(SUMPRODUCT(--ISNUMBER(SEARCH('Scoring Model'!$G$16:$G$23,K564)))&gt;0,'Conversion Model'!$B$19,0)))))</f>
        <v/>
      </c>
      <c r="AH564" s="3" t="str">
        <f aca="false">IF(OR(O564="Qualified",O564="Won",O564="Lost"),1,IF(O564="Unqualified",0,""))</f>
        <v/>
      </c>
    </row>
    <row r="565" customFormat="false" ht="15" hidden="false" customHeight="true" outlineLevel="0" collapsed="false">
      <c r="A565" s="3" t="s">
        <v>1969</v>
      </c>
      <c r="B565" s="9" t="n">
        <v>46184.0159722222</v>
      </c>
      <c r="C565" s="3" t="s">
        <v>135</v>
      </c>
      <c r="D565" s="3" t="s">
        <v>490</v>
      </c>
      <c r="E565" s="3" t="s">
        <v>1970</v>
      </c>
      <c r="F565" s="3" t="s">
        <v>22</v>
      </c>
      <c r="G565" s="3" t="s">
        <v>131</v>
      </c>
      <c r="H565" s="3" t="s">
        <v>132</v>
      </c>
      <c r="I565" s="3" t="s">
        <v>80</v>
      </c>
      <c r="J565" s="3" t="s">
        <v>245</v>
      </c>
      <c r="K565" s="3" t="s">
        <v>458</v>
      </c>
      <c r="L565" s="3" t="n">
        <v>5</v>
      </c>
      <c r="M565" s="3" t="n">
        <v>10.5</v>
      </c>
      <c r="N565" s="3" t="s">
        <v>67</v>
      </c>
      <c r="O565" s="3"/>
      <c r="P565" s="10"/>
      <c r="Q565" s="3" t="n">
        <f aca="false">IF(F565="Disposable",1,0)</f>
        <v>0</v>
      </c>
      <c r="R565" s="3" t="n">
        <f aca="false">IF(SUMPRODUCT(--ISNUMBER(SEARCH('Spam Rules'!$A$22:$A$35,K565)))&gt;0,1,0)</f>
        <v>0</v>
      </c>
      <c r="S565" s="3" t="n">
        <f aca="false">IF(AND(F565="Free",G565=""),1,0)</f>
        <v>0</v>
      </c>
      <c r="T565" s="3" t="n">
        <f aca="false">IF(LEN(TRIM(K565))&lt;15,1,0)</f>
        <v>0</v>
      </c>
      <c r="U565" s="3" t="n">
        <f aca="false">IF(COUNTIF($E$2:$E$801,E565)&gt;1,1,0)</f>
        <v>0</v>
      </c>
      <c r="V565" s="3" t="n">
        <f aca="false">Q565*'Spam Rules'!$H$6+R565*'Spam Rules'!$H$7+S565*'Spam Rules'!$H$8+T565*'Spam Rules'!$H$9+U565*'Spam Rules'!$H$10</f>
        <v>0</v>
      </c>
      <c r="W565" s="3" t="str">
        <f aca="false">IF(V565&gt;='Spam Rules'!$B$3,"Likely Spam","Genuine")</f>
        <v>Genuine</v>
      </c>
      <c r="X565" s="3" t="n">
        <f aca="false">IFERROR(INDEX('Scoring Model'!$B$5:$B$11,MATCH(C565,'Scoring Model'!$A$5:$A$11,0)),0)</f>
        <v>20</v>
      </c>
      <c r="Y565" s="3" t="n">
        <f aca="false">IFERROR(INDEX('Scoring Model'!$E$5:$E$7,MATCH(F565,'Scoring Model'!$D$5:$D$7,0)),0)</f>
        <v>20</v>
      </c>
      <c r="Z565" s="3" t="n">
        <f aca="false">IFERROR(INDEX('Scoring Model'!$H$5:$H$13,MATCH(J565,'Scoring Model'!$G$5:$G$13,0)),0)</f>
        <v>15</v>
      </c>
      <c r="AA565" s="3" t="n">
        <f aca="false">IF(L565&gt;='Scoring Model'!$B$14,'Scoring Model'!$B$15,IF(L565&gt;='Scoring Model'!$B$16,'Scoring Model'!$B$17,0))</f>
        <v>8</v>
      </c>
      <c r="AB565" s="3" t="n">
        <f aca="false">IF(SUMPRODUCT(--ISNUMBER(SEARCH('Scoring Model'!$D$16:$D$25,K565)))&gt;0,'Scoring Model'!$B$18,0)</f>
        <v>15</v>
      </c>
      <c r="AC565" s="3" t="n">
        <f aca="false">IF(SUMPRODUCT(--ISNUMBER(SEARCH('Scoring Model'!$G$16:$G$23,K565)))&gt;0,'Scoring Model'!$B$19,0)</f>
        <v>0</v>
      </c>
      <c r="AD565" s="3" t="n">
        <f aca="false">IF(W565="Likely Spam","",SUM(X565:AC565))</f>
        <v>78</v>
      </c>
      <c r="AE565" s="3" t="str">
        <f aca="false">IF(W565="Likely Spam","Spam",IF(AD565&gt;='Scoring Model'!$B$21,"Hot",IF(AD565&gt;='Scoring Model'!$B$22,"Warm","Nurture")))</f>
        <v>Hot</v>
      </c>
      <c r="AF565" s="3" t="str">
        <f aca="false">IF(W565="Likely Spam","Flagged by spam rules",TRIM(IF(X565&gt;=20,"Strong source. ","")&amp;IF(Y565&gt;0,"Company email. ","")&amp;IF(Z565&gt;=15,"High-value product. ","")&amp;IF(AA565&gt;='Scoring Model'!$B$15,"High engagement. ","")&amp;IF(AB565&gt;0,"Buying intent in message. ","")&amp;IF(AC565&lt;0,"Negative intent in message. ","")))</f>
        <v>Strong source. Company email. High-value product. Buying intent in message.</v>
      </c>
      <c r="AG565" s="11" t="n">
        <f aca="false">IF(W565="Likely Spam","",1/(1+EXP(-('Conversion Model'!$B$5+IFERROR(INDEX('Conversion Model'!$B$8:$B$14,MATCH(C565,'Conversion Model'!$A$8:$A$14,0)),0)+IFERROR(INDEX('Conversion Model'!$E$8:$E$9,MATCH(F565,'Conversion Model'!$D$8:$D$9,0)),0)+IFERROR(INDEX('Conversion Model'!$H$8:$H$12,MATCH(IF(LEFT(J565,8)="Payments","Payments",IF(LEFT(J565,7)="Lending","Lending",J565)),'Conversion Model'!$G$8:$G$12,0)),0)+MIN(L565,15)*'Conversion Model'!$B$17+IF(SUMPRODUCT(--ISNUMBER(SEARCH('Scoring Model'!$D$16:$D$25,K565)))&gt;0,'Conversion Model'!$B$18,0)+IF(SUMPRODUCT(--ISNUMBER(SEARCH('Scoring Model'!$G$16:$G$23,K565)))&gt;0,'Conversion Model'!$B$19,0)))))</f>
        <v>0.930603702366119</v>
      </c>
      <c r="AH565" s="3" t="str">
        <f aca="false">IF(OR(O565="Qualified",O565="Won",O565="Lost"),1,IF(O565="Unqualified",0,""))</f>
        <v/>
      </c>
    </row>
    <row r="566" customFormat="false" ht="15" hidden="false" customHeight="true" outlineLevel="0" collapsed="false">
      <c r="A566" s="3" t="s">
        <v>1971</v>
      </c>
      <c r="B566" s="9" t="n">
        <v>46184.1541666667</v>
      </c>
      <c r="C566" s="3" t="s">
        <v>51</v>
      </c>
      <c r="D566" s="3" t="s">
        <v>1866</v>
      </c>
      <c r="E566" s="3" t="s">
        <v>1972</v>
      </c>
      <c r="F566" s="3" t="s">
        <v>54</v>
      </c>
      <c r="G566" s="3"/>
      <c r="H566" s="3"/>
      <c r="I566" s="3" t="s">
        <v>88</v>
      </c>
      <c r="J566" s="3" t="s">
        <v>122</v>
      </c>
      <c r="K566" s="3" t="s">
        <v>95</v>
      </c>
      <c r="L566" s="3" t="n">
        <v>1</v>
      </c>
      <c r="M566" s="3"/>
      <c r="N566" s="3" t="s">
        <v>67</v>
      </c>
      <c r="O566" s="3" t="s">
        <v>68</v>
      </c>
      <c r="P566" s="10"/>
      <c r="Q566" s="3" t="n">
        <f aca="false">IF(F566="Disposable",1,0)</f>
        <v>0</v>
      </c>
      <c r="R566" s="3" t="n">
        <f aca="false">IF(SUMPRODUCT(--ISNUMBER(SEARCH('Spam Rules'!$A$22:$A$35,K566)))&gt;0,1,0)</f>
        <v>1</v>
      </c>
      <c r="S566" s="3" t="n">
        <f aca="false">IF(AND(F566="Free",G566=""),1,0)</f>
        <v>1</v>
      </c>
      <c r="T566" s="3" t="n">
        <f aca="false">IF(LEN(TRIM(K566))&lt;15,1,0)</f>
        <v>0</v>
      </c>
      <c r="U566" s="3" t="n">
        <f aca="false">IF(COUNTIF($E$2:$E$801,E566)&gt;1,1,0)</f>
        <v>0</v>
      </c>
      <c r="V566" s="3" t="n">
        <f aca="false">Q566*'Spam Rules'!$H$6+R566*'Spam Rules'!$H$7+S566*'Spam Rules'!$H$8+T566*'Spam Rules'!$H$9+U566*'Spam Rules'!$H$10</f>
        <v>1</v>
      </c>
      <c r="W566" s="3" t="str">
        <f aca="false">IF(V566&gt;='Spam Rules'!$B$3,"Likely Spam","Genuine")</f>
        <v>Likely Spam</v>
      </c>
      <c r="X566" s="3" t="n">
        <f aca="false">IFERROR(INDEX('Scoring Model'!$B$5:$B$11,MATCH(C566,'Scoring Model'!$A$5:$A$11,0)),0)</f>
        <v>10</v>
      </c>
      <c r="Y566" s="3" t="n">
        <f aca="false">IFERROR(INDEX('Scoring Model'!$E$5:$E$7,MATCH(F566,'Scoring Model'!$D$5:$D$7,0)),0)</f>
        <v>0</v>
      </c>
      <c r="Z566" s="3" t="n">
        <f aca="false">IFERROR(INDEX('Scoring Model'!$H$5:$H$13,MATCH(J566,'Scoring Model'!$G$5:$G$13,0)),0)</f>
        <v>15</v>
      </c>
      <c r="AA566" s="3" t="n">
        <f aca="false">IF(L566&gt;='Scoring Model'!$B$14,'Scoring Model'!$B$15,IF(L566&gt;='Scoring Model'!$B$16,'Scoring Model'!$B$17,0))</f>
        <v>0</v>
      </c>
      <c r="AB566" s="3" t="n">
        <f aca="false">IF(SUMPRODUCT(--ISNUMBER(SEARCH('Scoring Model'!$D$16:$D$25,K566)))&gt;0,'Scoring Model'!$B$18,0)</f>
        <v>0</v>
      </c>
      <c r="AC566" s="3" t="n">
        <f aca="false">IF(SUMPRODUCT(--ISNUMBER(SEARCH('Scoring Model'!$G$16:$G$23,K566)))&gt;0,'Scoring Model'!$B$19,0)</f>
        <v>0</v>
      </c>
      <c r="AD566" s="3" t="str">
        <f aca="false">IF(W566="Likely Spam","",SUM(X566:AC566))</f>
        <v/>
      </c>
      <c r="AE566" s="3" t="str">
        <f aca="false">IF(W566="Likely Spam","Spam",IF(AD566&gt;='Scoring Model'!$B$21,"Hot",IF(AD566&gt;='Scoring Model'!$B$22,"Warm","Nurture")))</f>
        <v>Spam</v>
      </c>
      <c r="AF566" s="3" t="str">
        <f aca="false">IF(W566="Likely Spam","Flagged by spam rules",TRIM(IF(X566&gt;=20,"Strong source. ","")&amp;IF(Y566&gt;0,"Company email. ","")&amp;IF(Z566&gt;=15,"High-value product. ","")&amp;IF(AA566&gt;='Scoring Model'!$B$15,"High engagement. ","")&amp;IF(AB566&gt;0,"Buying intent in message. ","")&amp;IF(AC566&lt;0,"Negative intent in message. ","")))</f>
        <v>Flagged by spam rules</v>
      </c>
      <c r="AG566" s="11" t="str">
        <f aca="false">IF(W566="Likely Spam","",1/(1+EXP(-('Conversion Model'!$B$5+IFERROR(INDEX('Conversion Model'!$B$8:$B$14,MATCH(C566,'Conversion Model'!$A$8:$A$14,0)),0)+IFERROR(INDEX('Conversion Model'!$E$8:$E$9,MATCH(F566,'Conversion Model'!$D$8:$D$9,0)),0)+IFERROR(INDEX('Conversion Model'!$H$8:$H$12,MATCH(IF(LEFT(J566,8)="Payments","Payments",IF(LEFT(J566,7)="Lending","Lending",J566)),'Conversion Model'!$G$8:$G$12,0)),0)+MIN(L566,15)*'Conversion Model'!$B$17+IF(SUMPRODUCT(--ISNUMBER(SEARCH('Scoring Model'!$D$16:$D$25,K566)))&gt;0,'Conversion Model'!$B$18,0)+IF(SUMPRODUCT(--ISNUMBER(SEARCH('Scoring Model'!$G$16:$G$23,K566)))&gt;0,'Conversion Model'!$B$19,0)))))</f>
        <v/>
      </c>
      <c r="AH566" s="3" t="str">
        <f aca="false">IF(OR(O566="Qualified",O566="Won",O566="Lost"),1,IF(O566="Unqualified",0,""))</f>
        <v/>
      </c>
    </row>
    <row r="567" customFormat="false" ht="15" hidden="false" customHeight="true" outlineLevel="0" collapsed="false">
      <c r="A567" s="3" t="s">
        <v>1973</v>
      </c>
      <c r="B567" s="9" t="n">
        <v>46184.6576388889</v>
      </c>
      <c r="C567" s="3" t="s">
        <v>91</v>
      </c>
      <c r="D567" s="3" t="s">
        <v>1974</v>
      </c>
      <c r="E567" s="3" t="s">
        <v>1975</v>
      </c>
      <c r="F567" s="3" t="s">
        <v>54</v>
      </c>
      <c r="G567" s="3"/>
      <c r="H567" s="3"/>
      <c r="I567" s="3" t="s">
        <v>188</v>
      </c>
      <c r="J567" s="3" t="s">
        <v>145</v>
      </c>
      <c r="K567" s="3" t="s">
        <v>193</v>
      </c>
      <c r="L567" s="3" t="n">
        <v>1</v>
      </c>
      <c r="M567" s="3" t="n">
        <v>13.2</v>
      </c>
      <c r="N567" s="3" t="s">
        <v>59</v>
      </c>
      <c r="O567" s="3" t="s">
        <v>194</v>
      </c>
      <c r="P567" s="10"/>
      <c r="Q567" s="3" t="n">
        <f aca="false">IF(F567="Disposable",1,0)</f>
        <v>0</v>
      </c>
      <c r="R567" s="3" t="n">
        <f aca="false">IF(SUMPRODUCT(--ISNUMBER(SEARCH('Spam Rules'!$A$22:$A$35,K567)))&gt;0,1,0)</f>
        <v>0</v>
      </c>
      <c r="S567" s="3" t="n">
        <f aca="false">IF(AND(F567="Free",G567=""),1,0)</f>
        <v>1</v>
      </c>
      <c r="T567" s="3" t="n">
        <f aca="false">IF(LEN(TRIM(K567))&lt;15,1,0)</f>
        <v>0</v>
      </c>
      <c r="U567" s="3" t="n">
        <f aca="false">IF(COUNTIF($E$2:$E$801,E567)&gt;1,1,0)</f>
        <v>0</v>
      </c>
      <c r="V567" s="3" t="n">
        <f aca="false">Q567*'Spam Rules'!$H$6+R567*'Spam Rules'!$H$7+S567*'Spam Rules'!$H$8+T567*'Spam Rules'!$H$9+U567*'Spam Rules'!$H$10</f>
        <v>0</v>
      </c>
      <c r="W567" s="3" t="str">
        <f aca="false">IF(V567&gt;='Spam Rules'!$B$3,"Likely Spam","Genuine")</f>
        <v>Genuine</v>
      </c>
      <c r="X567" s="3" t="n">
        <f aca="false">IFERROR(INDEX('Scoring Model'!$B$5:$B$11,MATCH(C567,'Scoring Model'!$A$5:$A$11,0)),0)</f>
        <v>5</v>
      </c>
      <c r="Y567" s="3" t="n">
        <f aca="false">IFERROR(INDEX('Scoring Model'!$E$5:$E$7,MATCH(F567,'Scoring Model'!$D$5:$D$7,0)),0)</f>
        <v>0</v>
      </c>
      <c r="Z567" s="3" t="n">
        <f aca="false">IFERROR(INDEX('Scoring Model'!$H$5:$H$13,MATCH(J567,'Scoring Model'!$G$5:$G$13,0)),0)</f>
        <v>5</v>
      </c>
      <c r="AA567" s="3" t="n">
        <f aca="false">IF(L567&gt;='Scoring Model'!$B$14,'Scoring Model'!$B$15,IF(L567&gt;='Scoring Model'!$B$16,'Scoring Model'!$B$17,0))</f>
        <v>0</v>
      </c>
      <c r="AB567" s="3" t="n">
        <f aca="false">IF(SUMPRODUCT(--ISNUMBER(SEARCH('Scoring Model'!$D$16:$D$25,K567)))&gt;0,'Scoring Model'!$B$18,0)</f>
        <v>0</v>
      </c>
      <c r="AC567" s="3" t="n">
        <f aca="false">IF(SUMPRODUCT(--ISNUMBER(SEARCH('Scoring Model'!$G$16:$G$23,K567)))&gt;0,'Scoring Model'!$B$19,0)</f>
        <v>-30</v>
      </c>
      <c r="AD567" s="3" t="n">
        <f aca="false">IF(W567="Likely Spam","",SUM(X567:AC567))</f>
        <v>-20</v>
      </c>
      <c r="AE567" s="3" t="str">
        <f aca="false">IF(W567="Likely Spam","Spam",IF(AD567&gt;='Scoring Model'!$B$21,"Hot",IF(AD567&gt;='Scoring Model'!$B$22,"Warm","Nurture")))</f>
        <v>Nurture</v>
      </c>
      <c r="AF567" s="3" t="str">
        <f aca="false">IF(W567="Likely Spam","Flagged by spam rules",TRIM(IF(X567&gt;=20,"Strong source. ","")&amp;IF(Y567&gt;0,"Company email. ","")&amp;IF(Z567&gt;=15,"High-value product. ","")&amp;IF(AA567&gt;='Scoring Model'!$B$15,"High engagement. ","")&amp;IF(AB567&gt;0,"Buying intent in message. ","")&amp;IF(AC567&lt;0,"Negative intent in message. ","")))</f>
        <v>Negative intent in message.</v>
      </c>
      <c r="AG567" s="11" t="n">
        <f aca="false">IF(W567="Likely Spam","",1/(1+EXP(-('Conversion Model'!$B$5+IFERROR(INDEX('Conversion Model'!$B$8:$B$14,MATCH(C567,'Conversion Model'!$A$8:$A$14,0)),0)+IFERROR(INDEX('Conversion Model'!$E$8:$E$9,MATCH(F567,'Conversion Model'!$D$8:$D$9,0)),0)+IFERROR(INDEX('Conversion Model'!$H$8:$H$12,MATCH(IF(LEFT(J567,8)="Payments","Payments",IF(LEFT(J567,7)="Lending","Lending",J567)),'Conversion Model'!$G$8:$G$12,0)),0)+MIN(L567,15)*'Conversion Model'!$B$17+IF(SUMPRODUCT(--ISNUMBER(SEARCH('Scoring Model'!$D$16:$D$25,K567)))&gt;0,'Conversion Model'!$B$18,0)+IF(SUMPRODUCT(--ISNUMBER(SEARCH('Scoring Model'!$G$16:$G$23,K567)))&gt;0,'Conversion Model'!$B$19,0)))))</f>
        <v>0.000946303938965747</v>
      </c>
      <c r="AH567" s="3" t="n">
        <f aca="false">IF(OR(O567="Qualified",O567="Won",O567="Lost"),1,IF(O567="Unqualified",0,""))</f>
        <v>0</v>
      </c>
    </row>
    <row r="568" customFormat="false" ht="15" hidden="false" customHeight="true" outlineLevel="0" collapsed="false">
      <c r="A568" s="3" t="s">
        <v>1976</v>
      </c>
      <c r="B568" s="9" t="n">
        <v>46184.7083333333</v>
      </c>
      <c r="C568" s="3" t="s">
        <v>51</v>
      </c>
      <c r="D568" s="3" t="s">
        <v>1977</v>
      </c>
      <c r="E568" s="3" t="s">
        <v>1978</v>
      </c>
      <c r="F568" s="3" t="s">
        <v>54</v>
      </c>
      <c r="G568" s="3" t="s">
        <v>321</v>
      </c>
      <c r="H568" s="3"/>
      <c r="I568" s="3" t="s">
        <v>116</v>
      </c>
      <c r="J568" s="3" t="s">
        <v>65</v>
      </c>
      <c r="K568" s="3" t="s">
        <v>126</v>
      </c>
      <c r="L568" s="3" t="n">
        <v>2</v>
      </c>
      <c r="M568" s="3" t="n">
        <v>11.9</v>
      </c>
      <c r="N568" s="3" t="s">
        <v>96</v>
      </c>
      <c r="O568" s="3" t="s">
        <v>68</v>
      </c>
      <c r="P568" s="10"/>
      <c r="Q568" s="3" t="n">
        <f aca="false">IF(F568="Disposable",1,0)</f>
        <v>0</v>
      </c>
      <c r="R568" s="3" t="n">
        <f aca="false">IF(SUMPRODUCT(--ISNUMBER(SEARCH('Spam Rules'!$A$22:$A$35,K568)))&gt;0,1,0)</f>
        <v>0</v>
      </c>
      <c r="S568" s="3" t="n">
        <f aca="false">IF(AND(F568="Free",G568=""),1,0)</f>
        <v>0</v>
      </c>
      <c r="T568" s="3" t="n">
        <f aca="false">IF(LEN(TRIM(K568))&lt;15,1,0)</f>
        <v>1</v>
      </c>
      <c r="U568" s="3" t="n">
        <f aca="false">IF(COUNTIF($E$2:$E$801,E568)&gt;1,1,0)</f>
        <v>0</v>
      </c>
      <c r="V568" s="3" t="n">
        <f aca="false">Q568*'Spam Rules'!$H$6+R568*'Spam Rules'!$H$7+S568*'Spam Rules'!$H$8+T568*'Spam Rules'!$H$9+U568*'Spam Rules'!$H$10</f>
        <v>1</v>
      </c>
      <c r="W568" s="3" t="str">
        <f aca="false">IF(V568&gt;='Spam Rules'!$B$3,"Likely Spam","Genuine")</f>
        <v>Likely Spam</v>
      </c>
      <c r="X568" s="3" t="n">
        <f aca="false">IFERROR(INDEX('Scoring Model'!$B$5:$B$11,MATCH(C568,'Scoring Model'!$A$5:$A$11,0)),0)</f>
        <v>10</v>
      </c>
      <c r="Y568" s="3" t="n">
        <f aca="false">IFERROR(INDEX('Scoring Model'!$E$5:$E$7,MATCH(F568,'Scoring Model'!$D$5:$D$7,0)),0)</f>
        <v>0</v>
      </c>
      <c r="Z568" s="3" t="n">
        <f aca="false">IFERROR(INDEX('Scoring Model'!$H$5:$H$13,MATCH(J568,'Scoring Model'!$G$5:$G$13,0)),0)</f>
        <v>0</v>
      </c>
      <c r="AA568" s="3" t="n">
        <f aca="false">IF(L568&gt;='Scoring Model'!$B$14,'Scoring Model'!$B$15,IF(L568&gt;='Scoring Model'!$B$16,'Scoring Model'!$B$17,0))</f>
        <v>0</v>
      </c>
      <c r="AB568" s="3" t="n">
        <f aca="false">IF(SUMPRODUCT(--ISNUMBER(SEARCH('Scoring Model'!$D$16:$D$25,K568)))&gt;0,'Scoring Model'!$B$18,0)</f>
        <v>0</v>
      </c>
      <c r="AC568" s="3" t="n">
        <f aca="false">IF(SUMPRODUCT(--ISNUMBER(SEARCH('Scoring Model'!$G$16:$G$23,K568)))&gt;0,'Scoring Model'!$B$19,0)</f>
        <v>0</v>
      </c>
      <c r="AD568" s="3" t="str">
        <f aca="false">IF(W568="Likely Spam","",SUM(X568:AC568))</f>
        <v/>
      </c>
      <c r="AE568" s="3" t="str">
        <f aca="false">IF(W568="Likely Spam","Spam",IF(AD568&gt;='Scoring Model'!$B$21,"Hot",IF(AD568&gt;='Scoring Model'!$B$22,"Warm","Nurture")))</f>
        <v>Spam</v>
      </c>
      <c r="AF568" s="3" t="str">
        <f aca="false">IF(W568="Likely Spam","Flagged by spam rules",TRIM(IF(X568&gt;=20,"Strong source. ","")&amp;IF(Y568&gt;0,"Company email. ","")&amp;IF(Z568&gt;=15,"High-value product. ","")&amp;IF(AA568&gt;='Scoring Model'!$B$15,"High engagement. ","")&amp;IF(AB568&gt;0,"Buying intent in message. ","")&amp;IF(AC568&lt;0,"Negative intent in message. ","")))</f>
        <v>Flagged by spam rules</v>
      </c>
      <c r="AG568" s="11" t="str">
        <f aca="false">IF(W568="Likely Spam","",1/(1+EXP(-('Conversion Model'!$B$5+IFERROR(INDEX('Conversion Model'!$B$8:$B$14,MATCH(C568,'Conversion Model'!$A$8:$A$14,0)),0)+IFERROR(INDEX('Conversion Model'!$E$8:$E$9,MATCH(F568,'Conversion Model'!$D$8:$D$9,0)),0)+IFERROR(INDEX('Conversion Model'!$H$8:$H$12,MATCH(IF(LEFT(J568,8)="Payments","Payments",IF(LEFT(J568,7)="Lending","Lending",J568)),'Conversion Model'!$G$8:$G$12,0)),0)+MIN(L568,15)*'Conversion Model'!$B$17+IF(SUMPRODUCT(--ISNUMBER(SEARCH('Scoring Model'!$D$16:$D$25,K568)))&gt;0,'Conversion Model'!$B$18,0)+IF(SUMPRODUCT(--ISNUMBER(SEARCH('Scoring Model'!$G$16:$G$23,K568)))&gt;0,'Conversion Model'!$B$19,0)))))</f>
        <v/>
      </c>
      <c r="AH568" s="3" t="str">
        <f aca="false">IF(OR(O568="Qualified",O568="Won",O568="Lost"),1,IF(O568="Unqualified",0,""))</f>
        <v/>
      </c>
    </row>
    <row r="569" customFormat="false" ht="15" hidden="false" customHeight="true" outlineLevel="0" collapsed="false">
      <c r="A569" s="3" t="s">
        <v>1979</v>
      </c>
      <c r="B569" s="9" t="n">
        <v>46185.0201388889</v>
      </c>
      <c r="C569" s="3" t="s">
        <v>112</v>
      </c>
      <c r="D569" s="3" t="s">
        <v>988</v>
      </c>
      <c r="E569" s="3" t="s">
        <v>1980</v>
      </c>
      <c r="F569" s="3" t="s">
        <v>54</v>
      </c>
      <c r="G569" s="3" t="s">
        <v>1981</v>
      </c>
      <c r="H569" s="3"/>
      <c r="I569" s="3" t="s">
        <v>204</v>
      </c>
      <c r="J569" s="3" t="s">
        <v>81</v>
      </c>
      <c r="K569" s="3" t="s">
        <v>193</v>
      </c>
      <c r="L569" s="3" t="n">
        <v>1</v>
      </c>
      <c r="M569" s="3" t="n">
        <v>12.3</v>
      </c>
      <c r="N569" s="3" t="s">
        <v>171</v>
      </c>
      <c r="O569" s="3" t="s">
        <v>194</v>
      </c>
      <c r="P569" s="10"/>
      <c r="Q569" s="3" t="n">
        <f aca="false">IF(F569="Disposable",1,0)</f>
        <v>0</v>
      </c>
      <c r="R569" s="3" t="n">
        <f aca="false">IF(SUMPRODUCT(--ISNUMBER(SEARCH('Spam Rules'!$A$22:$A$35,K569)))&gt;0,1,0)</f>
        <v>0</v>
      </c>
      <c r="S569" s="3" t="n">
        <f aca="false">IF(AND(F569="Free",G569=""),1,0)</f>
        <v>0</v>
      </c>
      <c r="T569" s="3" t="n">
        <f aca="false">IF(LEN(TRIM(K569))&lt;15,1,0)</f>
        <v>0</v>
      </c>
      <c r="U569" s="3" t="n">
        <f aca="false">IF(COUNTIF($E$2:$E$801,E569)&gt;1,1,0)</f>
        <v>0</v>
      </c>
      <c r="V569" s="3" t="n">
        <f aca="false">Q569*'Spam Rules'!$H$6+R569*'Spam Rules'!$H$7+S569*'Spam Rules'!$H$8+T569*'Spam Rules'!$H$9+U569*'Spam Rules'!$H$10</f>
        <v>0</v>
      </c>
      <c r="W569" s="3" t="str">
        <f aca="false">IF(V569&gt;='Spam Rules'!$B$3,"Likely Spam","Genuine")</f>
        <v>Genuine</v>
      </c>
      <c r="X569" s="3" t="n">
        <f aca="false">IFERROR(INDEX('Scoring Model'!$B$5:$B$11,MATCH(C569,'Scoring Model'!$A$5:$A$11,0)),0)</f>
        <v>15</v>
      </c>
      <c r="Y569" s="3" t="n">
        <f aca="false">IFERROR(INDEX('Scoring Model'!$E$5:$E$7,MATCH(F569,'Scoring Model'!$D$5:$D$7,0)),0)</f>
        <v>0</v>
      </c>
      <c r="Z569" s="3" t="n">
        <f aca="false">IFERROR(INDEX('Scoring Model'!$H$5:$H$13,MATCH(J569,'Scoring Model'!$G$5:$G$13,0)),0)</f>
        <v>5</v>
      </c>
      <c r="AA569" s="3" t="n">
        <f aca="false">IF(L569&gt;='Scoring Model'!$B$14,'Scoring Model'!$B$15,IF(L569&gt;='Scoring Model'!$B$16,'Scoring Model'!$B$17,0))</f>
        <v>0</v>
      </c>
      <c r="AB569" s="3" t="n">
        <f aca="false">IF(SUMPRODUCT(--ISNUMBER(SEARCH('Scoring Model'!$D$16:$D$25,K569)))&gt;0,'Scoring Model'!$B$18,0)</f>
        <v>0</v>
      </c>
      <c r="AC569" s="3" t="n">
        <f aca="false">IF(SUMPRODUCT(--ISNUMBER(SEARCH('Scoring Model'!$G$16:$G$23,K569)))&gt;0,'Scoring Model'!$B$19,0)</f>
        <v>-30</v>
      </c>
      <c r="AD569" s="3" t="n">
        <f aca="false">IF(W569="Likely Spam","",SUM(X569:AC569))</f>
        <v>-10</v>
      </c>
      <c r="AE569" s="3" t="str">
        <f aca="false">IF(W569="Likely Spam","Spam",IF(AD569&gt;='Scoring Model'!$B$21,"Hot",IF(AD569&gt;='Scoring Model'!$B$22,"Warm","Nurture")))</f>
        <v>Nurture</v>
      </c>
      <c r="AF569" s="3" t="str">
        <f aca="false">IF(W569="Likely Spam","Flagged by spam rules",TRIM(IF(X569&gt;=20,"Strong source. ","")&amp;IF(Y569&gt;0,"Company email. ","")&amp;IF(Z569&gt;=15,"High-value product. ","")&amp;IF(AA569&gt;='Scoring Model'!$B$15,"High engagement. ","")&amp;IF(AB569&gt;0,"Buying intent in message. ","")&amp;IF(AC569&lt;0,"Negative intent in message. ","")))</f>
        <v>Negative intent in message.</v>
      </c>
      <c r="AG569" s="11" t="n">
        <f aca="false">IF(W569="Likely Spam","",1/(1+EXP(-('Conversion Model'!$B$5+IFERROR(INDEX('Conversion Model'!$B$8:$B$14,MATCH(C569,'Conversion Model'!$A$8:$A$14,0)),0)+IFERROR(INDEX('Conversion Model'!$E$8:$E$9,MATCH(F569,'Conversion Model'!$D$8:$D$9,0)),0)+IFERROR(INDEX('Conversion Model'!$H$8:$H$12,MATCH(IF(LEFT(J569,8)="Payments","Payments",IF(LEFT(J569,7)="Lending","Lending",J569)),'Conversion Model'!$G$8:$G$12,0)),0)+MIN(L569,15)*'Conversion Model'!$B$17+IF(SUMPRODUCT(--ISNUMBER(SEARCH('Scoring Model'!$D$16:$D$25,K569)))&gt;0,'Conversion Model'!$B$18,0)+IF(SUMPRODUCT(--ISNUMBER(SEARCH('Scoring Model'!$G$16:$G$23,K569)))&gt;0,'Conversion Model'!$B$19,0)))))</f>
        <v>0.000770269144442226</v>
      </c>
      <c r="AH569" s="3" t="n">
        <f aca="false">IF(OR(O569="Qualified",O569="Won",O569="Lost"),1,IF(O569="Unqualified",0,""))</f>
        <v>0</v>
      </c>
    </row>
    <row r="570" customFormat="false" ht="15" hidden="false" customHeight="true" outlineLevel="0" collapsed="false">
      <c r="A570" s="3" t="s">
        <v>1982</v>
      </c>
      <c r="B570" s="9" t="n">
        <v>46185.1722222222</v>
      </c>
      <c r="C570" s="3" t="s">
        <v>51</v>
      </c>
      <c r="D570" s="3" t="s">
        <v>1411</v>
      </c>
      <c r="E570" s="3" t="s">
        <v>62</v>
      </c>
      <c r="F570" s="3" t="s">
        <v>22</v>
      </c>
      <c r="G570" s="3" t="s">
        <v>237</v>
      </c>
      <c r="H570" s="3" t="s">
        <v>238</v>
      </c>
      <c r="I570" s="3" t="s">
        <v>56</v>
      </c>
      <c r="J570" s="3" t="s">
        <v>65</v>
      </c>
      <c r="K570" s="3" t="s">
        <v>95</v>
      </c>
      <c r="L570" s="3" t="n">
        <v>2</v>
      </c>
      <c r="M570" s="3" t="n">
        <v>12.2</v>
      </c>
      <c r="N570" s="3" t="s">
        <v>67</v>
      </c>
      <c r="O570" s="3" t="s">
        <v>68</v>
      </c>
      <c r="P570" s="10"/>
      <c r="Q570" s="3" t="n">
        <f aca="false">IF(F570="Disposable",1,0)</f>
        <v>0</v>
      </c>
      <c r="R570" s="3" t="n">
        <f aca="false">IF(SUMPRODUCT(--ISNUMBER(SEARCH('Spam Rules'!$A$22:$A$35,K570)))&gt;0,1,0)</f>
        <v>1</v>
      </c>
      <c r="S570" s="3" t="n">
        <f aca="false">IF(AND(F570="Free",G570=""),1,0)</f>
        <v>0</v>
      </c>
      <c r="T570" s="3" t="n">
        <f aca="false">IF(LEN(TRIM(K570))&lt;15,1,0)</f>
        <v>0</v>
      </c>
      <c r="U570" s="3" t="n">
        <f aca="false">IF(COUNTIF($E$2:$E$801,E570)&gt;1,1,0)</f>
        <v>1</v>
      </c>
      <c r="V570" s="3" t="n">
        <f aca="false">Q570*'Spam Rules'!$H$6+R570*'Spam Rules'!$H$7+S570*'Spam Rules'!$H$8+T570*'Spam Rules'!$H$9+U570*'Spam Rules'!$H$10</f>
        <v>1</v>
      </c>
      <c r="W570" s="3" t="str">
        <f aca="false">IF(V570&gt;='Spam Rules'!$B$3,"Likely Spam","Genuine")</f>
        <v>Likely Spam</v>
      </c>
      <c r="X570" s="3" t="n">
        <f aca="false">IFERROR(INDEX('Scoring Model'!$B$5:$B$11,MATCH(C570,'Scoring Model'!$A$5:$A$11,0)),0)</f>
        <v>10</v>
      </c>
      <c r="Y570" s="3" t="n">
        <f aca="false">IFERROR(INDEX('Scoring Model'!$E$5:$E$7,MATCH(F570,'Scoring Model'!$D$5:$D$7,0)),0)</f>
        <v>20</v>
      </c>
      <c r="Z570" s="3" t="n">
        <f aca="false">IFERROR(INDEX('Scoring Model'!$H$5:$H$13,MATCH(J570,'Scoring Model'!$G$5:$G$13,0)),0)</f>
        <v>0</v>
      </c>
      <c r="AA570" s="3" t="n">
        <f aca="false">IF(L570&gt;='Scoring Model'!$B$14,'Scoring Model'!$B$15,IF(L570&gt;='Scoring Model'!$B$16,'Scoring Model'!$B$17,0))</f>
        <v>0</v>
      </c>
      <c r="AB570" s="3" t="n">
        <f aca="false">IF(SUMPRODUCT(--ISNUMBER(SEARCH('Scoring Model'!$D$16:$D$25,K570)))&gt;0,'Scoring Model'!$B$18,0)</f>
        <v>0</v>
      </c>
      <c r="AC570" s="3" t="n">
        <f aca="false">IF(SUMPRODUCT(--ISNUMBER(SEARCH('Scoring Model'!$G$16:$G$23,K570)))&gt;0,'Scoring Model'!$B$19,0)</f>
        <v>0</v>
      </c>
      <c r="AD570" s="3" t="str">
        <f aca="false">IF(W570="Likely Spam","",SUM(X570:AC570))</f>
        <v/>
      </c>
      <c r="AE570" s="3" t="str">
        <f aca="false">IF(W570="Likely Spam","Spam",IF(AD570&gt;='Scoring Model'!$B$21,"Hot",IF(AD570&gt;='Scoring Model'!$B$22,"Warm","Nurture")))</f>
        <v>Spam</v>
      </c>
      <c r="AF570" s="3" t="str">
        <f aca="false">IF(W570="Likely Spam","Flagged by spam rules",TRIM(IF(X570&gt;=20,"Strong source. ","")&amp;IF(Y570&gt;0,"Company email. ","")&amp;IF(Z570&gt;=15,"High-value product. ","")&amp;IF(AA570&gt;='Scoring Model'!$B$15,"High engagement. ","")&amp;IF(AB570&gt;0,"Buying intent in message. ","")&amp;IF(AC570&lt;0,"Negative intent in message. ","")))</f>
        <v>Flagged by spam rules</v>
      </c>
      <c r="AG570" s="11" t="str">
        <f aca="false">IF(W570="Likely Spam","",1/(1+EXP(-('Conversion Model'!$B$5+IFERROR(INDEX('Conversion Model'!$B$8:$B$14,MATCH(C570,'Conversion Model'!$A$8:$A$14,0)),0)+IFERROR(INDEX('Conversion Model'!$E$8:$E$9,MATCH(F570,'Conversion Model'!$D$8:$D$9,0)),0)+IFERROR(INDEX('Conversion Model'!$H$8:$H$12,MATCH(IF(LEFT(J570,8)="Payments","Payments",IF(LEFT(J570,7)="Lending","Lending",J570)),'Conversion Model'!$G$8:$G$12,0)),0)+MIN(L570,15)*'Conversion Model'!$B$17+IF(SUMPRODUCT(--ISNUMBER(SEARCH('Scoring Model'!$D$16:$D$25,K570)))&gt;0,'Conversion Model'!$B$18,0)+IF(SUMPRODUCT(--ISNUMBER(SEARCH('Scoring Model'!$G$16:$G$23,K570)))&gt;0,'Conversion Model'!$B$19,0)))))</f>
        <v/>
      </c>
      <c r="AH570" s="3" t="str">
        <f aca="false">IF(OR(O570="Qualified",O570="Won",O570="Lost"),1,IF(O570="Unqualified",0,""))</f>
        <v/>
      </c>
    </row>
    <row r="571" customFormat="false" ht="15" hidden="false" customHeight="true" outlineLevel="0" collapsed="false">
      <c r="A571" s="3" t="s">
        <v>1983</v>
      </c>
      <c r="B571" s="9" t="n">
        <v>46186.0430555556</v>
      </c>
      <c r="C571" s="3" t="s">
        <v>160</v>
      </c>
      <c r="D571" s="3" t="s">
        <v>1984</v>
      </c>
      <c r="E571" s="3" t="s">
        <v>1985</v>
      </c>
      <c r="F571" s="3" t="s">
        <v>22</v>
      </c>
      <c r="G571" s="3" t="s">
        <v>683</v>
      </c>
      <c r="H571" s="3" t="s">
        <v>684</v>
      </c>
      <c r="I571" s="3" t="s">
        <v>73</v>
      </c>
      <c r="J571" s="3" t="s">
        <v>245</v>
      </c>
      <c r="K571" s="3" t="s">
        <v>228</v>
      </c>
      <c r="L571" s="3" t="n">
        <v>3</v>
      </c>
      <c r="M571" s="3" t="n">
        <v>8.3</v>
      </c>
      <c r="N571" s="3" t="s">
        <v>96</v>
      </c>
      <c r="O571" s="3" t="s">
        <v>147</v>
      </c>
      <c r="P571" s="10" t="n">
        <v>120000</v>
      </c>
      <c r="Q571" s="3" t="n">
        <f aca="false">IF(F571="Disposable",1,0)</f>
        <v>0</v>
      </c>
      <c r="R571" s="3" t="n">
        <f aca="false">IF(SUMPRODUCT(--ISNUMBER(SEARCH('Spam Rules'!$A$22:$A$35,K571)))&gt;0,1,0)</f>
        <v>0</v>
      </c>
      <c r="S571" s="3" t="n">
        <f aca="false">IF(AND(F571="Free",G571=""),1,0)</f>
        <v>0</v>
      </c>
      <c r="T571" s="3" t="n">
        <f aca="false">IF(LEN(TRIM(K571))&lt;15,1,0)</f>
        <v>0</v>
      </c>
      <c r="U571" s="3" t="n">
        <f aca="false">IF(COUNTIF($E$2:$E$801,E571)&gt;1,1,0)</f>
        <v>0</v>
      </c>
      <c r="V571" s="3" t="n">
        <f aca="false">Q571*'Spam Rules'!$H$6+R571*'Spam Rules'!$H$7+S571*'Spam Rules'!$H$8+T571*'Spam Rules'!$H$9+U571*'Spam Rules'!$H$10</f>
        <v>0</v>
      </c>
      <c r="W571" s="3" t="str">
        <f aca="false">IF(V571&gt;='Spam Rules'!$B$3,"Likely Spam","Genuine")</f>
        <v>Genuine</v>
      </c>
      <c r="X571" s="3" t="n">
        <f aca="false">IFERROR(INDEX('Scoring Model'!$B$5:$B$11,MATCH(C571,'Scoring Model'!$A$5:$A$11,0)),0)</f>
        <v>25</v>
      </c>
      <c r="Y571" s="3" t="n">
        <f aca="false">IFERROR(INDEX('Scoring Model'!$E$5:$E$7,MATCH(F571,'Scoring Model'!$D$5:$D$7,0)),0)</f>
        <v>20</v>
      </c>
      <c r="Z571" s="3" t="n">
        <f aca="false">IFERROR(INDEX('Scoring Model'!$H$5:$H$13,MATCH(J571,'Scoring Model'!$G$5:$G$13,0)),0)</f>
        <v>15</v>
      </c>
      <c r="AA571" s="3" t="n">
        <f aca="false">IF(L571&gt;='Scoring Model'!$B$14,'Scoring Model'!$B$15,IF(L571&gt;='Scoring Model'!$B$16,'Scoring Model'!$B$17,0))</f>
        <v>0</v>
      </c>
      <c r="AB571" s="3" t="n">
        <f aca="false">IF(SUMPRODUCT(--ISNUMBER(SEARCH('Scoring Model'!$D$16:$D$25,K571)))&gt;0,'Scoring Model'!$B$18,0)</f>
        <v>15</v>
      </c>
      <c r="AC571" s="3" t="n">
        <f aca="false">IF(SUMPRODUCT(--ISNUMBER(SEARCH('Scoring Model'!$G$16:$G$23,K571)))&gt;0,'Scoring Model'!$B$19,0)</f>
        <v>0</v>
      </c>
      <c r="AD571" s="3" t="n">
        <f aca="false">IF(W571="Likely Spam","",SUM(X571:AC571))</f>
        <v>75</v>
      </c>
      <c r="AE571" s="3" t="str">
        <f aca="false">IF(W571="Likely Spam","Spam",IF(AD571&gt;='Scoring Model'!$B$21,"Hot",IF(AD571&gt;='Scoring Model'!$B$22,"Warm","Nurture")))</f>
        <v>Hot</v>
      </c>
      <c r="AF571" s="3" t="str">
        <f aca="false">IF(W571="Likely Spam","Flagged by spam rules",TRIM(IF(X571&gt;=20,"Strong source. ","")&amp;IF(Y571&gt;0,"Company email. ","")&amp;IF(Z571&gt;=15,"High-value product. ","")&amp;IF(AA571&gt;='Scoring Model'!$B$15,"High engagement. ","")&amp;IF(AB571&gt;0,"Buying intent in message. ","")&amp;IF(AC571&lt;0,"Negative intent in message. ","")))</f>
        <v>Strong source. Company email. High-value product. Buying intent in message.</v>
      </c>
      <c r="AG571" s="11" t="n">
        <f aca="false">IF(W571="Likely Spam","",1/(1+EXP(-('Conversion Model'!$B$5+IFERROR(INDEX('Conversion Model'!$B$8:$B$14,MATCH(C571,'Conversion Model'!$A$8:$A$14,0)),0)+IFERROR(INDEX('Conversion Model'!$E$8:$E$9,MATCH(F571,'Conversion Model'!$D$8:$D$9,0)),0)+IFERROR(INDEX('Conversion Model'!$H$8:$H$12,MATCH(IF(LEFT(J571,8)="Payments","Payments",IF(LEFT(J571,7)="Lending","Lending",J571)),'Conversion Model'!$G$8:$G$12,0)),0)+MIN(L571,15)*'Conversion Model'!$B$17+IF(SUMPRODUCT(--ISNUMBER(SEARCH('Scoring Model'!$D$16:$D$25,K571)))&gt;0,'Conversion Model'!$B$18,0)+IF(SUMPRODUCT(--ISNUMBER(SEARCH('Scoring Model'!$G$16:$G$23,K571)))&gt;0,'Conversion Model'!$B$19,0)))))</f>
        <v>0.653169391528382</v>
      </c>
      <c r="AH571" s="3" t="n">
        <f aca="false">IF(OR(O571="Qualified",O571="Won",O571="Lost"),1,IF(O571="Unqualified",0,""))</f>
        <v>1</v>
      </c>
    </row>
    <row r="572" customFormat="false" ht="15" hidden="false" customHeight="true" outlineLevel="0" collapsed="false">
      <c r="A572" s="3" t="s">
        <v>1986</v>
      </c>
      <c r="B572" s="9" t="n">
        <v>46186.2979166667</v>
      </c>
      <c r="C572" s="3" t="s">
        <v>128</v>
      </c>
      <c r="D572" s="3" t="s">
        <v>511</v>
      </c>
      <c r="E572" s="3" t="s">
        <v>1987</v>
      </c>
      <c r="F572" s="3" t="s">
        <v>54</v>
      </c>
      <c r="G572" s="3" t="s">
        <v>163</v>
      </c>
      <c r="H572" s="3"/>
      <c r="I572" s="3" t="s">
        <v>116</v>
      </c>
      <c r="J572" s="3" t="s">
        <v>57</v>
      </c>
      <c r="K572" s="3" t="s">
        <v>189</v>
      </c>
      <c r="L572" s="3" t="n">
        <v>7</v>
      </c>
      <c r="M572" s="3" t="n">
        <v>6.3</v>
      </c>
      <c r="N572" s="3" t="s">
        <v>59</v>
      </c>
      <c r="O572" s="3" t="s">
        <v>147</v>
      </c>
      <c r="P572" s="10" t="n">
        <v>96000</v>
      </c>
      <c r="Q572" s="3" t="n">
        <f aca="false">IF(F572="Disposable",1,0)</f>
        <v>0</v>
      </c>
      <c r="R572" s="3" t="n">
        <f aca="false">IF(SUMPRODUCT(--ISNUMBER(SEARCH('Spam Rules'!$A$22:$A$35,K572)))&gt;0,1,0)</f>
        <v>0</v>
      </c>
      <c r="S572" s="3" t="n">
        <f aca="false">IF(AND(F572="Free",G572=""),1,0)</f>
        <v>0</v>
      </c>
      <c r="T572" s="3" t="n">
        <f aca="false">IF(LEN(TRIM(K572))&lt;15,1,0)</f>
        <v>0</v>
      </c>
      <c r="U572" s="3" t="n">
        <f aca="false">IF(COUNTIF($E$2:$E$801,E572)&gt;1,1,0)</f>
        <v>0</v>
      </c>
      <c r="V572" s="3" t="n">
        <f aca="false">Q572*'Spam Rules'!$H$6+R572*'Spam Rules'!$H$7+S572*'Spam Rules'!$H$8+T572*'Spam Rules'!$H$9+U572*'Spam Rules'!$H$10</f>
        <v>0</v>
      </c>
      <c r="W572" s="3" t="str">
        <f aca="false">IF(V572&gt;='Spam Rules'!$B$3,"Likely Spam","Genuine")</f>
        <v>Genuine</v>
      </c>
      <c r="X572" s="3" t="n">
        <f aca="false">IFERROR(INDEX('Scoring Model'!$B$5:$B$11,MATCH(C572,'Scoring Model'!$A$5:$A$11,0)),0)</f>
        <v>30</v>
      </c>
      <c r="Y572" s="3" t="n">
        <f aca="false">IFERROR(INDEX('Scoring Model'!$E$5:$E$7,MATCH(F572,'Scoring Model'!$D$5:$D$7,0)),0)</f>
        <v>0</v>
      </c>
      <c r="Z572" s="3" t="n">
        <f aca="false">IFERROR(INDEX('Scoring Model'!$H$5:$H$13,MATCH(J572,'Scoring Model'!$G$5:$G$13,0)),0)</f>
        <v>15</v>
      </c>
      <c r="AA572" s="3" t="n">
        <f aca="false">IF(L572&gt;='Scoring Model'!$B$14,'Scoring Model'!$B$15,IF(L572&gt;='Scoring Model'!$B$16,'Scoring Model'!$B$17,0))</f>
        <v>8</v>
      </c>
      <c r="AB572" s="3" t="n">
        <f aca="false">IF(SUMPRODUCT(--ISNUMBER(SEARCH('Scoring Model'!$D$16:$D$25,K572)))&gt;0,'Scoring Model'!$B$18,0)</f>
        <v>15</v>
      </c>
      <c r="AC572" s="3" t="n">
        <f aca="false">IF(SUMPRODUCT(--ISNUMBER(SEARCH('Scoring Model'!$G$16:$G$23,K572)))&gt;0,'Scoring Model'!$B$19,0)</f>
        <v>0</v>
      </c>
      <c r="AD572" s="3" t="n">
        <f aca="false">IF(W572="Likely Spam","",SUM(X572:AC572))</f>
        <v>68</v>
      </c>
      <c r="AE572" s="3" t="str">
        <f aca="false">IF(W572="Likely Spam","Spam",IF(AD572&gt;='Scoring Model'!$B$21,"Hot",IF(AD572&gt;='Scoring Model'!$B$22,"Warm","Nurture")))</f>
        <v>Warm</v>
      </c>
      <c r="AF572" s="3" t="str">
        <f aca="false">IF(W572="Likely Spam","Flagged by spam rules",TRIM(IF(X572&gt;=20,"Strong source. ","")&amp;IF(Y572&gt;0,"Company email. ","")&amp;IF(Z572&gt;=15,"High-value product. ","")&amp;IF(AA572&gt;='Scoring Model'!$B$15,"High engagement. ","")&amp;IF(AB572&gt;0,"Buying intent in message. ","")&amp;IF(AC572&lt;0,"Negative intent in message. ","")))</f>
        <v>Strong source. High-value product. Buying intent in message.</v>
      </c>
      <c r="AG572" s="11" t="n">
        <f aca="false">IF(W572="Likely Spam","",1/(1+EXP(-('Conversion Model'!$B$5+IFERROR(INDEX('Conversion Model'!$B$8:$B$14,MATCH(C572,'Conversion Model'!$A$8:$A$14,0)),0)+IFERROR(INDEX('Conversion Model'!$E$8:$E$9,MATCH(F572,'Conversion Model'!$D$8:$D$9,0)),0)+IFERROR(INDEX('Conversion Model'!$H$8:$H$12,MATCH(IF(LEFT(J572,8)="Payments","Payments",IF(LEFT(J572,7)="Lending","Lending",J572)),'Conversion Model'!$G$8:$G$12,0)),0)+MIN(L572,15)*'Conversion Model'!$B$17+IF(SUMPRODUCT(--ISNUMBER(SEARCH('Scoring Model'!$D$16:$D$25,K572)))&gt;0,'Conversion Model'!$B$18,0)+IF(SUMPRODUCT(--ISNUMBER(SEARCH('Scoring Model'!$G$16:$G$23,K572)))&gt;0,'Conversion Model'!$B$19,0)))))</f>
        <v>0.937262262592271</v>
      </c>
      <c r="AH572" s="3" t="n">
        <f aca="false">IF(OR(O572="Qualified",O572="Won",O572="Lost"),1,IF(O572="Unqualified",0,""))</f>
        <v>1</v>
      </c>
    </row>
    <row r="573" customFormat="false" ht="15" hidden="false" customHeight="true" outlineLevel="0" collapsed="false">
      <c r="A573" s="3" t="s">
        <v>1988</v>
      </c>
      <c r="B573" s="9" t="n">
        <v>46186.9611111111</v>
      </c>
      <c r="C573" s="3" t="s">
        <v>76</v>
      </c>
      <c r="D573" s="3" t="s">
        <v>1916</v>
      </c>
      <c r="E573" s="3" t="s">
        <v>1989</v>
      </c>
      <c r="F573" s="3" t="s">
        <v>63</v>
      </c>
      <c r="G573" s="3"/>
      <c r="H573" s="3"/>
      <c r="I573" s="3" t="s">
        <v>139</v>
      </c>
      <c r="J573" s="3" t="s">
        <v>65</v>
      </c>
      <c r="K573" s="3" t="s">
        <v>170</v>
      </c>
      <c r="L573" s="3" t="n">
        <v>1</v>
      </c>
      <c r="M573" s="3" t="n">
        <v>19.4</v>
      </c>
      <c r="N573" s="3" t="s">
        <v>96</v>
      </c>
      <c r="O573" s="3" t="s">
        <v>68</v>
      </c>
      <c r="P573" s="10"/>
      <c r="Q573" s="3" t="n">
        <f aca="false">IF(F573="Disposable",1,0)</f>
        <v>1</v>
      </c>
      <c r="R573" s="3" t="n">
        <f aca="false">IF(SUMPRODUCT(--ISNUMBER(SEARCH('Spam Rules'!$A$22:$A$35,K573)))&gt;0,1,0)</f>
        <v>0</v>
      </c>
      <c r="S573" s="3" t="n">
        <f aca="false">IF(AND(F573="Free",G573=""),1,0)</f>
        <v>0</v>
      </c>
      <c r="T573" s="3" t="n">
        <f aca="false">IF(LEN(TRIM(K573))&lt;15,1,0)</f>
        <v>1</v>
      </c>
      <c r="U573" s="3" t="n">
        <f aca="false">IF(COUNTIF($E$2:$E$801,E573)&gt;1,1,0)</f>
        <v>0</v>
      </c>
      <c r="V573" s="3" t="n">
        <f aca="false">Q573*'Spam Rules'!$H$6+R573*'Spam Rules'!$H$7+S573*'Spam Rules'!$H$8+T573*'Spam Rules'!$H$9+U573*'Spam Rules'!$H$10</f>
        <v>2</v>
      </c>
      <c r="W573" s="3" t="str">
        <f aca="false">IF(V573&gt;='Spam Rules'!$B$3,"Likely Spam","Genuine")</f>
        <v>Likely Spam</v>
      </c>
      <c r="X573" s="3" t="n">
        <f aca="false">IFERROR(INDEX('Scoring Model'!$B$5:$B$11,MATCH(C573,'Scoring Model'!$A$5:$A$11,0)),0)</f>
        <v>0</v>
      </c>
      <c r="Y573" s="3" t="n">
        <f aca="false">IFERROR(INDEX('Scoring Model'!$E$5:$E$7,MATCH(F573,'Scoring Model'!$D$5:$D$7,0)),0)</f>
        <v>0</v>
      </c>
      <c r="Z573" s="3" t="n">
        <f aca="false">IFERROR(INDEX('Scoring Model'!$H$5:$H$13,MATCH(J573,'Scoring Model'!$G$5:$G$13,0)),0)</f>
        <v>0</v>
      </c>
      <c r="AA573" s="3" t="n">
        <f aca="false">IF(L573&gt;='Scoring Model'!$B$14,'Scoring Model'!$B$15,IF(L573&gt;='Scoring Model'!$B$16,'Scoring Model'!$B$17,0))</f>
        <v>0</v>
      </c>
      <c r="AB573" s="3" t="n">
        <f aca="false">IF(SUMPRODUCT(--ISNUMBER(SEARCH('Scoring Model'!$D$16:$D$25,K573)))&gt;0,'Scoring Model'!$B$18,0)</f>
        <v>0</v>
      </c>
      <c r="AC573" s="3" t="n">
        <f aca="false">IF(SUMPRODUCT(--ISNUMBER(SEARCH('Scoring Model'!$G$16:$G$23,K573)))&gt;0,'Scoring Model'!$B$19,0)</f>
        <v>0</v>
      </c>
      <c r="AD573" s="3" t="str">
        <f aca="false">IF(W573="Likely Spam","",SUM(X573:AC573))</f>
        <v/>
      </c>
      <c r="AE573" s="3" t="str">
        <f aca="false">IF(W573="Likely Spam","Spam",IF(AD573&gt;='Scoring Model'!$B$21,"Hot",IF(AD573&gt;='Scoring Model'!$B$22,"Warm","Nurture")))</f>
        <v>Spam</v>
      </c>
      <c r="AF573" s="3" t="str">
        <f aca="false">IF(W573="Likely Spam","Flagged by spam rules",TRIM(IF(X573&gt;=20,"Strong source. ","")&amp;IF(Y573&gt;0,"Company email. ","")&amp;IF(Z573&gt;=15,"High-value product. ","")&amp;IF(AA573&gt;='Scoring Model'!$B$15,"High engagement. ","")&amp;IF(AB573&gt;0,"Buying intent in message. ","")&amp;IF(AC573&lt;0,"Negative intent in message. ","")))</f>
        <v>Flagged by spam rules</v>
      </c>
      <c r="AG573" s="11" t="str">
        <f aca="false">IF(W573="Likely Spam","",1/(1+EXP(-('Conversion Model'!$B$5+IFERROR(INDEX('Conversion Model'!$B$8:$B$14,MATCH(C573,'Conversion Model'!$A$8:$A$14,0)),0)+IFERROR(INDEX('Conversion Model'!$E$8:$E$9,MATCH(F573,'Conversion Model'!$D$8:$D$9,0)),0)+IFERROR(INDEX('Conversion Model'!$H$8:$H$12,MATCH(IF(LEFT(J573,8)="Payments","Payments",IF(LEFT(J573,7)="Lending","Lending",J573)),'Conversion Model'!$G$8:$G$12,0)),0)+MIN(L573,15)*'Conversion Model'!$B$17+IF(SUMPRODUCT(--ISNUMBER(SEARCH('Scoring Model'!$D$16:$D$25,K573)))&gt;0,'Conversion Model'!$B$18,0)+IF(SUMPRODUCT(--ISNUMBER(SEARCH('Scoring Model'!$G$16:$G$23,K573)))&gt;0,'Conversion Model'!$B$19,0)))))</f>
        <v/>
      </c>
      <c r="AH573" s="3" t="str">
        <f aca="false">IF(OR(O573="Qualified",O573="Won",O573="Lost"),1,IF(O573="Unqualified",0,""))</f>
        <v/>
      </c>
    </row>
    <row r="574" customFormat="false" ht="15" hidden="false" customHeight="true" outlineLevel="0" collapsed="false">
      <c r="A574" s="3" t="s">
        <v>1990</v>
      </c>
      <c r="B574" s="9" t="n">
        <v>46186.9791666667</v>
      </c>
      <c r="C574" s="3" t="s">
        <v>51</v>
      </c>
      <c r="D574" s="3" t="s">
        <v>1991</v>
      </c>
      <c r="E574" s="3" t="s">
        <v>1992</v>
      </c>
      <c r="F574" s="3" t="s">
        <v>63</v>
      </c>
      <c r="G574" s="3"/>
      <c r="H574" s="3"/>
      <c r="I574" s="3" t="s">
        <v>56</v>
      </c>
      <c r="J574" s="3" t="s">
        <v>122</v>
      </c>
      <c r="K574" s="3" t="s">
        <v>363</v>
      </c>
      <c r="L574" s="3" t="n">
        <v>1</v>
      </c>
      <c r="M574" s="3"/>
      <c r="N574" s="3" t="s">
        <v>171</v>
      </c>
      <c r="O574" s="3"/>
      <c r="P574" s="10"/>
      <c r="Q574" s="3" t="n">
        <f aca="false">IF(F574="Disposable",1,0)</f>
        <v>1</v>
      </c>
      <c r="R574" s="3" t="n">
        <f aca="false">IF(SUMPRODUCT(--ISNUMBER(SEARCH('Spam Rules'!$A$22:$A$35,K574)))&gt;0,1,0)</f>
        <v>1</v>
      </c>
      <c r="S574" s="3" t="n">
        <f aca="false">IF(AND(F574="Free",G574=""),1,0)</f>
        <v>0</v>
      </c>
      <c r="T574" s="3" t="n">
        <f aca="false">IF(LEN(TRIM(K574))&lt;15,1,0)</f>
        <v>0</v>
      </c>
      <c r="U574" s="3" t="n">
        <f aca="false">IF(COUNTIF($E$2:$E$801,E574)&gt;1,1,0)</f>
        <v>0</v>
      </c>
      <c r="V574" s="3" t="n">
        <f aca="false">Q574*'Spam Rules'!$H$6+R574*'Spam Rules'!$H$7+S574*'Spam Rules'!$H$8+T574*'Spam Rules'!$H$9+U574*'Spam Rules'!$H$10</f>
        <v>2</v>
      </c>
      <c r="W574" s="3" t="str">
        <f aca="false">IF(V574&gt;='Spam Rules'!$B$3,"Likely Spam","Genuine")</f>
        <v>Likely Spam</v>
      </c>
      <c r="X574" s="3" t="n">
        <f aca="false">IFERROR(INDEX('Scoring Model'!$B$5:$B$11,MATCH(C574,'Scoring Model'!$A$5:$A$11,0)),0)</f>
        <v>10</v>
      </c>
      <c r="Y574" s="3" t="n">
        <f aca="false">IFERROR(INDEX('Scoring Model'!$E$5:$E$7,MATCH(F574,'Scoring Model'!$D$5:$D$7,0)),0)</f>
        <v>0</v>
      </c>
      <c r="Z574" s="3" t="n">
        <f aca="false">IFERROR(INDEX('Scoring Model'!$H$5:$H$13,MATCH(J574,'Scoring Model'!$G$5:$G$13,0)),0)</f>
        <v>15</v>
      </c>
      <c r="AA574" s="3" t="n">
        <f aca="false">IF(L574&gt;='Scoring Model'!$B$14,'Scoring Model'!$B$15,IF(L574&gt;='Scoring Model'!$B$16,'Scoring Model'!$B$17,0))</f>
        <v>0</v>
      </c>
      <c r="AB574" s="3" t="n">
        <f aca="false">IF(SUMPRODUCT(--ISNUMBER(SEARCH('Scoring Model'!$D$16:$D$25,K574)))&gt;0,'Scoring Model'!$B$18,0)</f>
        <v>0</v>
      </c>
      <c r="AC574" s="3" t="n">
        <f aca="false">IF(SUMPRODUCT(--ISNUMBER(SEARCH('Scoring Model'!$G$16:$G$23,K574)))&gt;0,'Scoring Model'!$B$19,0)</f>
        <v>0</v>
      </c>
      <c r="AD574" s="3" t="str">
        <f aca="false">IF(W574="Likely Spam","",SUM(X574:AC574))</f>
        <v/>
      </c>
      <c r="AE574" s="3" t="str">
        <f aca="false">IF(W574="Likely Spam","Spam",IF(AD574&gt;='Scoring Model'!$B$21,"Hot",IF(AD574&gt;='Scoring Model'!$B$22,"Warm","Nurture")))</f>
        <v>Spam</v>
      </c>
      <c r="AF574" s="3" t="str">
        <f aca="false">IF(W574="Likely Spam","Flagged by spam rules",TRIM(IF(X574&gt;=20,"Strong source. ","")&amp;IF(Y574&gt;0,"Company email. ","")&amp;IF(Z574&gt;=15,"High-value product. ","")&amp;IF(AA574&gt;='Scoring Model'!$B$15,"High engagement. ","")&amp;IF(AB574&gt;0,"Buying intent in message. ","")&amp;IF(AC574&lt;0,"Negative intent in message. ","")))</f>
        <v>Flagged by spam rules</v>
      </c>
      <c r="AG574" s="11" t="str">
        <f aca="false">IF(W574="Likely Spam","",1/(1+EXP(-('Conversion Model'!$B$5+IFERROR(INDEX('Conversion Model'!$B$8:$B$14,MATCH(C574,'Conversion Model'!$A$8:$A$14,0)),0)+IFERROR(INDEX('Conversion Model'!$E$8:$E$9,MATCH(F574,'Conversion Model'!$D$8:$D$9,0)),0)+IFERROR(INDEX('Conversion Model'!$H$8:$H$12,MATCH(IF(LEFT(J574,8)="Payments","Payments",IF(LEFT(J574,7)="Lending","Lending",J574)),'Conversion Model'!$G$8:$G$12,0)),0)+MIN(L574,15)*'Conversion Model'!$B$17+IF(SUMPRODUCT(--ISNUMBER(SEARCH('Scoring Model'!$D$16:$D$25,K574)))&gt;0,'Conversion Model'!$B$18,0)+IF(SUMPRODUCT(--ISNUMBER(SEARCH('Scoring Model'!$G$16:$G$23,K574)))&gt;0,'Conversion Model'!$B$19,0)))))</f>
        <v/>
      </c>
      <c r="AH574" s="3" t="str">
        <f aca="false">IF(OR(O574="Qualified",O574="Won",O574="Lost"),1,IF(O574="Unqualified",0,""))</f>
        <v/>
      </c>
    </row>
    <row r="575" customFormat="false" ht="15" hidden="false" customHeight="true" outlineLevel="0" collapsed="false">
      <c r="A575" s="3" t="s">
        <v>1993</v>
      </c>
      <c r="B575" s="9" t="n">
        <v>46187.1993055556</v>
      </c>
      <c r="C575" s="3" t="s">
        <v>135</v>
      </c>
      <c r="D575" s="3" t="s">
        <v>1113</v>
      </c>
      <c r="E575" s="3" t="s">
        <v>1994</v>
      </c>
      <c r="F575" s="3" t="s">
        <v>22</v>
      </c>
      <c r="G575" s="3" t="s">
        <v>1158</v>
      </c>
      <c r="H575" s="3" t="s">
        <v>1159</v>
      </c>
      <c r="I575" s="3" t="s">
        <v>80</v>
      </c>
      <c r="J575" s="3" t="s">
        <v>245</v>
      </c>
      <c r="K575" s="3" t="s">
        <v>58</v>
      </c>
      <c r="L575" s="3" t="n">
        <v>9</v>
      </c>
      <c r="M575" s="3" t="n">
        <v>3.9</v>
      </c>
      <c r="N575" s="3" t="s">
        <v>59</v>
      </c>
      <c r="O575" s="3" t="s">
        <v>147</v>
      </c>
      <c r="P575" s="10" t="n">
        <v>36000</v>
      </c>
      <c r="Q575" s="3" t="n">
        <f aca="false">IF(F575="Disposable",1,0)</f>
        <v>0</v>
      </c>
      <c r="R575" s="3" t="n">
        <f aca="false">IF(SUMPRODUCT(--ISNUMBER(SEARCH('Spam Rules'!$A$22:$A$35,K575)))&gt;0,1,0)</f>
        <v>0</v>
      </c>
      <c r="S575" s="3" t="n">
        <f aca="false">IF(AND(F575="Free",G575=""),1,0)</f>
        <v>0</v>
      </c>
      <c r="T575" s="3" t="n">
        <f aca="false">IF(LEN(TRIM(K575))&lt;15,1,0)</f>
        <v>0</v>
      </c>
      <c r="U575" s="3" t="n">
        <f aca="false">IF(COUNTIF($E$2:$E$801,E575)&gt;1,1,0)</f>
        <v>0</v>
      </c>
      <c r="V575" s="3" t="n">
        <f aca="false">Q575*'Spam Rules'!$H$6+R575*'Spam Rules'!$H$7+S575*'Spam Rules'!$H$8+T575*'Spam Rules'!$H$9+U575*'Spam Rules'!$H$10</f>
        <v>0</v>
      </c>
      <c r="W575" s="3" t="str">
        <f aca="false">IF(V575&gt;='Spam Rules'!$B$3,"Likely Spam","Genuine")</f>
        <v>Genuine</v>
      </c>
      <c r="X575" s="3" t="n">
        <f aca="false">IFERROR(INDEX('Scoring Model'!$B$5:$B$11,MATCH(C575,'Scoring Model'!$A$5:$A$11,0)),0)</f>
        <v>20</v>
      </c>
      <c r="Y575" s="3" t="n">
        <f aca="false">IFERROR(INDEX('Scoring Model'!$E$5:$E$7,MATCH(F575,'Scoring Model'!$D$5:$D$7,0)),0)</f>
        <v>20</v>
      </c>
      <c r="Z575" s="3" t="n">
        <f aca="false">IFERROR(INDEX('Scoring Model'!$H$5:$H$13,MATCH(J575,'Scoring Model'!$G$5:$G$13,0)),0)</f>
        <v>15</v>
      </c>
      <c r="AA575" s="3" t="n">
        <f aca="false">IF(L575&gt;='Scoring Model'!$B$14,'Scoring Model'!$B$15,IF(L575&gt;='Scoring Model'!$B$16,'Scoring Model'!$B$17,0))</f>
        <v>15</v>
      </c>
      <c r="AB575" s="3" t="n">
        <f aca="false">IF(SUMPRODUCT(--ISNUMBER(SEARCH('Scoring Model'!$D$16:$D$25,K575)))&gt;0,'Scoring Model'!$B$18,0)</f>
        <v>15</v>
      </c>
      <c r="AC575" s="3" t="n">
        <f aca="false">IF(SUMPRODUCT(--ISNUMBER(SEARCH('Scoring Model'!$G$16:$G$23,K575)))&gt;0,'Scoring Model'!$B$19,0)</f>
        <v>0</v>
      </c>
      <c r="AD575" s="3" t="n">
        <f aca="false">IF(W575="Likely Spam","",SUM(X575:AC575))</f>
        <v>85</v>
      </c>
      <c r="AE575" s="3" t="str">
        <f aca="false">IF(W575="Likely Spam","Spam",IF(AD575&gt;='Scoring Model'!$B$21,"Hot",IF(AD575&gt;='Scoring Model'!$B$22,"Warm","Nurture")))</f>
        <v>Hot</v>
      </c>
      <c r="AF575" s="3" t="str">
        <f aca="false">IF(W575="Likely Spam","Flagged by spam rules",TRIM(IF(X575&gt;=20,"Strong source. ","")&amp;IF(Y575&gt;0,"Company email. ","")&amp;IF(Z575&gt;=15,"High-value product. ","")&amp;IF(AA575&gt;='Scoring Model'!$B$15,"High engagement. ","")&amp;IF(AB575&gt;0,"Buying intent in message. ","")&amp;IF(AC575&lt;0,"Negative intent in message. ","")))</f>
        <v>Strong source. Company email. High-value product. High engagement. Buying intent in message.</v>
      </c>
      <c r="AG575" s="11" t="n">
        <f aca="false">IF(W575="Likely Spam","",1/(1+EXP(-('Conversion Model'!$B$5+IFERROR(INDEX('Conversion Model'!$B$8:$B$14,MATCH(C575,'Conversion Model'!$A$8:$A$14,0)),0)+IFERROR(INDEX('Conversion Model'!$E$8:$E$9,MATCH(F575,'Conversion Model'!$D$8:$D$9,0)),0)+IFERROR(INDEX('Conversion Model'!$H$8:$H$12,MATCH(IF(LEFT(J575,8)="Payments","Payments",IF(LEFT(J575,7)="Lending","Lending",J575)),'Conversion Model'!$G$8:$G$12,0)),0)+MIN(L575,15)*'Conversion Model'!$B$17+IF(SUMPRODUCT(--ISNUMBER(SEARCH('Scoring Model'!$D$16:$D$25,K575)))&gt;0,'Conversion Model'!$B$18,0)+IF(SUMPRODUCT(--ISNUMBER(SEARCH('Scoring Model'!$G$16:$G$23,K575)))&gt;0,'Conversion Model'!$B$19,0)))))</f>
        <v>0.99699359699962</v>
      </c>
      <c r="AH575" s="3" t="n">
        <f aca="false">IF(OR(O575="Qualified",O575="Won",O575="Lost"),1,IF(O575="Unqualified",0,""))</f>
        <v>1</v>
      </c>
    </row>
    <row r="576" customFormat="false" ht="15" hidden="false" customHeight="true" outlineLevel="0" collapsed="false">
      <c r="A576" s="3" t="s">
        <v>1995</v>
      </c>
      <c r="B576" s="9" t="n">
        <v>46187.5638888889</v>
      </c>
      <c r="C576" s="3" t="s">
        <v>160</v>
      </c>
      <c r="D576" s="3" t="s">
        <v>311</v>
      </c>
      <c r="E576" s="3" t="s">
        <v>1996</v>
      </c>
      <c r="F576" s="3" t="s">
        <v>22</v>
      </c>
      <c r="G576" s="3" t="s">
        <v>1766</v>
      </c>
      <c r="H576" s="3" t="s">
        <v>1997</v>
      </c>
      <c r="I576" s="3" t="s">
        <v>64</v>
      </c>
      <c r="J576" s="3" t="s">
        <v>108</v>
      </c>
      <c r="K576" s="3" t="s">
        <v>189</v>
      </c>
      <c r="L576" s="3" t="n">
        <v>11</v>
      </c>
      <c r="M576" s="3" t="n">
        <v>3.1</v>
      </c>
      <c r="N576" s="3" t="s">
        <v>59</v>
      </c>
      <c r="O576" s="3" t="s">
        <v>331</v>
      </c>
      <c r="P576" s="10"/>
      <c r="Q576" s="3" t="n">
        <f aca="false">IF(F576="Disposable",1,0)</f>
        <v>0</v>
      </c>
      <c r="R576" s="3" t="n">
        <f aca="false">IF(SUMPRODUCT(--ISNUMBER(SEARCH('Spam Rules'!$A$22:$A$35,K576)))&gt;0,1,0)</f>
        <v>0</v>
      </c>
      <c r="S576" s="3" t="n">
        <f aca="false">IF(AND(F576="Free",G576=""),1,0)</f>
        <v>0</v>
      </c>
      <c r="T576" s="3" t="n">
        <f aca="false">IF(LEN(TRIM(K576))&lt;15,1,0)</f>
        <v>0</v>
      </c>
      <c r="U576" s="3" t="n">
        <f aca="false">IF(COUNTIF($E$2:$E$801,E576)&gt;1,1,0)</f>
        <v>0</v>
      </c>
      <c r="V576" s="3" t="n">
        <f aca="false">Q576*'Spam Rules'!$H$6+R576*'Spam Rules'!$H$7+S576*'Spam Rules'!$H$8+T576*'Spam Rules'!$H$9+U576*'Spam Rules'!$H$10</f>
        <v>0</v>
      </c>
      <c r="W576" s="3" t="str">
        <f aca="false">IF(V576&gt;='Spam Rules'!$B$3,"Likely Spam","Genuine")</f>
        <v>Genuine</v>
      </c>
      <c r="X576" s="3" t="n">
        <f aca="false">IFERROR(INDEX('Scoring Model'!$B$5:$B$11,MATCH(C576,'Scoring Model'!$A$5:$A$11,0)),0)</f>
        <v>25</v>
      </c>
      <c r="Y576" s="3" t="n">
        <f aca="false">IFERROR(INDEX('Scoring Model'!$E$5:$E$7,MATCH(F576,'Scoring Model'!$D$5:$D$7,0)),0)</f>
        <v>20</v>
      </c>
      <c r="Z576" s="3" t="n">
        <f aca="false">IFERROR(INDEX('Scoring Model'!$H$5:$H$13,MATCH(J576,'Scoring Model'!$G$5:$G$13,0)),0)</f>
        <v>15</v>
      </c>
      <c r="AA576" s="3" t="n">
        <f aca="false">IF(L576&gt;='Scoring Model'!$B$14,'Scoring Model'!$B$15,IF(L576&gt;='Scoring Model'!$B$16,'Scoring Model'!$B$17,0))</f>
        <v>15</v>
      </c>
      <c r="AB576" s="3" t="n">
        <f aca="false">IF(SUMPRODUCT(--ISNUMBER(SEARCH('Scoring Model'!$D$16:$D$25,K576)))&gt;0,'Scoring Model'!$B$18,0)</f>
        <v>15</v>
      </c>
      <c r="AC576" s="3" t="n">
        <f aca="false">IF(SUMPRODUCT(--ISNUMBER(SEARCH('Scoring Model'!$G$16:$G$23,K576)))&gt;0,'Scoring Model'!$B$19,0)</f>
        <v>0</v>
      </c>
      <c r="AD576" s="3" t="n">
        <f aca="false">IF(W576="Likely Spam","",SUM(X576:AC576))</f>
        <v>90</v>
      </c>
      <c r="AE576" s="3" t="str">
        <f aca="false">IF(W576="Likely Spam","Spam",IF(AD576&gt;='Scoring Model'!$B$21,"Hot",IF(AD576&gt;='Scoring Model'!$B$22,"Warm","Nurture")))</f>
        <v>Hot</v>
      </c>
      <c r="AF576" s="3" t="str">
        <f aca="false">IF(W576="Likely Spam","Flagged by spam rules",TRIM(IF(X576&gt;=20,"Strong source. ","")&amp;IF(Y576&gt;0,"Company email. ","")&amp;IF(Z576&gt;=15,"High-value product. ","")&amp;IF(AA576&gt;='Scoring Model'!$B$15,"High engagement. ","")&amp;IF(AB576&gt;0,"Buying intent in message. ","")&amp;IF(AC576&lt;0,"Negative intent in message. ","")))</f>
        <v>Strong source. Company email. High-value product. High engagement. Buying intent in message.</v>
      </c>
      <c r="AG576" s="11" t="n">
        <f aca="false">IF(W576="Likely Spam","",1/(1+EXP(-('Conversion Model'!$B$5+IFERROR(INDEX('Conversion Model'!$B$8:$B$14,MATCH(C576,'Conversion Model'!$A$8:$A$14,0)),0)+IFERROR(INDEX('Conversion Model'!$E$8:$E$9,MATCH(F576,'Conversion Model'!$D$8:$D$9,0)),0)+IFERROR(INDEX('Conversion Model'!$H$8:$H$12,MATCH(IF(LEFT(J576,8)="Payments","Payments",IF(LEFT(J576,7)="Lending","Lending",J576)),'Conversion Model'!$G$8:$G$12,0)),0)+MIN(L576,15)*'Conversion Model'!$B$17+IF(SUMPRODUCT(--ISNUMBER(SEARCH('Scoring Model'!$D$16:$D$25,K576)))&gt;0,'Conversion Model'!$B$18,0)+IF(SUMPRODUCT(--ISNUMBER(SEARCH('Scoring Model'!$G$16:$G$23,K576)))&gt;0,'Conversion Model'!$B$19,0)))))</f>
        <v>0.997793194411506</v>
      </c>
      <c r="AH576" s="3" t="n">
        <f aca="false">IF(OR(O576="Qualified",O576="Won",O576="Lost"),1,IF(O576="Unqualified",0,""))</f>
        <v>1</v>
      </c>
    </row>
    <row r="577" customFormat="false" ht="15" hidden="false" customHeight="true" outlineLevel="0" collapsed="false">
      <c r="A577" s="3" t="s">
        <v>1998</v>
      </c>
      <c r="B577" s="9" t="n">
        <v>46188.1263888889</v>
      </c>
      <c r="C577" s="3" t="s">
        <v>135</v>
      </c>
      <c r="D577" s="3" t="s">
        <v>61</v>
      </c>
      <c r="E577" s="3" t="s">
        <v>1999</v>
      </c>
      <c r="F577" s="3" t="s">
        <v>22</v>
      </c>
      <c r="G577" s="3" t="s">
        <v>1081</v>
      </c>
      <c r="H577" s="3" t="s">
        <v>1082</v>
      </c>
      <c r="I577" s="3" t="s">
        <v>73</v>
      </c>
      <c r="J577" s="3" t="s">
        <v>117</v>
      </c>
      <c r="K577" s="3" t="s">
        <v>58</v>
      </c>
      <c r="L577" s="3" t="n">
        <v>3</v>
      </c>
      <c r="M577" s="3" t="n">
        <v>3.7</v>
      </c>
      <c r="N577" s="3" t="s">
        <v>67</v>
      </c>
      <c r="O577" s="3" t="s">
        <v>331</v>
      </c>
      <c r="P577" s="10"/>
      <c r="Q577" s="3" t="n">
        <f aca="false">IF(F577="Disposable",1,0)</f>
        <v>0</v>
      </c>
      <c r="R577" s="3" t="n">
        <f aca="false">IF(SUMPRODUCT(--ISNUMBER(SEARCH('Spam Rules'!$A$22:$A$35,K577)))&gt;0,1,0)</f>
        <v>0</v>
      </c>
      <c r="S577" s="3" t="n">
        <f aca="false">IF(AND(F577="Free",G577=""),1,0)</f>
        <v>0</v>
      </c>
      <c r="T577" s="3" t="n">
        <f aca="false">IF(LEN(TRIM(K577))&lt;15,1,0)</f>
        <v>0</v>
      </c>
      <c r="U577" s="3" t="n">
        <f aca="false">IF(COUNTIF($E$2:$E$801,E577)&gt;1,1,0)</f>
        <v>0</v>
      </c>
      <c r="V577" s="3" t="n">
        <f aca="false">Q577*'Spam Rules'!$H$6+R577*'Spam Rules'!$H$7+S577*'Spam Rules'!$H$8+T577*'Spam Rules'!$H$9+U577*'Spam Rules'!$H$10</f>
        <v>0</v>
      </c>
      <c r="W577" s="3" t="str">
        <f aca="false">IF(V577&gt;='Spam Rules'!$B$3,"Likely Spam","Genuine")</f>
        <v>Genuine</v>
      </c>
      <c r="X577" s="3" t="n">
        <f aca="false">IFERROR(INDEX('Scoring Model'!$B$5:$B$11,MATCH(C577,'Scoring Model'!$A$5:$A$11,0)),0)</f>
        <v>20</v>
      </c>
      <c r="Y577" s="3" t="n">
        <f aca="false">IFERROR(INDEX('Scoring Model'!$E$5:$E$7,MATCH(F577,'Scoring Model'!$D$5:$D$7,0)),0)</f>
        <v>20</v>
      </c>
      <c r="Z577" s="3" t="n">
        <f aca="false">IFERROR(INDEX('Scoring Model'!$H$5:$H$13,MATCH(J577,'Scoring Model'!$G$5:$G$13,0)),0)</f>
        <v>15</v>
      </c>
      <c r="AA577" s="3" t="n">
        <f aca="false">IF(L577&gt;='Scoring Model'!$B$14,'Scoring Model'!$B$15,IF(L577&gt;='Scoring Model'!$B$16,'Scoring Model'!$B$17,0))</f>
        <v>0</v>
      </c>
      <c r="AB577" s="3" t="n">
        <f aca="false">IF(SUMPRODUCT(--ISNUMBER(SEARCH('Scoring Model'!$D$16:$D$25,K577)))&gt;0,'Scoring Model'!$B$18,0)</f>
        <v>15</v>
      </c>
      <c r="AC577" s="3" t="n">
        <f aca="false">IF(SUMPRODUCT(--ISNUMBER(SEARCH('Scoring Model'!$G$16:$G$23,K577)))&gt;0,'Scoring Model'!$B$19,0)</f>
        <v>0</v>
      </c>
      <c r="AD577" s="3" t="n">
        <f aca="false">IF(W577="Likely Spam","",SUM(X577:AC577))</f>
        <v>70</v>
      </c>
      <c r="AE577" s="3" t="str">
        <f aca="false">IF(W577="Likely Spam","Spam",IF(AD577&gt;='Scoring Model'!$B$21,"Hot",IF(AD577&gt;='Scoring Model'!$B$22,"Warm","Nurture")))</f>
        <v>Hot</v>
      </c>
      <c r="AF577" s="3" t="str">
        <f aca="false">IF(W577="Likely Spam","Flagged by spam rules",TRIM(IF(X577&gt;=20,"Strong source. ","")&amp;IF(Y577&gt;0,"Company email. ","")&amp;IF(Z577&gt;=15,"High-value product. ","")&amp;IF(AA577&gt;='Scoring Model'!$B$15,"High engagement. ","")&amp;IF(AB577&gt;0,"Buying intent in message. ","")&amp;IF(AC577&lt;0,"Negative intent in message. ","")))</f>
        <v>Strong source. Company email. High-value product. Buying intent in message.</v>
      </c>
      <c r="AG577" s="11" t="n">
        <f aca="false">IF(W577="Likely Spam","",1/(1+EXP(-('Conversion Model'!$B$5+IFERROR(INDEX('Conversion Model'!$B$8:$B$14,MATCH(C577,'Conversion Model'!$A$8:$A$14,0)),0)+IFERROR(INDEX('Conversion Model'!$E$8:$E$9,MATCH(F577,'Conversion Model'!$D$8:$D$9,0)),0)+IFERROR(INDEX('Conversion Model'!$H$8:$H$12,MATCH(IF(LEFT(J577,8)="Payments","Payments",IF(LEFT(J577,7)="Lending","Lending",J577)),'Conversion Model'!$G$8:$G$12,0)),0)+MIN(L577,15)*'Conversion Model'!$B$17+IF(SUMPRODUCT(--ISNUMBER(SEARCH('Scoring Model'!$D$16:$D$25,K577)))&gt;0,'Conversion Model'!$B$18,0)+IF(SUMPRODUCT(--ISNUMBER(SEARCH('Scoring Model'!$G$16:$G$23,K577)))&gt;0,'Conversion Model'!$B$19,0)))))</f>
        <v>0.729482778751689</v>
      </c>
      <c r="AH577" s="3" t="n">
        <f aca="false">IF(OR(O577="Qualified",O577="Won",O577="Lost"),1,IF(O577="Unqualified",0,""))</f>
        <v>1</v>
      </c>
    </row>
    <row r="578" customFormat="false" ht="15" hidden="false" customHeight="true" outlineLevel="0" collapsed="false">
      <c r="A578" s="3" t="s">
        <v>2000</v>
      </c>
      <c r="B578" s="9" t="n">
        <v>46189.4611111111</v>
      </c>
      <c r="C578" s="3" t="s">
        <v>51</v>
      </c>
      <c r="D578" s="3" t="s">
        <v>1473</v>
      </c>
      <c r="E578" s="3" t="s">
        <v>2001</v>
      </c>
      <c r="F578" s="3" t="s">
        <v>22</v>
      </c>
      <c r="G578" s="3" t="s">
        <v>86</v>
      </c>
      <c r="H578" s="3" t="s">
        <v>87</v>
      </c>
      <c r="I578" s="3" t="s">
        <v>64</v>
      </c>
      <c r="J578" s="3" t="s">
        <v>65</v>
      </c>
      <c r="K578" s="3" t="s">
        <v>126</v>
      </c>
      <c r="L578" s="3" t="n">
        <v>2</v>
      </c>
      <c r="M578" s="3"/>
      <c r="N578" s="3" t="s">
        <v>67</v>
      </c>
      <c r="O578" s="3" t="s">
        <v>68</v>
      </c>
      <c r="P578" s="10"/>
      <c r="Q578" s="3" t="n">
        <f aca="false">IF(F578="Disposable",1,0)</f>
        <v>0</v>
      </c>
      <c r="R578" s="3" t="n">
        <f aca="false">IF(SUMPRODUCT(--ISNUMBER(SEARCH('Spam Rules'!$A$22:$A$35,K578)))&gt;0,1,0)</f>
        <v>0</v>
      </c>
      <c r="S578" s="3" t="n">
        <f aca="false">IF(AND(F578="Free",G578=""),1,0)</f>
        <v>0</v>
      </c>
      <c r="T578" s="3" t="n">
        <f aca="false">IF(LEN(TRIM(K578))&lt;15,1,0)</f>
        <v>1</v>
      </c>
      <c r="U578" s="3" t="n">
        <f aca="false">IF(COUNTIF($E$2:$E$801,E578)&gt;1,1,0)</f>
        <v>0</v>
      </c>
      <c r="V578" s="3" t="n">
        <f aca="false">Q578*'Spam Rules'!$H$6+R578*'Spam Rules'!$H$7+S578*'Spam Rules'!$H$8+T578*'Spam Rules'!$H$9+U578*'Spam Rules'!$H$10</f>
        <v>1</v>
      </c>
      <c r="W578" s="3" t="str">
        <f aca="false">IF(V578&gt;='Spam Rules'!$B$3,"Likely Spam","Genuine")</f>
        <v>Likely Spam</v>
      </c>
      <c r="X578" s="3" t="n">
        <f aca="false">IFERROR(INDEX('Scoring Model'!$B$5:$B$11,MATCH(C578,'Scoring Model'!$A$5:$A$11,0)),0)</f>
        <v>10</v>
      </c>
      <c r="Y578" s="3" t="n">
        <f aca="false">IFERROR(INDEX('Scoring Model'!$E$5:$E$7,MATCH(F578,'Scoring Model'!$D$5:$D$7,0)),0)</f>
        <v>20</v>
      </c>
      <c r="Z578" s="3" t="n">
        <f aca="false">IFERROR(INDEX('Scoring Model'!$H$5:$H$13,MATCH(J578,'Scoring Model'!$G$5:$G$13,0)),0)</f>
        <v>0</v>
      </c>
      <c r="AA578" s="3" t="n">
        <f aca="false">IF(L578&gt;='Scoring Model'!$B$14,'Scoring Model'!$B$15,IF(L578&gt;='Scoring Model'!$B$16,'Scoring Model'!$B$17,0))</f>
        <v>0</v>
      </c>
      <c r="AB578" s="3" t="n">
        <f aca="false">IF(SUMPRODUCT(--ISNUMBER(SEARCH('Scoring Model'!$D$16:$D$25,K578)))&gt;0,'Scoring Model'!$B$18,0)</f>
        <v>0</v>
      </c>
      <c r="AC578" s="3" t="n">
        <f aca="false">IF(SUMPRODUCT(--ISNUMBER(SEARCH('Scoring Model'!$G$16:$G$23,K578)))&gt;0,'Scoring Model'!$B$19,0)</f>
        <v>0</v>
      </c>
      <c r="AD578" s="3" t="str">
        <f aca="false">IF(W578="Likely Spam","",SUM(X578:AC578))</f>
        <v/>
      </c>
      <c r="AE578" s="3" t="str">
        <f aca="false">IF(W578="Likely Spam","Spam",IF(AD578&gt;='Scoring Model'!$B$21,"Hot",IF(AD578&gt;='Scoring Model'!$B$22,"Warm","Nurture")))</f>
        <v>Spam</v>
      </c>
      <c r="AF578" s="3" t="str">
        <f aca="false">IF(W578="Likely Spam","Flagged by spam rules",TRIM(IF(X578&gt;=20,"Strong source. ","")&amp;IF(Y578&gt;0,"Company email. ","")&amp;IF(Z578&gt;=15,"High-value product. ","")&amp;IF(AA578&gt;='Scoring Model'!$B$15,"High engagement. ","")&amp;IF(AB578&gt;0,"Buying intent in message. ","")&amp;IF(AC578&lt;0,"Negative intent in message. ","")))</f>
        <v>Flagged by spam rules</v>
      </c>
      <c r="AG578" s="11" t="str">
        <f aca="false">IF(W578="Likely Spam","",1/(1+EXP(-('Conversion Model'!$B$5+IFERROR(INDEX('Conversion Model'!$B$8:$B$14,MATCH(C578,'Conversion Model'!$A$8:$A$14,0)),0)+IFERROR(INDEX('Conversion Model'!$E$8:$E$9,MATCH(F578,'Conversion Model'!$D$8:$D$9,0)),0)+IFERROR(INDEX('Conversion Model'!$H$8:$H$12,MATCH(IF(LEFT(J578,8)="Payments","Payments",IF(LEFT(J578,7)="Lending","Lending",J578)),'Conversion Model'!$G$8:$G$12,0)),0)+MIN(L578,15)*'Conversion Model'!$B$17+IF(SUMPRODUCT(--ISNUMBER(SEARCH('Scoring Model'!$D$16:$D$25,K578)))&gt;0,'Conversion Model'!$B$18,0)+IF(SUMPRODUCT(--ISNUMBER(SEARCH('Scoring Model'!$G$16:$G$23,K578)))&gt;0,'Conversion Model'!$B$19,0)))))</f>
        <v/>
      </c>
      <c r="AH578" s="3" t="str">
        <f aca="false">IF(OR(O578="Qualified",O578="Won",O578="Lost"),1,IF(O578="Unqualified",0,""))</f>
        <v/>
      </c>
    </row>
    <row r="579" customFormat="false" ht="15" hidden="false" customHeight="true" outlineLevel="0" collapsed="false">
      <c r="A579" s="3" t="s">
        <v>2002</v>
      </c>
      <c r="B579" s="9" t="n">
        <v>46190.2597222222</v>
      </c>
      <c r="C579" s="3" t="s">
        <v>112</v>
      </c>
      <c r="D579" s="3" t="s">
        <v>2003</v>
      </c>
      <c r="E579" s="3" t="s">
        <v>2004</v>
      </c>
      <c r="F579" s="3" t="s">
        <v>22</v>
      </c>
      <c r="G579" s="3" t="s">
        <v>456</v>
      </c>
      <c r="H579" s="3" t="s">
        <v>457</v>
      </c>
      <c r="I579" s="3" t="s">
        <v>94</v>
      </c>
      <c r="J579" s="3" t="s">
        <v>122</v>
      </c>
      <c r="K579" s="3" t="s">
        <v>1493</v>
      </c>
      <c r="L579" s="3" t="n">
        <v>3</v>
      </c>
      <c r="M579" s="3" t="n">
        <v>17.6</v>
      </c>
      <c r="N579" s="3" t="s">
        <v>59</v>
      </c>
      <c r="O579" s="3" t="s">
        <v>133</v>
      </c>
      <c r="P579" s="10"/>
      <c r="Q579" s="3" t="n">
        <f aca="false">IF(F579="Disposable",1,0)</f>
        <v>0</v>
      </c>
      <c r="R579" s="3" t="n">
        <f aca="false">IF(SUMPRODUCT(--ISNUMBER(SEARCH('Spam Rules'!$A$22:$A$35,K579)))&gt;0,1,0)</f>
        <v>0</v>
      </c>
      <c r="S579" s="3" t="n">
        <f aca="false">IF(AND(F579="Free",G579=""),1,0)</f>
        <v>0</v>
      </c>
      <c r="T579" s="3" t="n">
        <f aca="false">IF(LEN(TRIM(K579))&lt;15,1,0)</f>
        <v>0</v>
      </c>
      <c r="U579" s="3" t="n">
        <f aca="false">IF(COUNTIF($E$2:$E$801,E579)&gt;1,1,0)</f>
        <v>0</v>
      </c>
      <c r="V579" s="3" t="n">
        <f aca="false">Q579*'Spam Rules'!$H$6+R579*'Spam Rules'!$H$7+S579*'Spam Rules'!$H$8+T579*'Spam Rules'!$H$9+U579*'Spam Rules'!$H$10</f>
        <v>0</v>
      </c>
      <c r="W579" s="3" t="str">
        <f aca="false">IF(V579&gt;='Spam Rules'!$B$3,"Likely Spam","Genuine")</f>
        <v>Genuine</v>
      </c>
      <c r="X579" s="3" t="n">
        <f aca="false">IFERROR(INDEX('Scoring Model'!$B$5:$B$11,MATCH(C579,'Scoring Model'!$A$5:$A$11,0)),0)</f>
        <v>15</v>
      </c>
      <c r="Y579" s="3" t="n">
        <f aca="false">IFERROR(INDEX('Scoring Model'!$E$5:$E$7,MATCH(F579,'Scoring Model'!$D$5:$D$7,0)),0)</f>
        <v>20</v>
      </c>
      <c r="Z579" s="3" t="n">
        <f aca="false">IFERROR(INDEX('Scoring Model'!$H$5:$H$13,MATCH(J579,'Scoring Model'!$G$5:$G$13,0)),0)</f>
        <v>15</v>
      </c>
      <c r="AA579" s="3" t="n">
        <f aca="false">IF(L579&gt;='Scoring Model'!$B$14,'Scoring Model'!$B$15,IF(L579&gt;='Scoring Model'!$B$16,'Scoring Model'!$B$17,0))</f>
        <v>0</v>
      </c>
      <c r="AB579" s="3" t="n">
        <f aca="false">IF(SUMPRODUCT(--ISNUMBER(SEARCH('Scoring Model'!$D$16:$D$25,K579)))&gt;0,'Scoring Model'!$B$18,0)</f>
        <v>15</v>
      </c>
      <c r="AC579" s="3" t="n">
        <f aca="false">IF(SUMPRODUCT(--ISNUMBER(SEARCH('Scoring Model'!$G$16:$G$23,K579)))&gt;0,'Scoring Model'!$B$19,0)</f>
        <v>0</v>
      </c>
      <c r="AD579" s="3" t="n">
        <f aca="false">IF(W579="Likely Spam","",SUM(X579:AC579))</f>
        <v>65</v>
      </c>
      <c r="AE579" s="3" t="str">
        <f aca="false">IF(W579="Likely Spam","Spam",IF(AD579&gt;='Scoring Model'!$B$21,"Hot",IF(AD579&gt;='Scoring Model'!$B$22,"Warm","Nurture")))</f>
        <v>Warm</v>
      </c>
      <c r="AF579" s="3" t="str">
        <f aca="false">IF(W579="Likely Spam","Flagged by spam rules",TRIM(IF(X579&gt;=20,"Strong source. ","")&amp;IF(Y579&gt;0,"Company email. ","")&amp;IF(Z579&gt;=15,"High-value product. ","")&amp;IF(AA579&gt;='Scoring Model'!$B$15,"High engagement. ","")&amp;IF(AB579&gt;0,"Buying intent in message. ","")&amp;IF(AC579&lt;0,"Negative intent in message. ","")))</f>
        <v>Company email. High-value product. Buying intent in message.</v>
      </c>
      <c r="AG579" s="11" t="n">
        <f aca="false">IF(W579="Likely Spam","",1/(1+EXP(-('Conversion Model'!$B$5+IFERROR(INDEX('Conversion Model'!$B$8:$B$14,MATCH(C579,'Conversion Model'!$A$8:$A$14,0)),0)+IFERROR(INDEX('Conversion Model'!$E$8:$E$9,MATCH(F579,'Conversion Model'!$D$8:$D$9,0)),0)+IFERROR(INDEX('Conversion Model'!$H$8:$H$12,MATCH(IF(LEFT(J579,8)="Payments","Payments",IF(LEFT(J579,7)="Lending","Lending",J579)),'Conversion Model'!$G$8:$G$12,0)),0)+MIN(L579,15)*'Conversion Model'!$B$17+IF(SUMPRODUCT(--ISNUMBER(SEARCH('Scoring Model'!$D$16:$D$25,K579)))&gt;0,'Conversion Model'!$B$18,0)+IF(SUMPRODUCT(--ISNUMBER(SEARCH('Scoring Model'!$G$16:$G$23,K579)))&gt;0,'Conversion Model'!$B$19,0)))))</f>
        <v>0.312598269441151</v>
      </c>
      <c r="AH579" s="3" t="str">
        <f aca="false">IF(OR(O579="Qualified",O579="Won",O579="Lost"),1,IF(O579="Unqualified",0,""))</f>
        <v/>
      </c>
    </row>
    <row r="580" customFormat="false" ht="15" hidden="false" customHeight="true" outlineLevel="0" collapsed="false">
      <c r="A580" s="3" t="s">
        <v>2005</v>
      </c>
      <c r="B580" s="9" t="n">
        <v>46191.6194444444</v>
      </c>
      <c r="C580" s="3" t="s">
        <v>112</v>
      </c>
      <c r="D580" s="3" t="s">
        <v>2006</v>
      </c>
      <c r="E580" s="3" t="s">
        <v>2007</v>
      </c>
      <c r="F580" s="3" t="s">
        <v>22</v>
      </c>
      <c r="G580" s="3" t="s">
        <v>1081</v>
      </c>
      <c r="H580" s="3" t="s">
        <v>1082</v>
      </c>
      <c r="I580" s="3" t="s">
        <v>80</v>
      </c>
      <c r="J580" s="3" t="s">
        <v>117</v>
      </c>
      <c r="K580" s="3" t="s">
        <v>1537</v>
      </c>
      <c r="L580" s="3" t="n">
        <v>3</v>
      </c>
      <c r="M580" s="3" t="n">
        <v>41.9</v>
      </c>
      <c r="N580" s="3" t="s">
        <v>67</v>
      </c>
      <c r="O580" s="3" t="s">
        <v>133</v>
      </c>
      <c r="P580" s="10"/>
      <c r="Q580" s="3" t="n">
        <f aca="false">IF(F580="Disposable",1,0)</f>
        <v>0</v>
      </c>
      <c r="R580" s="3" t="n">
        <f aca="false">IF(SUMPRODUCT(--ISNUMBER(SEARCH('Spam Rules'!$A$22:$A$35,K580)))&gt;0,1,0)</f>
        <v>0</v>
      </c>
      <c r="S580" s="3" t="n">
        <f aca="false">IF(AND(F580="Free",G580=""),1,0)</f>
        <v>0</v>
      </c>
      <c r="T580" s="3" t="n">
        <f aca="false">IF(LEN(TRIM(K580))&lt;15,1,0)</f>
        <v>0</v>
      </c>
      <c r="U580" s="3" t="n">
        <f aca="false">IF(COUNTIF($E$2:$E$801,E580)&gt;1,1,0)</f>
        <v>0</v>
      </c>
      <c r="V580" s="3" t="n">
        <f aca="false">Q580*'Spam Rules'!$H$6+R580*'Spam Rules'!$H$7+S580*'Spam Rules'!$H$8+T580*'Spam Rules'!$H$9+U580*'Spam Rules'!$H$10</f>
        <v>0</v>
      </c>
      <c r="W580" s="3" t="str">
        <f aca="false">IF(V580&gt;='Spam Rules'!$B$3,"Likely Spam","Genuine")</f>
        <v>Genuine</v>
      </c>
      <c r="X580" s="3" t="n">
        <f aca="false">IFERROR(INDEX('Scoring Model'!$B$5:$B$11,MATCH(C580,'Scoring Model'!$A$5:$A$11,0)),0)</f>
        <v>15</v>
      </c>
      <c r="Y580" s="3" t="n">
        <f aca="false">IFERROR(INDEX('Scoring Model'!$E$5:$E$7,MATCH(F580,'Scoring Model'!$D$5:$D$7,0)),0)</f>
        <v>20</v>
      </c>
      <c r="Z580" s="3" t="n">
        <f aca="false">IFERROR(INDEX('Scoring Model'!$H$5:$H$13,MATCH(J580,'Scoring Model'!$G$5:$G$13,0)),0)</f>
        <v>15</v>
      </c>
      <c r="AA580" s="3" t="n">
        <f aca="false">IF(L580&gt;='Scoring Model'!$B$14,'Scoring Model'!$B$15,IF(L580&gt;='Scoring Model'!$B$16,'Scoring Model'!$B$17,0))</f>
        <v>0</v>
      </c>
      <c r="AB580" s="3" t="n">
        <f aca="false">IF(SUMPRODUCT(--ISNUMBER(SEARCH('Scoring Model'!$D$16:$D$25,K580)))&gt;0,'Scoring Model'!$B$18,0)</f>
        <v>15</v>
      </c>
      <c r="AC580" s="3" t="n">
        <f aca="false">IF(SUMPRODUCT(--ISNUMBER(SEARCH('Scoring Model'!$G$16:$G$23,K580)))&gt;0,'Scoring Model'!$B$19,0)</f>
        <v>0</v>
      </c>
      <c r="AD580" s="3" t="n">
        <f aca="false">IF(W580="Likely Spam","",SUM(X580:AC580))</f>
        <v>65</v>
      </c>
      <c r="AE580" s="3" t="str">
        <f aca="false">IF(W580="Likely Spam","Spam",IF(AD580&gt;='Scoring Model'!$B$21,"Hot",IF(AD580&gt;='Scoring Model'!$B$22,"Warm","Nurture")))</f>
        <v>Warm</v>
      </c>
      <c r="AF580" s="3" t="str">
        <f aca="false">IF(W580="Likely Spam","Flagged by spam rules",TRIM(IF(X580&gt;=20,"Strong source. ","")&amp;IF(Y580&gt;0,"Company email. ","")&amp;IF(Z580&gt;=15,"High-value product. ","")&amp;IF(AA580&gt;='Scoring Model'!$B$15,"High engagement. ","")&amp;IF(AB580&gt;0,"Buying intent in message. ","")&amp;IF(AC580&lt;0,"Negative intent in message. ","")))</f>
        <v>Company email. High-value product. Buying intent in message.</v>
      </c>
      <c r="AG580" s="11" t="n">
        <f aca="false">IF(W580="Likely Spam","",1/(1+EXP(-('Conversion Model'!$B$5+IFERROR(INDEX('Conversion Model'!$B$8:$B$14,MATCH(C580,'Conversion Model'!$A$8:$A$14,0)),0)+IFERROR(INDEX('Conversion Model'!$E$8:$E$9,MATCH(F580,'Conversion Model'!$D$8:$D$9,0)),0)+IFERROR(INDEX('Conversion Model'!$H$8:$H$12,MATCH(IF(LEFT(J580,8)="Payments","Payments",IF(LEFT(J580,7)="Lending","Lending",J580)),'Conversion Model'!$G$8:$G$12,0)),0)+MIN(L580,15)*'Conversion Model'!$B$17+IF(SUMPRODUCT(--ISNUMBER(SEARCH('Scoring Model'!$D$16:$D$25,K580)))&gt;0,'Conversion Model'!$B$18,0)+IF(SUMPRODUCT(--ISNUMBER(SEARCH('Scoring Model'!$G$16:$G$23,K580)))&gt;0,'Conversion Model'!$B$19,0)))))</f>
        <v>0.536683965128584</v>
      </c>
      <c r="AH580" s="3" t="str">
        <f aca="false">IF(OR(O580="Qualified",O580="Won",O580="Lost"),1,IF(O580="Unqualified",0,""))</f>
        <v/>
      </c>
    </row>
    <row r="581" customFormat="false" ht="15" hidden="false" customHeight="true" outlineLevel="0" collapsed="false">
      <c r="A581" s="3" t="s">
        <v>2008</v>
      </c>
      <c r="B581" s="9" t="n">
        <v>46192.0375</v>
      </c>
      <c r="C581" s="3" t="s">
        <v>135</v>
      </c>
      <c r="D581" s="3" t="s">
        <v>1016</v>
      </c>
      <c r="E581" s="3" t="s">
        <v>2009</v>
      </c>
      <c r="F581" s="3" t="s">
        <v>54</v>
      </c>
      <c r="G581" s="3"/>
      <c r="H581" s="3"/>
      <c r="I581" s="3" t="s">
        <v>260</v>
      </c>
      <c r="J581" s="3" t="s">
        <v>145</v>
      </c>
      <c r="K581" s="3" t="s">
        <v>74</v>
      </c>
      <c r="L581" s="3" t="n">
        <v>2</v>
      </c>
      <c r="M581" s="3" t="n">
        <v>3.7</v>
      </c>
      <c r="N581" s="3" t="s">
        <v>59</v>
      </c>
      <c r="O581" s="3" t="s">
        <v>194</v>
      </c>
      <c r="P581" s="10"/>
      <c r="Q581" s="3" t="n">
        <f aca="false">IF(F581="Disposable",1,0)</f>
        <v>0</v>
      </c>
      <c r="R581" s="3" t="n">
        <f aca="false">IF(SUMPRODUCT(--ISNUMBER(SEARCH('Spam Rules'!$A$22:$A$35,K581)))&gt;0,1,0)</f>
        <v>0</v>
      </c>
      <c r="S581" s="3" t="n">
        <f aca="false">IF(AND(F581="Free",G581=""),1,0)</f>
        <v>1</v>
      </c>
      <c r="T581" s="3" t="n">
        <f aca="false">IF(LEN(TRIM(K581))&lt;15,1,0)</f>
        <v>0</v>
      </c>
      <c r="U581" s="3" t="n">
        <f aca="false">IF(COUNTIF($E$2:$E$801,E581)&gt;1,1,0)</f>
        <v>0</v>
      </c>
      <c r="V581" s="3" t="n">
        <f aca="false">Q581*'Spam Rules'!$H$6+R581*'Spam Rules'!$H$7+S581*'Spam Rules'!$H$8+T581*'Spam Rules'!$H$9+U581*'Spam Rules'!$H$10</f>
        <v>0</v>
      </c>
      <c r="W581" s="3" t="str">
        <f aca="false">IF(V581&gt;='Spam Rules'!$B$3,"Likely Spam","Genuine")</f>
        <v>Genuine</v>
      </c>
      <c r="X581" s="3" t="n">
        <f aca="false">IFERROR(INDEX('Scoring Model'!$B$5:$B$11,MATCH(C581,'Scoring Model'!$A$5:$A$11,0)),0)</f>
        <v>20</v>
      </c>
      <c r="Y581" s="3" t="n">
        <f aca="false">IFERROR(INDEX('Scoring Model'!$E$5:$E$7,MATCH(F581,'Scoring Model'!$D$5:$D$7,0)),0)</f>
        <v>0</v>
      </c>
      <c r="Z581" s="3" t="n">
        <f aca="false">IFERROR(INDEX('Scoring Model'!$H$5:$H$13,MATCH(J581,'Scoring Model'!$G$5:$G$13,0)),0)</f>
        <v>5</v>
      </c>
      <c r="AA581" s="3" t="n">
        <f aca="false">IF(L581&gt;='Scoring Model'!$B$14,'Scoring Model'!$B$15,IF(L581&gt;='Scoring Model'!$B$16,'Scoring Model'!$B$17,0))</f>
        <v>0</v>
      </c>
      <c r="AB581" s="3" t="n">
        <f aca="false">IF(SUMPRODUCT(--ISNUMBER(SEARCH('Scoring Model'!$D$16:$D$25,K581)))&gt;0,'Scoring Model'!$B$18,0)</f>
        <v>0</v>
      </c>
      <c r="AC581" s="3" t="n">
        <f aca="false">IF(SUMPRODUCT(--ISNUMBER(SEARCH('Scoring Model'!$G$16:$G$23,K581)))&gt;0,'Scoring Model'!$B$19,0)</f>
        <v>-30</v>
      </c>
      <c r="AD581" s="3" t="n">
        <f aca="false">IF(W581="Likely Spam","",SUM(X581:AC581))</f>
        <v>-5</v>
      </c>
      <c r="AE581" s="3" t="str">
        <f aca="false">IF(W581="Likely Spam","Spam",IF(AD581&gt;='Scoring Model'!$B$21,"Hot",IF(AD581&gt;='Scoring Model'!$B$22,"Warm","Nurture")))</f>
        <v>Nurture</v>
      </c>
      <c r="AF581" s="3" t="str">
        <f aca="false">IF(W581="Likely Spam","Flagged by spam rules",TRIM(IF(X581&gt;=20,"Strong source. ","")&amp;IF(Y581&gt;0,"Company email. ","")&amp;IF(Z581&gt;=15,"High-value product. ","")&amp;IF(AA581&gt;='Scoring Model'!$B$15,"High engagement. ","")&amp;IF(AB581&gt;0,"Buying intent in message. ","")&amp;IF(AC581&lt;0,"Negative intent in message. ","")))</f>
        <v>Strong source. Negative intent in message.</v>
      </c>
      <c r="AG581" s="11" t="n">
        <f aca="false">IF(W581="Likely Spam","",1/(1+EXP(-('Conversion Model'!$B$5+IFERROR(INDEX('Conversion Model'!$B$8:$B$14,MATCH(C581,'Conversion Model'!$A$8:$A$14,0)),0)+IFERROR(INDEX('Conversion Model'!$E$8:$E$9,MATCH(F581,'Conversion Model'!$D$8:$D$9,0)),0)+IFERROR(INDEX('Conversion Model'!$H$8:$H$12,MATCH(IF(LEFT(J581,8)="Payments","Payments",IF(LEFT(J581,7)="Lending","Lending",J581)),'Conversion Model'!$G$8:$G$12,0)),0)+MIN(L581,15)*'Conversion Model'!$B$17+IF(SUMPRODUCT(--ISNUMBER(SEARCH('Scoring Model'!$D$16:$D$25,K581)))&gt;0,'Conversion Model'!$B$18,0)+IF(SUMPRODUCT(--ISNUMBER(SEARCH('Scoring Model'!$G$16:$G$23,K581)))&gt;0,'Conversion Model'!$B$19,0)))))</f>
        <v>0.00688159117380181</v>
      </c>
      <c r="AH581" s="3" t="n">
        <f aca="false">IF(OR(O581="Qualified",O581="Won",O581="Lost"),1,IF(O581="Unqualified",0,""))</f>
        <v>0</v>
      </c>
    </row>
    <row r="582" customFormat="false" ht="15" hidden="false" customHeight="true" outlineLevel="0" collapsed="false">
      <c r="A582" s="3" t="s">
        <v>2010</v>
      </c>
      <c r="B582" s="9" t="n">
        <v>46192.1180555556</v>
      </c>
      <c r="C582" s="3" t="s">
        <v>128</v>
      </c>
      <c r="D582" s="3" t="s">
        <v>735</v>
      </c>
      <c r="E582" s="3" t="s">
        <v>2011</v>
      </c>
      <c r="F582" s="3" t="s">
        <v>22</v>
      </c>
      <c r="G582" s="3" t="s">
        <v>202</v>
      </c>
      <c r="H582" s="3" t="s">
        <v>203</v>
      </c>
      <c r="I582" s="3" t="s">
        <v>56</v>
      </c>
      <c r="J582" s="3" t="s">
        <v>145</v>
      </c>
      <c r="K582" s="3" t="s">
        <v>634</v>
      </c>
      <c r="L582" s="3" t="n">
        <v>3</v>
      </c>
      <c r="M582" s="3" t="n">
        <v>6.6</v>
      </c>
      <c r="N582" s="3" t="s">
        <v>171</v>
      </c>
      <c r="O582" s="3"/>
      <c r="P582" s="10"/>
      <c r="Q582" s="3" t="n">
        <f aca="false">IF(F582="Disposable",1,0)</f>
        <v>0</v>
      </c>
      <c r="R582" s="3" t="n">
        <f aca="false">IF(SUMPRODUCT(--ISNUMBER(SEARCH('Spam Rules'!$A$22:$A$35,K582)))&gt;0,1,0)</f>
        <v>0</v>
      </c>
      <c r="S582" s="3" t="n">
        <f aca="false">IF(AND(F582="Free",G582=""),1,0)</f>
        <v>0</v>
      </c>
      <c r="T582" s="3" t="n">
        <f aca="false">IF(LEN(TRIM(K582))&lt;15,1,0)</f>
        <v>0</v>
      </c>
      <c r="U582" s="3" t="n">
        <f aca="false">IF(COUNTIF($E$2:$E$801,E582)&gt;1,1,0)</f>
        <v>0</v>
      </c>
      <c r="V582" s="3" t="n">
        <f aca="false">Q582*'Spam Rules'!$H$6+R582*'Spam Rules'!$H$7+S582*'Spam Rules'!$H$8+T582*'Spam Rules'!$H$9+U582*'Spam Rules'!$H$10</f>
        <v>0</v>
      </c>
      <c r="W582" s="3" t="str">
        <f aca="false">IF(V582&gt;='Spam Rules'!$B$3,"Likely Spam","Genuine")</f>
        <v>Genuine</v>
      </c>
      <c r="X582" s="3" t="n">
        <f aca="false">IFERROR(INDEX('Scoring Model'!$B$5:$B$11,MATCH(C582,'Scoring Model'!$A$5:$A$11,0)),0)</f>
        <v>30</v>
      </c>
      <c r="Y582" s="3" t="n">
        <f aca="false">IFERROR(INDEX('Scoring Model'!$E$5:$E$7,MATCH(F582,'Scoring Model'!$D$5:$D$7,0)),0)</f>
        <v>20</v>
      </c>
      <c r="Z582" s="3" t="n">
        <f aca="false">IFERROR(INDEX('Scoring Model'!$H$5:$H$13,MATCH(J582,'Scoring Model'!$G$5:$G$13,0)),0)</f>
        <v>5</v>
      </c>
      <c r="AA582" s="3" t="n">
        <f aca="false">IF(L582&gt;='Scoring Model'!$B$14,'Scoring Model'!$B$15,IF(L582&gt;='Scoring Model'!$B$16,'Scoring Model'!$B$17,0))</f>
        <v>0</v>
      </c>
      <c r="AB582" s="3" t="n">
        <f aca="false">IF(SUMPRODUCT(--ISNUMBER(SEARCH('Scoring Model'!$D$16:$D$25,K582)))&gt;0,'Scoring Model'!$B$18,0)</f>
        <v>15</v>
      </c>
      <c r="AC582" s="3" t="n">
        <f aca="false">IF(SUMPRODUCT(--ISNUMBER(SEARCH('Scoring Model'!$G$16:$G$23,K582)))&gt;0,'Scoring Model'!$B$19,0)</f>
        <v>0</v>
      </c>
      <c r="AD582" s="3" t="n">
        <f aca="false">IF(W582="Likely Spam","",SUM(X582:AC582))</f>
        <v>70</v>
      </c>
      <c r="AE582" s="3" t="str">
        <f aca="false">IF(W582="Likely Spam","Spam",IF(AD582&gt;='Scoring Model'!$B$21,"Hot",IF(AD582&gt;='Scoring Model'!$B$22,"Warm","Nurture")))</f>
        <v>Hot</v>
      </c>
      <c r="AF582" s="3" t="str">
        <f aca="false">IF(W582="Likely Spam","Flagged by spam rules",TRIM(IF(X582&gt;=20,"Strong source. ","")&amp;IF(Y582&gt;0,"Company email. ","")&amp;IF(Z582&gt;=15,"High-value product. ","")&amp;IF(AA582&gt;='Scoring Model'!$B$15,"High engagement. ","")&amp;IF(AB582&gt;0,"Buying intent in message. ","")&amp;IF(AC582&lt;0,"Negative intent in message. ","")))</f>
        <v>Strong source. Company email. Buying intent in message.</v>
      </c>
      <c r="AG582" s="11" t="n">
        <f aca="false">IF(W582="Likely Spam","",1/(1+EXP(-('Conversion Model'!$B$5+IFERROR(INDEX('Conversion Model'!$B$8:$B$14,MATCH(C582,'Conversion Model'!$A$8:$A$14,0)),0)+IFERROR(INDEX('Conversion Model'!$E$8:$E$9,MATCH(F582,'Conversion Model'!$D$8:$D$9,0)),0)+IFERROR(INDEX('Conversion Model'!$H$8:$H$12,MATCH(IF(LEFT(J582,8)="Payments","Payments",IF(LEFT(J582,7)="Lending","Lending",J582)),'Conversion Model'!$G$8:$G$12,0)),0)+MIN(L582,15)*'Conversion Model'!$B$17+IF(SUMPRODUCT(--ISNUMBER(SEARCH('Scoring Model'!$D$16:$D$25,K582)))&gt;0,'Conversion Model'!$B$18,0)+IF(SUMPRODUCT(--ISNUMBER(SEARCH('Scoring Model'!$G$16:$G$23,K582)))&gt;0,'Conversion Model'!$B$19,0)))))</f>
        <v>0.631812417736102</v>
      </c>
      <c r="AH582" s="3" t="str">
        <f aca="false">IF(OR(O582="Qualified",O582="Won",O582="Lost"),1,IF(O582="Unqualified",0,""))</f>
        <v/>
      </c>
    </row>
    <row r="583" customFormat="false" ht="15" hidden="false" customHeight="true" outlineLevel="0" collapsed="false">
      <c r="A583" s="3" t="s">
        <v>2012</v>
      </c>
      <c r="B583" s="9" t="n">
        <v>46192.2361111111</v>
      </c>
      <c r="C583" s="3" t="s">
        <v>51</v>
      </c>
      <c r="D583" s="3" t="s">
        <v>2013</v>
      </c>
      <c r="E583" s="3" t="s">
        <v>2014</v>
      </c>
      <c r="F583" s="3" t="s">
        <v>54</v>
      </c>
      <c r="G583" s="3" t="s">
        <v>321</v>
      </c>
      <c r="H583" s="3"/>
      <c r="I583" s="3" t="s">
        <v>188</v>
      </c>
      <c r="J583" s="3" t="s">
        <v>122</v>
      </c>
      <c r="K583" s="3" t="s">
        <v>126</v>
      </c>
      <c r="L583" s="3" t="n">
        <v>2</v>
      </c>
      <c r="M583" s="3" t="n">
        <v>27.2</v>
      </c>
      <c r="N583" s="3" t="s">
        <v>67</v>
      </c>
      <c r="O583" s="3"/>
      <c r="P583" s="10"/>
      <c r="Q583" s="3" t="n">
        <f aca="false">IF(F583="Disposable",1,0)</f>
        <v>0</v>
      </c>
      <c r="R583" s="3" t="n">
        <f aca="false">IF(SUMPRODUCT(--ISNUMBER(SEARCH('Spam Rules'!$A$22:$A$35,K583)))&gt;0,1,0)</f>
        <v>0</v>
      </c>
      <c r="S583" s="3" t="n">
        <f aca="false">IF(AND(F583="Free",G583=""),1,0)</f>
        <v>0</v>
      </c>
      <c r="T583" s="3" t="n">
        <f aca="false">IF(LEN(TRIM(K583))&lt;15,1,0)</f>
        <v>1</v>
      </c>
      <c r="U583" s="3" t="n">
        <f aca="false">IF(COUNTIF($E$2:$E$801,E583)&gt;1,1,0)</f>
        <v>0</v>
      </c>
      <c r="V583" s="3" t="n">
        <f aca="false">Q583*'Spam Rules'!$H$6+R583*'Spam Rules'!$H$7+S583*'Spam Rules'!$H$8+T583*'Spam Rules'!$H$9+U583*'Spam Rules'!$H$10</f>
        <v>1</v>
      </c>
      <c r="W583" s="3" t="str">
        <f aca="false">IF(V583&gt;='Spam Rules'!$B$3,"Likely Spam","Genuine")</f>
        <v>Likely Spam</v>
      </c>
      <c r="X583" s="3" t="n">
        <f aca="false">IFERROR(INDEX('Scoring Model'!$B$5:$B$11,MATCH(C583,'Scoring Model'!$A$5:$A$11,0)),0)</f>
        <v>10</v>
      </c>
      <c r="Y583" s="3" t="n">
        <f aca="false">IFERROR(INDEX('Scoring Model'!$E$5:$E$7,MATCH(F583,'Scoring Model'!$D$5:$D$7,0)),0)</f>
        <v>0</v>
      </c>
      <c r="Z583" s="3" t="n">
        <f aca="false">IFERROR(INDEX('Scoring Model'!$H$5:$H$13,MATCH(J583,'Scoring Model'!$G$5:$G$13,0)),0)</f>
        <v>15</v>
      </c>
      <c r="AA583" s="3" t="n">
        <f aca="false">IF(L583&gt;='Scoring Model'!$B$14,'Scoring Model'!$B$15,IF(L583&gt;='Scoring Model'!$B$16,'Scoring Model'!$B$17,0))</f>
        <v>0</v>
      </c>
      <c r="AB583" s="3" t="n">
        <f aca="false">IF(SUMPRODUCT(--ISNUMBER(SEARCH('Scoring Model'!$D$16:$D$25,K583)))&gt;0,'Scoring Model'!$B$18,0)</f>
        <v>0</v>
      </c>
      <c r="AC583" s="3" t="n">
        <f aca="false">IF(SUMPRODUCT(--ISNUMBER(SEARCH('Scoring Model'!$G$16:$G$23,K583)))&gt;0,'Scoring Model'!$B$19,0)</f>
        <v>0</v>
      </c>
      <c r="AD583" s="3" t="str">
        <f aca="false">IF(W583="Likely Spam","",SUM(X583:AC583))</f>
        <v/>
      </c>
      <c r="AE583" s="3" t="str">
        <f aca="false">IF(W583="Likely Spam","Spam",IF(AD583&gt;='Scoring Model'!$B$21,"Hot",IF(AD583&gt;='Scoring Model'!$B$22,"Warm","Nurture")))</f>
        <v>Spam</v>
      </c>
      <c r="AF583" s="3" t="str">
        <f aca="false">IF(W583="Likely Spam","Flagged by spam rules",TRIM(IF(X583&gt;=20,"Strong source. ","")&amp;IF(Y583&gt;0,"Company email. ","")&amp;IF(Z583&gt;=15,"High-value product. ","")&amp;IF(AA583&gt;='Scoring Model'!$B$15,"High engagement. ","")&amp;IF(AB583&gt;0,"Buying intent in message. ","")&amp;IF(AC583&lt;0,"Negative intent in message. ","")))</f>
        <v>Flagged by spam rules</v>
      </c>
      <c r="AG583" s="11" t="str">
        <f aca="false">IF(W583="Likely Spam","",1/(1+EXP(-('Conversion Model'!$B$5+IFERROR(INDEX('Conversion Model'!$B$8:$B$14,MATCH(C583,'Conversion Model'!$A$8:$A$14,0)),0)+IFERROR(INDEX('Conversion Model'!$E$8:$E$9,MATCH(F583,'Conversion Model'!$D$8:$D$9,0)),0)+IFERROR(INDEX('Conversion Model'!$H$8:$H$12,MATCH(IF(LEFT(J583,8)="Payments","Payments",IF(LEFT(J583,7)="Lending","Lending",J583)),'Conversion Model'!$G$8:$G$12,0)),0)+MIN(L583,15)*'Conversion Model'!$B$17+IF(SUMPRODUCT(--ISNUMBER(SEARCH('Scoring Model'!$D$16:$D$25,K583)))&gt;0,'Conversion Model'!$B$18,0)+IF(SUMPRODUCT(--ISNUMBER(SEARCH('Scoring Model'!$G$16:$G$23,K583)))&gt;0,'Conversion Model'!$B$19,0)))))</f>
        <v/>
      </c>
      <c r="AH583" s="3" t="str">
        <f aca="false">IF(OR(O583="Qualified",O583="Won",O583="Lost"),1,IF(O583="Unqualified",0,""))</f>
        <v/>
      </c>
    </row>
    <row r="584" customFormat="false" ht="15" hidden="false" customHeight="true" outlineLevel="0" collapsed="false">
      <c r="A584" s="3" t="s">
        <v>2015</v>
      </c>
      <c r="B584" s="9" t="n">
        <v>46192.4770833333</v>
      </c>
      <c r="C584" s="3" t="s">
        <v>135</v>
      </c>
      <c r="D584" s="3" t="s">
        <v>2016</v>
      </c>
      <c r="E584" s="3" t="s">
        <v>2017</v>
      </c>
      <c r="F584" s="3" t="s">
        <v>22</v>
      </c>
      <c r="G584" s="3" t="s">
        <v>786</v>
      </c>
      <c r="H584" s="3" t="s">
        <v>787</v>
      </c>
      <c r="I584" s="3" t="s">
        <v>107</v>
      </c>
      <c r="J584" s="3" t="s">
        <v>108</v>
      </c>
      <c r="K584" s="3" t="s">
        <v>189</v>
      </c>
      <c r="L584" s="3" t="n">
        <v>5</v>
      </c>
      <c r="M584" s="3" t="n">
        <v>30.9</v>
      </c>
      <c r="N584" s="3" t="s">
        <v>67</v>
      </c>
      <c r="O584" s="3"/>
      <c r="P584" s="10"/>
      <c r="Q584" s="3" t="n">
        <f aca="false">IF(F584="Disposable",1,0)</f>
        <v>0</v>
      </c>
      <c r="R584" s="3" t="n">
        <f aca="false">IF(SUMPRODUCT(--ISNUMBER(SEARCH('Spam Rules'!$A$22:$A$35,K584)))&gt;0,1,0)</f>
        <v>0</v>
      </c>
      <c r="S584" s="3" t="n">
        <f aca="false">IF(AND(F584="Free",G584=""),1,0)</f>
        <v>0</v>
      </c>
      <c r="T584" s="3" t="n">
        <f aca="false">IF(LEN(TRIM(K584))&lt;15,1,0)</f>
        <v>0</v>
      </c>
      <c r="U584" s="3" t="n">
        <f aca="false">IF(COUNTIF($E$2:$E$801,E584)&gt;1,1,0)</f>
        <v>0</v>
      </c>
      <c r="V584" s="3" t="n">
        <f aca="false">Q584*'Spam Rules'!$H$6+R584*'Spam Rules'!$H$7+S584*'Spam Rules'!$H$8+T584*'Spam Rules'!$H$9+U584*'Spam Rules'!$H$10</f>
        <v>0</v>
      </c>
      <c r="W584" s="3" t="str">
        <f aca="false">IF(V584&gt;='Spam Rules'!$B$3,"Likely Spam","Genuine")</f>
        <v>Genuine</v>
      </c>
      <c r="X584" s="3" t="n">
        <f aca="false">IFERROR(INDEX('Scoring Model'!$B$5:$B$11,MATCH(C584,'Scoring Model'!$A$5:$A$11,0)),0)</f>
        <v>20</v>
      </c>
      <c r="Y584" s="3" t="n">
        <f aca="false">IFERROR(INDEX('Scoring Model'!$E$5:$E$7,MATCH(F584,'Scoring Model'!$D$5:$D$7,0)),0)</f>
        <v>20</v>
      </c>
      <c r="Z584" s="3" t="n">
        <f aca="false">IFERROR(INDEX('Scoring Model'!$H$5:$H$13,MATCH(J584,'Scoring Model'!$G$5:$G$13,0)),0)</f>
        <v>15</v>
      </c>
      <c r="AA584" s="3" t="n">
        <f aca="false">IF(L584&gt;='Scoring Model'!$B$14,'Scoring Model'!$B$15,IF(L584&gt;='Scoring Model'!$B$16,'Scoring Model'!$B$17,0))</f>
        <v>8</v>
      </c>
      <c r="AB584" s="3" t="n">
        <f aca="false">IF(SUMPRODUCT(--ISNUMBER(SEARCH('Scoring Model'!$D$16:$D$25,K584)))&gt;0,'Scoring Model'!$B$18,0)</f>
        <v>15</v>
      </c>
      <c r="AC584" s="3" t="n">
        <f aca="false">IF(SUMPRODUCT(--ISNUMBER(SEARCH('Scoring Model'!$G$16:$G$23,K584)))&gt;0,'Scoring Model'!$B$19,0)</f>
        <v>0</v>
      </c>
      <c r="AD584" s="3" t="n">
        <f aca="false">IF(W584="Likely Spam","",SUM(X584:AC584))</f>
        <v>78</v>
      </c>
      <c r="AE584" s="3" t="str">
        <f aca="false">IF(W584="Likely Spam","Spam",IF(AD584&gt;='Scoring Model'!$B$21,"Hot",IF(AD584&gt;='Scoring Model'!$B$22,"Warm","Nurture")))</f>
        <v>Hot</v>
      </c>
      <c r="AF584" s="3" t="str">
        <f aca="false">IF(W584="Likely Spam","Flagged by spam rules",TRIM(IF(X584&gt;=20,"Strong source. ","")&amp;IF(Y584&gt;0,"Company email. ","")&amp;IF(Z584&gt;=15,"High-value product. ","")&amp;IF(AA584&gt;='Scoring Model'!$B$15,"High engagement. ","")&amp;IF(AB584&gt;0,"Buying intent in message. ","")&amp;IF(AC584&lt;0,"Negative intent in message. ","")))</f>
        <v>Strong source. Company email. High-value product. Buying intent in message.</v>
      </c>
      <c r="AG584" s="11" t="n">
        <f aca="false">IF(W584="Likely Spam","",1/(1+EXP(-('Conversion Model'!$B$5+IFERROR(INDEX('Conversion Model'!$B$8:$B$14,MATCH(C584,'Conversion Model'!$A$8:$A$14,0)),0)+IFERROR(INDEX('Conversion Model'!$E$8:$E$9,MATCH(F584,'Conversion Model'!$D$8:$D$9,0)),0)+IFERROR(INDEX('Conversion Model'!$H$8:$H$12,MATCH(IF(LEFT(J584,8)="Payments","Payments",IF(LEFT(J584,7)="Lending","Lending",J584)),'Conversion Model'!$G$8:$G$12,0)),0)+MIN(L584,15)*'Conversion Model'!$B$17+IF(SUMPRODUCT(--ISNUMBER(SEARCH('Scoring Model'!$D$16:$D$25,K584)))&gt;0,'Conversion Model'!$B$18,0)+IF(SUMPRODUCT(--ISNUMBER(SEARCH('Scoring Model'!$G$16:$G$23,K584)))&gt;0,'Conversion Model'!$B$19,0)))))</f>
        <v>0.840372195489059</v>
      </c>
      <c r="AH584" s="3" t="str">
        <f aca="false">IF(OR(O584="Qualified",O584="Won",O584="Lost"),1,IF(O584="Unqualified",0,""))</f>
        <v/>
      </c>
    </row>
    <row r="585" customFormat="false" ht="15" hidden="false" customHeight="true" outlineLevel="0" collapsed="false">
      <c r="A585" s="3" t="s">
        <v>2018</v>
      </c>
      <c r="B585" s="9" t="n">
        <v>46193.3756944445</v>
      </c>
      <c r="C585" s="3" t="s">
        <v>76</v>
      </c>
      <c r="D585" s="3" t="s">
        <v>2019</v>
      </c>
      <c r="E585" s="3" t="s">
        <v>2020</v>
      </c>
      <c r="F585" s="3" t="s">
        <v>54</v>
      </c>
      <c r="G585" s="3" t="s">
        <v>55</v>
      </c>
      <c r="H585" s="3"/>
      <c r="I585" s="3" t="s">
        <v>334</v>
      </c>
      <c r="J585" s="3" t="s">
        <v>81</v>
      </c>
      <c r="K585" s="3" t="s">
        <v>213</v>
      </c>
      <c r="L585" s="3" t="n">
        <v>1</v>
      </c>
      <c r="M585" s="3" t="n">
        <v>4.9</v>
      </c>
      <c r="N585" s="3" t="s">
        <v>59</v>
      </c>
      <c r="O585" s="3" t="s">
        <v>194</v>
      </c>
      <c r="P585" s="10"/>
      <c r="Q585" s="3" t="n">
        <f aca="false">IF(F585="Disposable",1,0)</f>
        <v>0</v>
      </c>
      <c r="R585" s="3" t="n">
        <f aca="false">IF(SUMPRODUCT(--ISNUMBER(SEARCH('Spam Rules'!$A$22:$A$35,K585)))&gt;0,1,0)</f>
        <v>0</v>
      </c>
      <c r="S585" s="3" t="n">
        <f aca="false">IF(AND(F585="Free",G585=""),1,0)</f>
        <v>0</v>
      </c>
      <c r="T585" s="3" t="n">
        <f aca="false">IF(LEN(TRIM(K585))&lt;15,1,0)</f>
        <v>0</v>
      </c>
      <c r="U585" s="3" t="n">
        <f aca="false">IF(COUNTIF($E$2:$E$801,E585)&gt;1,1,0)</f>
        <v>0</v>
      </c>
      <c r="V585" s="3" t="n">
        <f aca="false">Q585*'Spam Rules'!$H$6+R585*'Spam Rules'!$H$7+S585*'Spam Rules'!$H$8+T585*'Spam Rules'!$H$9+U585*'Spam Rules'!$H$10</f>
        <v>0</v>
      </c>
      <c r="W585" s="3" t="str">
        <f aca="false">IF(V585&gt;='Spam Rules'!$B$3,"Likely Spam","Genuine")</f>
        <v>Genuine</v>
      </c>
      <c r="X585" s="3" t="n">
        <f aca="false">IFERROR(INDEX('Scoring Model'!$B$5:$B$11,MATCH(C585,'Scoring Model'!$A$5:$A$11,0)),0)</f>
        <v>0</v>
      </c>
      <c r="Y585" s="3" t="n">
        <f aca="false">IFERROR(INDEX('Scoring Model'!$E$5:$E$7,MATCH(F585,'Scoring Model'!$D$5:$D$7,0)),0)</f>
        <v>0</v>
      </c>
      <c r="Z585" s="3" t="n">
        <f aca="false">IFERROR(INDEX('Scoring Model'!$H$5:$H$13,MATCH(J585,'Scoring Model'!$G$5:$G$13,0)),0)</f>
        <v>5</v>
      </c>
      <c r="AA585" s="3" t="n">
        <f aca="false">IF(L585&gt;='Scoring Model'!$B$14,'Scoring Model'!$B$15,IF(L585&gt;='Scoring Model'!$B$16,'Scoring Model'!$B$17,0))</f>
        <v>0</v>
      </c>
      <c r="AB585" s="3" t="n">
        <f aca="false">IF(SUMPRODUCT(--ISNUMBER(SEARCH('Scoring Model'!$D$16:$D$25,K585)))&gt;0,'Scoring Model'!$B$18,0)</f>
        <v>0</v>
      </c>
      <c r="AC585" s="3" t="n">
        <f aca="false">IF(SUMPRODUCT(--ISNUMBER(SEARCH('Scoring Model'!$G$16:$G$23,K585)))&gt;0,'Scoring Model'!$B$19,0)</f>
        <v>-30</v>
      </c>
      <c r="AD585" s="3" t="n">
        <f aca="false">IF(W585="Likely Spam","",SUM(X585:AC585))</f>
        <v>-25</v>
      </c>
      <c r="AE585" s="3" t="str">
        <f aca="false">IF(W585="Likely Spam","Spam",IF(AD585&gt;='Scoring Model'!$B$21,"Hot",IF(AD585&gt;='Scoring Model'!$B$22,"Warm","Nurture")))</f>
        <v>Nurture</v>
      </c>
      <c r="AF585" s="3" t="str">
        <f aca="false">IF(W585="Likely Spam","Flagged by spam rules",TRIM(IF(X585&gt;=20,"Strong source. ","")&amp;IF(Y585&gt;0,"Company email. ","")&amp;IF(Z585&gt;=15,"High-value product. ","")&amp;IF(AA585&gt;='Scoring Model'!$B$15,"High engagement. ","")&amp;IF(AB585&gt;0,"Buying intent in message. ","")&amp;IF(AC585&lt;0,"Negative intent in message. ","")))</f>
        <v>Negative intent in message.</v>
      </c>
      <c r="AG585" s="11" t="n">
        <f aca="false">IF(W585="Likely Spam","",1/(1+EXP(-('Conversion Model'!$B$5+IFERROR(INDEX('Conversion Model'!$B$8:$B$14,MATCH(C585,'Conversion Model'!$A$8:$A$14,0)),0)+IFERROR(INDEX('Conversion Model'!$E$8:$E$9,MATCH(F585,'Conversion Model'!$D$8:$D$9,0)),0)+IFERROR(INDEX('Conversion Model'!$H$8:$H$12,MATCH(IF(LEFT(J585,8)="Payments","Payments",IF(LEFT(J585,7)="Lending","Lending",J585)),'Conversion Model'!$G$8:$G$12,0)),0)+MIN(L585,15)*'Conversion Model'!$B$17+IF(SUMPRODUCT(--ISNUMBER(SEARCH('Scoring Model'!$D$16:$D$25,K585)))&gt;0,'Conversion Model'!$B$18,0)+IF(SUMPRODUCT(--ISNUMBER(SEARCH('Scoring Model'!$G$16:$G$23,K585)))&gt;0,'Conversion Model'!$B$19,0)))))</f>
        <v>0.000547281407765029</v>
      </c>
      <c r="AH585" s="3" t="n">
        <f aca="false">IF(OR(O585="Qualified",O585="Won",O585="Lost"),1,IF(O585="Unqualified",0,""))</f>
        <v>0</v>
      </c>
    </row>
    <row r="586" customFormat="false" ht="15" hidden="false" customHeight="true" outlineLevel="0" collapsed="false">
      <c r="A586" s="3" t="s">
        <v>2021</v>
      </c>
      <c r="B586" s="9" t="n">
        <v>46193.9118055556</v>
      </c>
      <c r="C586" s="3" t="s">
        <v>160</v>
      </c>
      <c r="D586" s="3" t="s">
        <v>2022</v>
      </c>
      <c r="E586" s="3" t="s">
        <v>2023</v>
      </c>
      <c r="F586" s="3" t="s">
        <v>22</v>
      </c>
      <c r="G586" s="3" t="s">
        <v>642</v>
      </c>
      <c r="H586" s="3" t="s">
        <v>643</v>
      </c>
      <c r="I586" s="3" t="s">
        <v>73</v>
      </c>
      <c r="J586" s="3" t="s">
        <v>57</v>
      </c>
      <c r="K586" s="3" t="s">
        <v>384</v>
      </c>
      <c r="L586" s="3" t="n">
        <v>8</v>
      </c>
      <c r="M586" s="3" t="n">
        <v>4.1</v>
      </c>
      <c r="N586" s="3" t="s">
        <v>96</v>
      </c>
      <c r="O586" s="3" t="s">
        <v>110</v>
      </c>
      <c r="P586" s="10"/>
      <c r="Q586" s="3" t="n">
        <f aca="false">IF(F586="Disposable",1,0)</f>
        <v>0</v>
      </c>
      <c r="R586" s="3" t="n">
        <f aca="false">IF(SUMPRODUCT(--ISNUMBER(SEARCH('Spam Rules'!$A$22:$A$35,K586)))&gt;0,1,0)</f>
        <v>0</v>
      </c>
      <c r="S586" s="3" t="n">
        <f aca="false">IF(AND(F586="Free",G586=""),1,0)</f>
        <v>0</v>
      </c>
      <c r="T586" s="3" t="n">
        <f aca="false">IF(LEN(TRIM(K586))&lt;15,1,0)</f>
        <v>0</v>
      </c>
      <c r="U586" s="3" t="n">
        <f aca="false">IF(COUNTIF($E$2:$E$801,E586)&gt;1,1,0)</f>
        <v>0</v>
      </c>
      <c r="V586" s="3" t="n">
        <f aca="false">Q586*'Spam Rules'!$H$6+R586*'Spam Rules'!$H$7+S586*'Spam Rules'!$H$8+T586*'Spam Rules'!$H$9+U586*'Spam Rules'!$H$10</f>
        <v>0</v>
      </c>
      <c r="W586" s="3" t="str">
        <f aca="false">IF(V586&gt;='Spam Rules'!$B$3,"Likely Spam","Genuine")</f>
        <v>Genuine</v>
      </c>
      <c r="X586" s="3" t="n">
        <f aca="false">IFERROR(INDEX('Scoring Model'!$B$5:$B$11,MATCH(C586,'Scoring Model'!$A$5:$A$11,0)),0)</f>
        <v>25</v>
      </c>
      <c r="Y586" s="3" t="n">
        <f aca="false">IFERROR(INDEX('Scoring Model'!$E$5:$E$7,MATCH(F586,'Scoring Model'!$D$5:$D$7,0)),0)</f>
        <v>20</v>
      </c>
      <c r="Z586" s="3" t="n">
        <f aca="false">IFERROR(INDEX('Scoring Model'!$H$5:$H$13,MATCH(J586,'Scoring Model'!$G$5:$G$13,0)),0)</f>
        <v>15</v>
      </c>
      <c r="AA586" s="3" t="n">
        <f aca="false">IF(L586&gt;='Scoring Model'!$B$14,'Scoring Model'!$B$15,IF(L586&gt;='Scoring Model'!$B$16,'Scoring Model'!$B$17,0))</f>
        <v>15</v>
      </c>
      <c r="AB586" s="3" t="n">
        <f aca="false">IF(SUMPRODUCT(--ISNUMBER(SEARCH('Scoring Model'!$D$16:$D$25,K586)))&gt;0,'Scoring Model'!$B$18,0)</f>
        <v>15</v>
      </c>
      <c r="AC586" s="3" t="n">
        <f aca="false">IF(SUMPRODUCT(--ISNUMBER(SEARCH('Scoring Model'!$G$16:$G$23,K586)))&gt;0,'Scoring Model'!$B$19,0)</f>
        <v>0</v>
      </c>
      <c r="AD586" s="3" t="n">
        <f aca="false">IF(W586="Likely Spam","",SUM(X586:AC586))</f>
        <v>90</v>
      </c>
      <c r="AE586" s="3" t="str">
        <f aca="false">IF(W586="Likely Spam","Spam",IF(AD586&gt;='Scoring Model'!$B$21,"Hot",IF(AD586&gt;='Scoring Model'!$B$22,"Warm","Nurture")))</f>
        <v>Hot</v>
      </c>
      <c r="AF586" s="3" t="str">
        <f aca="false">IF(W586="Likely Spam","Flagged by spam rules",TRIM(IF(X586&gt;=20,"Strong source. ","")&amp;IF(Y586&gt;0,"Company email. ","")&amp;IF(Z586&gt;=15,"High-value product. ","")&amp;IF(AA586&gt;='Scoring Model'!$B$15,"High engagement. ","")&amp;IF(AB586&gt;0,"Buying intent in message. ","")&amp;IF(AC586&lt;0,"Negative intent in message. ","")))</f>
        <v>Strong source. Company email. High-value product. High engagement. Buying intent in message.</v>
      </c>
      <c r="AG586" s="11" t="n">
        <f aca="false">IF(W586="Likely Spam","",1/(1+EXP(-('Conversion Model'!$B$5+IFERROR(INDEX('Conversion Model'!$B$8:$B$14,MATCH(C586,'Conversion Model'!$A$8:$A$14,0)),0)+IFERROR(INDEX('Conversion Model'!$E$8:$E$9,MATCH(F586,'Conversion Model'!$D$8:$D$9,0)),0)+IFERROR(INDEX('Conversion Model'!$H$8:$H$12,MATCH(IF(LEFT(J586,8)="Payments","Payments",IF(LEFT(J586,7)="Lending","Lending",J586)),'Conversion Model'!$G$8:$G$12,0)),0)+MIN(L586,15)*'Conversion Model'!$B$17+IF(SUMPRODUCT(--ISNUMBER(SEARCH('Scoring Model'!$D$16:$D$25,K586)))&gt;0,'Conversion Model'!$B$18,0)+IF(SUMPRODUCT(--ISNUMBER(SEARCH('Scoring Model'!$G$16:$G$23,K586)))&gt;0,'Conversion Model'!$B$19,0)))))</f>
        <v>0.976060622490283</v>
      </c>
      <c r="AH586" s="3" t="n">
        <f aca="false">IF(OR(O586="Qualified",O586="Won",O586="Lost"),1,IF(O586="Unqualified",0,""))</f>
        <v>1</v>
      </c>
    </row>
    <row r="587" customFormat="false" ht="15" hidden="false" customHeight="true" outlineLevel="0" collapsed="false">
      <c r="A587" s="3" t="s">
        <v>2024</v>
      </c>
      <c r="B587" s="9" t="n">
        <v>46195.1465277778</v>
      </c>
      <c r="C587" s="3" t="s">
        <v>76</v>
      </c>
      <c r="D587" s="3" t="s">
        <v>2025</v>
      </c>
      <c r="E587" s="3" t="s">
        <v>2026</v>
      </c>
      <c r="F587" s="3" t="s">
        <v>22</v>
      </c>
      <c r="G587" s="3" t="s">
        <v>777</v>
      </c>
      <c r="H587" s="3" t="s">
        <v>2027</v>
      </c>
      <c r="I587" s="3" t="s">
        <v>116</v>
      </c>
      <c r="J587" s="3" t="s">
        <v>145</v>
      </c>
      <c r="K587" s="3" t="s">
        <v>213</v>
      </c>
      <c r="L587" s="3" t="n">
        <v>3</v>
      </c>
      <c r="M587" s="3" t="n">
        <v>2.9</v>
      </c>
      <c r="N587" s="3" t="s">
        <v>96</v>
      </c>
      <c r="O587" s="3"/>
      <c r="P587" s="10"/>
      <c r="Q587" s="3" t="n">
        <f aca="false">IF(F587="Disposable",1,0)</f>
        <v>0</v>
      </c>
      <c r="R587" s="3" t="n">
        <f aca="false">IF(SUMPRODUCT(--ISNUMBER(SEARCH('Spam Rules'!$A$22:$A$35,K587)))&gt;0,1,0)</f>
        <v>0</v>
      </c>
      <c r="S587" s="3" t="n">
        <f aca="false">IF(AND(F587="Free",G587=""),1,0)</f>
        <v>0</v>
      </c>
      <c r="T587" s="3" t="n">
        <f aca="false">IF(LEN(TRIM(K587))&lt;15,1,0)</f>
        <v>0</v>
      </c>
      <c r="U587" s="3" t="n">
        <f aca="false">IF(COUNTIF($E$2:$E$801,E587)&gt;1,1,0)</f>
        <v>0</v>
      </c>
      <c r="V587" s="3" t="n">
        <f aca="false">Q587*'Spam Rules'!$H$6+R587*'Spam Rules'!$H$7+S587*'Spam Rules'!$H$8+T587*'Spam Rules'!$H$9+U587*'Spam Rules'!$H$10</f>
        <v>0</v>
      </c>
      <c r="W587" s="3" t="str">
        <f aca="false">IF(V587&gt;='Spam Rules'!$B$3,"Likely Spam","Genuine")</f>
        <v>Genuine</v>
      </c>
      <c r="X587" s="3" t="n">
        <f aca="false">IFERROR(INDEX('Scoring Model'!$B$5:$B$11,MATCH(C587,'Scoring Model'!$A$5:$A$11,0)),0)</f>
        <v>0</v>
      </c>
      <c r="Y587" s="3" t="n">
        <f aca="false">IFERROR(INDEX('Scoring Model'!$E$5:$E$7,MATCH(F587,'Scoring Model'!$D$5:$D$7,0)),0)</f>
        <v>20</v>
      </c>
      <c r="Z587" s="3" t="n">
        <f aca="false">IFERROR(INDEX('Scoring Model'!$H$5:$H$13,MATCH(J587,'Scoring Model'!$G$5:$G$13,0)),0)</f>
        <v>5</v>
      </c>
      <c r="AA587" s="3" t="n">
        <f aca="false">IF(L587&gt;='Scoring Model'!$B$14,'Scoring Model'!$B$15,IF(L587&gt;='Scoring Model'!$B$16,'Scoring Model'!$B$17,0))</f>
        <v>0</v>
      </c>
      <c r="AB587" s="3" t="n">
        <f aca="false">IF(SUMPRODUCT(--ISNUMBER(SEARCH('Scoring Model'!$D$16:$D$25,K587)))&gt;0,'Scoring Model'!$B$18,0)</f>
        <v>0</v>
      </c>
      <c r="AC587" s="3" t="n">
        <f aca="false">IF(SUMPRODUCT(--ISNUMBER(SEARCH('Scoring Model'!$G$16:$G$23,K587)))&gt;0,'Scoring Model'!$B$19,0)</f>
        <v>-30</v>
      </c>
      <c r="AD587" s="3" t="n">
        <f aca="false">IF(W587="Likely Spam","",SUM(X587:AC587))</f>
        <v>-5</v>
      </c>
      <c r="AE587" s="3" t="str">
        <f aca="false">IF(W587="Likely Spam","Spam",IF(AD587&gt;='Scoring Model'!$B$21,"Hot",IF(AD587&gt;='Scoring Model'!$B$22,"Warm","Nurture")))</f>
        <v>Nurture</v>
      </c>
      <c r="AF587" s="3" t="str">
        <f aca="false">IF(W587="Likely Spam","Flagged by spam rules",TRIM(IF(X587&gt;=20,"Strong source. ","")&amp;IF(Y587&gt;0,"Company email. ","")&amp;IF(Z587&gt;=15,"High-value product. ","")&amp;IF(AA587&gt;='Scoring Model'!$B$15,"High engagement. ","")&amp;IF(AB587&gt;0,"Buying intent in message. ","")&amp;IF(AC587&lt;0,"Negative intent in message. ","")))</f>
        <v>Company email. Negative intent in message.</v>
      </c>
      <c r="AG587" s="11" t="n">
        <f aca="false">IF(W587="Likely Spam","",1/(1+EXP(-('Conversion Model'!$B$5+IFERROR(INDEX('Conversion Model'!$B$8:$B$14,MATCH(C587,'Conversion Model'!$A$8:$A$14,0)),0)+IFERROR(INDEX('Conversion Model'!$E$8:$E$9,MATCH(F587,'Conversion Model'!$D$8:$D$9,0)),0)+IFERROR(INDEX('Conversion Model'!$H$8:$H$12,MATCH(IF(LEFT(J587,8)="Payments","Payments",IF(LEFT(J587,7)="Lending","Lending",J587)),'Conversion Model'!$G$8:$G$12,0)),0)+MIN(L587,15)*'Conversion Model'!$B$17+IF(SUMPRODUCT(--ISNUMBER(SEARCH('Scoring Model'!$D$16:$D$25,K587)))&gt;0,'Conversion Model'!$B$18,0)+IF(SUMPRODUCT(--ISNUMBER(SEARCH('Scoring Model'!$G$16:$G$23,K587)))&gt;0,'Conversion Model'!$B$19,0)))))</f>
        <v>0.0112508163831601</v>
      </c>
      <c r="AH587" s="3" t="str">
        <f aca="false">IF(OR(O587="Qualified",O587="Won",O587="Lost"),1,IF(O587="Unqualified",0,""))</f>
        <v/>
      </c>
    </row>
    <row r="588" customFormat="false" ht="15" hidden="false" customHeight="true" outlineLevel="0" collapsed="false">
      <c r="A588" s="3" t="s">
        <v>2028</v>
      </c>
      <c r="B588" s="9" t="n">
        <v>46195.2215277778</v>
      </c>
      <c r="C588" s="3" t="s">
        <v>135</v>
      </c>
      <c r="D588" s="3" t="s">
        <v>792</v>
      </c>
      <c r="E588" s="3" t="s">
        <v>2029</v>
      </c>
      <c r="F588" s="3" t="s">
        <v>54</v>
      </c>
      <c r="G588" s="3"/>
      <c r="H588" s="3"/>
      <c r="I588" s="3" t="s">
        <v>64</v>
      </c>
      <c r="J588" s="3" t="s">
        <v>81</v>
      </c>
      <c r="K588" s="3" t="s">
        <v>101</v>
      </c>
      <c r="L588" s="3" t="n">
        <v>3</v>
      </c>
      <c r="M588" s="3" t="n">
        <v>8.9</v>
      </c>
      <c r="N588" s="3" t="s">
        <v>67</v>
      </c>
      <c r="O588" s="3" t="s">
        <v>194</v>
      </c>
      <c r="P588" s="10"/>
      <c r="Q588" s="3" t="n">
        <f aca="false">IF(F588="Disposable",1,0)</f>
        <v>0</v>
      </c>
      <c r="R588" s="3" t="n">
        <f aca="false">IF(SUMPRODUCT(--ISNUMBER(SEARCH('Spam Rules'!$A$22:$A$35,K588)))&gt;0,1,0)</f>
        <v>0</v>
      </c>
      <c r="S588" s="3" t="n">
        <f aca="false">IF(AND(F588="Free",G588=""),1,0)</f>
        <v>1</v>
      </c>
      <c r="T588" s="3" t="n">
        <f aca="false">IF(LEN(TRIM(K588))&lt;15,1,0)</f>
        <v>0</v>
      </c>
      <c r="U588" s="3" t="n">
        <f aca="false">IF(COUNTIF($E$2:$E$801,E588)&gt;1,1,0)</f>
        <v>0</v>
      </c>
      <c r="V588" s="3" t="n">
        <f aca="false">Q588*'Spam Rules'!$H$6+R588*'Spam Rules'!$H$7+S588*'Spam Rules'!$H$8+T588*'Spam Rules'!$H$9+U588*'Spam Rules'!$H$10</f>
        <v>0</v>
      </c>
      <c r="W588" s="3" t="str">
        <f aca="false">IF(V588&gt;='Spam Rules'!$B$3,"Likely Spam","Genuine")</f>
        <v>Genuine</v>
      </c>
      <c r="X588" s="3" t="n">
        <f aca="false">IFERROR(INDEX('Scoring Model'!$B$5:$B$11,MATCH(C588,'Scoring Model'!$A$5:$A$11,0)),0)</f>
        <v>20</v>
      </c>
      <c r="Y588" s="3" t="n">
        <f aca="false">IFERROR(INDEX('Scoring Model'!$E$5:$E$7,MATCH(F588,'Scoring Model'!$D$5:$D$7,0)),0)</f>
        <v>0</v>
      </c>
      <c r="Z588" s="3" t="n">
        <f aca="false">IFERROR(INDEX('Scoring Model'!$H$5:$H$13,MATCH(J588,'Scoring Model'!$G$5:$G$13,0)),0)</f>
        <v>5</v>
      </c>
      <c r="AA588" s="3" t="n">
        <f aca="false">IF(L588&gt;='Scoring Model'!$B$14,'Scoring Model'!$B$15,IF(L588&gt;='Scoring Model'!$B$16,'Scoring Model'!$B$17,0))</f>
        <v>0</v>
      </c>
      <c r="AB588" s="3" t="n">
        <f aca="false">IF(SUMPRODUCT(--ISNUMBER(SEARCH('Scoring Model'!$D$16:$D$25,K588)))&gt;0,'Scoring Model'!$B$18,0)</f>
        <v>0</v>
      </c>
      <c r="AC588" s="3" t="n">
        <f aca="false">IF(SUMPRODUCT(--ISNUMBER(SEARCH('Scoring Model'!$G$16:$G$23,K588)))&gt;0,'Scoring Model'!$B$19,0)</f>
        <v>-30</v>
      </c>
      <c r="AD588" s="3" t="n">
        <f aca="false">IF(W588="Likely Spam","",SUM(X588:AC588))</f>
        <v>-5</v>
      </c>
      <c r="AE588" s="3" t="str">
        <f aca="false">IF(W588="Likely Spam","Spam",IF(AD588&gt;='Scoring Model'!$B$21,"Hot",IF(AD588&gt;='Scoring Model'!$B$22,"Warm","Nurture")))</f>
        <v>Nurture</v>
      </c>
      <c r="AF588" s="3" t="str">
        <f aca="false">IF(W588="Likely Spam","Flagged by spam rules",TRIM(IF(X588&gt;=20,"Strong source. ","")&amp;IF(Y588&gt;0,"Company email. ","")&amp;IF(Z588&gt;=15,"High-value product. ","")&amp;IF(AA588&gt;='Scoring Model'!$B$15,"High engagement. ","")&amp;IF(AB588&gt;0,"Buying intent in message. ","")&amp;IF(AC588&lt;0,"Negative intent in message. ","")))</f>
        <v>Strong source. Negative intent in message.</v>
      </c>
      <c r="AG588" s="11" t="n">
        <f aca="false">IF(W588="Likely Spam","",1/(1+EXP(-('Conversion Model'!$B$5+IFERROR(INDEX('Conversion Model'!$B$8:$B$14,MATCH(C588,'Conversion Model'!$A$8:$A$14,0)),0)+IFERROR(INDEX('Conversion Model'!$E$8:$E$9,MATCH(F588,'Conversion Model'!$D$8:$D$9,0)),0)+IFERROR(INDEX('Conversion Model'!$H$8:$H$12,MATCH(IF(LEFT(J588,8)="Payments","Payments",IF(LEFT(J588,7)="Lending","Lending",J588)),'Conversion Model'!$G$8:$G$12,0)),0)+MIN(L588,15)*'Conversion Model'!$B$17+IF(SUMPRODUCT(--ISNUMBER(SEARCH('Scoring Model'!$D$16:$D$25,K588)))&gt;0,'Conversion Model'!$B$18,0)+IF(SUMPRODUCT(--ISNUMBER(SEARCH('Scoring Model'!$G$16:$G$23,K588)))&gt;0,'Conversion Model'!$B$19,0)))))</f>
        <v>0.00884516308224579</v>
      </c>
      <c r="AH588" s="3" t="n">
        <f aca="false">IF(OR(O588="Qualified",O588="Won",O588="Lost"),1,IF(O588="Unqualified",0,""))</f>
        <v>0</v>
      </c>
    </row>
    <row r="589" customFormat="false" ht="15" hidden="false" customHeight="true" outlineLevel="0" collapsed="false">
      <c r="A589" s="3" t="s">
        <v>2030</v>
      </c>
      <c r="B589" s="9" t="n">
        <v>46195.3972222222</v>
      </c>
      <c r="C589" s="3" t="s">
        <v>51</v>
      </c>
      <c r="D589" s="3" t="s">
        <v>792</v>
      </c>
      <c r="E589" s="3" t="s">
        <v>1131</v>
      </c>
      <c r="F589" s="3" t="s">
        <v>54</v>
      </c>
      <c r="G589" s="3" t="s">
        <v>237</v>
      </c>
      <c r="H589" s="3"/>
      <c r="I589" s="3" t="s">
        <v>94</v>
      </c>
      <c r="J589" s="3" t="s">
        <v>81</v>
      </c>
      <c r="K589" s="3" t="s">
        <v>239</v>
      </c>
      <c r="L589" s="3" t="n">
        <v>2</v>
      </c>
      <c r="M589" s="3" t="n">
        <v>22.1</v>
      </c>
      <c r="N589" s="3" t="s">
        <v>59</v>
      </c>
      <c r="O589" s="3"/>
      <c r="P589" s="10"/>
      <c r="Q589" s="3" t="n">
        <f aca="false">IF(F589="Disposable",1,0)</f>
        <v>0</v>
      </c>
      <c r="R589" s="3" t="n">
        <f aca="false">IF(SUMPRODUCT(--ISNUMBER(SEARCH('Spam Rules'!$A$22:$A$35,K589)))&gt;0,1,0)</f>
        <v>1</v>
      </c>
      <c r="S589" s="3" t="n">
        <f aca="false">IF(AND(F589="Free",G589=""),1,0)</f>
        <v>0</v>
      </c>
      <c r="T589" s="3" t="n">
        <f aca="false">IF(LEN(TRIM(K589))&lt;15,1,0)</f>
        <v>0</v>
      </c>
      <c r="U589" s="3" t="n">
        <f aca="false">IF(COUNTIF($E$2:$E$801,E589)&gt;1,1,0)</f>
        <v>1</v>
      </c>
      <c r="V589" s="3" t="n">
        <f aca="false">Q589*'Spam Rules'!$H$6+R589*'Spam Rules'!$H$7+S589*'Spam Rules'!$H$8+T589*'Spam Rules'!$H$9+U589*'Spam Rules'!$H$10</f>
        <v>1</v>
      </c>
      <c r="W589" s="3" t="str">
        <f aca="false">IF(V589&gt;='Spam Rules'!$B$3,"Likely Spam","Genuine")</f>
        <v>Likely Spam</v>
      </c>
      <c r="X589" s="3" t="n">
        <f aca="false">IFERROR(INDEX('Scoring Model'!$B$5:$B$11,MATCH(C589,'Scoring Model'!$A$5:$A$11,0)),0)</f>
        <v>10</v>
      </c>
      <c r="Y589" s="3" t="n">
        <f aca="false">IFERROR(INDEX('Scoring Model'!$E$5:$E$7,MATCH(F589,'Scoring Model'!$D$5:$D$7,0)),0)</f>
        <v>0</v>
      </c>
      <c r="Z589" s="3" t="n">
        <f aca="false">IFERROR(INDEX('Scoring Model'!$H$5:$H$13,MATCH(J589,'Scoring Model'!$G$5:$G$13,0)),0)</f>
        <v>5</v>
      </c>
      <c r="AA589" s="3" t="n">
        <f aca="false">IF(L589&gt;='Scoring Model'!$B$14,'Scoring Model'!$B$15,IF(L589&gt;='Scoring Model'!$B$16,'Scoring Model'!$B$17,0))</f>
        <v>0</v>
      </c>
      <c r="AB589" s="3" t="n">
        <f aca="false">IF(SUMPRODUCT(--ISNUMBER(SEARCH('Scoring Model'!$D$16:$D$25,K589)))&gt;0,'Scoring Model'!$B$18,0)</f>
        <v>0</v>
      </c>
      <c r="AC589" s="3" t="n">
        <f aca="false">IF(SUMPRODUCT(--ISNUMBER(SEARCH('Scoring Model'!$G$16:$G$23,K589)))&gt;0,'Scoring Model'!$B$19,0)</f>
        <v>0</v>
      </c>
      <c r="AD589" s="3" t="str">
        <f aca="false">IF(W589="Likely Spam","",SUM(X589:AC589))</f>
        <v/>
      </c>
      <c r="AE589" s="3" t="str">
        <f aca="false">IF(W589="Likely Spam","Spam",IF(AD589&gt;='Scoring Model'!$B$21,"Hot",IF(AD589&gt;='Scoring Model'!$B$22,"Warm","Nurture")))</f>
        <v>Spam</v>
      </c>
      <c r="AF589" s="3" t="str">
        <f aca="false">IF(W589="Likely Spam","Flagged by spam rules",TRIM(IF(X589&gt;=20,"Strong source. ","")&amp;IF(Y589&gt;0,"Company email. ","")&amp;IF(Z589&gt;=15,"High-value product. ","")&amp;IF(AA589&gt;='Scoring Model'!$B$15,"High engagement. ","")&amp;IF(AB589&gt;0,"Buying intent in message. ","")&amp;IF(AC589&lt;0,"Negative intent in message. ","")))</f>
        <v>Flagged by spam rules</v>
      </c>
      <c r="AG589" s="11" t="str">
        <f aca="false">IF(W589="Likely Spam","",1/(1+EXP(-('Conversion Model'!$B$5+IFERROR(INDEX('Conversion Model'!$B$8:$B$14,MATCH(C589,'Conversion Model'!$A$8:$A$14,0)),0)+IFERROR(INDEX('Conversion Model'!$E$8:$E$9,MATCH(F589,'Conversion Model'!$D$8:$D$9,0)),0)+IFERROR(INDEX('Conversion Model'!$H$8:$H$12,MATCH(IF(LEFT(J589,8)="Payments","Payments",IF(LEFT(J589,7)="Lending","Lending",J589)),'Conversion Model'!$G$8:$G$12,0)),0)+MIN(L589,15)*'Conversion Model'!$B$17+IF(SUMPRODUCT(--ISNUMBER(SEARCH('Scoring Model'!$D$16:$D$25,K589)))&gt;0,'Conversion Model'!$B$18,0)+IF(SUMPRODUCT(--ISNUMBER(SEARCH('Scoring Model'!$G$16:$G$23,K589)))&gt;0,'Conversion Model'!$B$19,0)))))</f>
        <v/>
      </c>
      <c r="AH589" s="3" t="str">
        <f aca="false">IF(OR(O589="Qualified",O589="Won",O589="Lost"),1,IF(O589="Unqualified",0,""))</f>
        <v/>
      </c>
    </row>
    <row r="590" customFormat="false" ht="15" hidden="false" customHeight="true" outlineLevel="0" collapsed="false">
      <c r="A590" s="3" t="s">
        <v>2031</v>
      </c>
      <c r="B590" s="9" t="n">
        <v>46195.5819444444</v>
      </c>
      <c r="C590" s="3" t="s">
        <v>51</v>
      </c>
      <c r="D590" s="3" t="s">
        <v>1092</v>
      </c>
      <c r="E590" s="3" t="s">
        <v>2032</v>
      </c>
      <c r="F590" s="3" t="s">
        <v>22</v>
      </c>
      <c r="G590" s="3" t="s">
        <v>1447</v>
      </c>
      <c r="H590" s="3" t="s">
        <v>1448</v>
      </c>
      <c r="I590" s="3" t="s">
        <v>204</v>
      </c>
      <c r="J590" s="3" t="s">
        <v>81</v>
      </c>
      <c r="K590" s="3" t="s">
        <v>349</v>
      </c>
      <c r="L590" s="3" t="n">
        <v>2</v>
      </c>
      <c r="M590" s="3" t="n">
        <v>7.9</v>
      </c>
      <c r="N590" s="3" t="s">
        <v>171</v>
      </c>
      <c r="O590" s="3" t="s">
        <v>194</v>
      </c>
      <c r="P590" s="10"/>
      <c r="Q590" s="3" t="n">
        <f aca="false">IF(F590="Disposable",1,0)</f>
        <v>0</v>
      </c>
      <c r="R590" s="3" t="n">
        <f aca="false">IF(SUMPRODUCT(--ISNUMBER(SEARCH('Spam Rules'!$A$22:$A$35,K590)))&gt;0,1,0)</f>
        <v>0</v>
      </c>
      <c r="S590" s="3" t="n">
        <f aca="false">IF(AND(F590="Free",G590=""),1,0)</f>
        <v>0</v>
      </c>
      <c r="T590" s="3" t="n">
        <f aca="false">IF(LEN(TRIM(K590))&lt;15,1,0)</f>
        <v>0</v>
      </c>
      <c r="U590" s="3" t="n">
        <f aca="false">IF(COUNTIF($E$2:$E$801,E590)&gt;1,1,0)</f>
        <v>0</v>
      </c>
      <c r="V590" s="3" t="n">
        <f aca="false">Q590*'Spam Rules'!$H$6+R590*'Spam Rules'!$H$7+S590*'Spam Rules'!$H$8+T590*'Spam Rules'!$H$9+U590*'Spam Rules'!$H$10</f>
        <v>0</v>
      </c>
      <c r="W590" s="3" t="str">
        <f aca="false">IF(V590&gt;='Spam Rules'!$B$3,"Likely Spam","Genuine")</f>
        <v>Genuine</v>
      </c>
      <c r="X590" s="3" t="n">
        <f aca="false">IFERROR(INDEX('Scoring Model'!$B$5:$B$11,MATCH(C590,'Scoring Model'!$A$5:$A$11,0)),0)</f>
        <v>10</v>
      </c>
      <c r="Y590" s="3" t="n">
        <f aca="false">IFERROR(INDEX('Scoring Model'!$E$5:$E$7,MATCH(F590,'Scoring Model'!$D$5:$D$7,0)),0)</f>
        <v>20</v>
      </c>
      <c r="Z590" s="3" t="n">
        <f aca="false">IFERROR(INDEX('Scoring Model'!$H$5:$H$13,MATCH(J590,'Scoring Model'!$G$5:$G$13,0)),0)</f>
        <v>5</v>
      </c>
      <c r="AA590" s="3" t="n">
        <f aca="false">IF(L590&gt;='Scoring Model'!$B$14,'Scoring Model'!$B$15,IF(L590&gt;='Scoring Model'!$B$16,'Scoring Model'!$B$17,0))</f>
        <v>0</v>
      </c>
      <c r="AB590" s="3" t="n">
        <f aca="false">IF(SUMPRODUCT(--ISNUMBER(SEARCH('Scoring Model'!$D$16:$D$25,K590)))&gt;0,'Scoring Model'!$B$18,0)</f>
        <v>0</v>
      </c>
      <c r="AC590" s="3" t="n">
        <f aca="false">IF(SUMPRODUCT(--ISNUMBER(SEARCH('Scoring Model'!$G$16:$G$23,K590)))&gt;0,'Scoring Model'!$B$19,0)</f>
        <v>-30</v>
      </c>
      <c r="AD590" s="3" t="n">
        <f aca="false">IF(W590="Likely Spam","",SUM(X590:AC590))</f>
        <v>5</v>
      </c>
      <c r="AE590" s="3" t="str">
        <f aca="false">IF(W590="Likely Spam","Spam",IF(AD590&gt;='Scoring Model'!$B$21,"Hot",IF(AD590&gt;='Scoring Model'!$B$22,"Warm","Nurture")))</f>
        <v>Nurture</v>
      </c>
      <c r="AF590" s="3" t="str">
        <f aca="false">IF(W590="Likely Spam","Flagged by spam rules",TRIM(IF(X590&gt;=20,"Strong source. ","")&amp;IF(Y590&gt;0,"Company email. ","")&amp;IF(Z590&gt;=15,"High-value product. ","")&amp;IF(AA590&gt;='Scoring Model'!$B$15,"High engagement. ","")&amp;IF(AB590&gt;0,"Buying intent in message. ","")&amp;IF(AC590&lt;0,"Negative intent in message. ","")))</f>
        <v>Company email. Negative intent in message.</v>
      </c>
      <c r="AG590" s="11" t="n">
        <f aca="false">IF(W590="Likely Spam","",1/(1+EXP(-('Conversion Model'!$B$5+IFERROR(INDEX('Conversion Model'!$B$8:$B$14,MATCH(C590,'Conversion Model'!$A$8:$A$14,0)),0)+IFERROR(INDEX('Conversion Model'!$E$8:$E$9,MATCH(F590,'Conversion Model'!$D$8:$D$9,0)),0)+IFERROR(INDEX('Conversion Model'!$H$8:$H$12,MATCH(IF(LEFT(J590,8)="Payments","Payments",IF(LEFT(J590,7)="Lending","Lending",J590)),'Conversion Model'!$G$8:$G$12,0)),0)+MIN(L590,15)*'Conversion Model'!$B$17+IF(SUMPRODUCT(--ISNUMBER(SEARCH('Scoring Model'!$D$16:$D$25,K590)))&gt;0,'Conversion Model'!$B$18,0)+IF(SUMPRODUCT(--ISNUMBER(SEARCH('Scoring Model'!$G$16:$G$23,K590)))&gt;0,'Conversion Model'!$B$19,0)))))</f>
        <v>0.00400579251279344</v>
      </c>
      <c r="AH590" s="3" t="n">
        <f aca="false">IF(OR(O590="Qualified",O590="Won",O590="Lost"),1,IF(O590="Unqualified",0,""))</f>
        <v>0</v>
      </c>
    </row>
    <row r="591" customFormat="false" ht="15" hidden="false" customHeight="true" outlineLevel="0" collapsed="false">
      <c r="A591" s="3" t="s">
        <v>2033</v>
      </c>
      <c r="B591" s="9" t="n">
        <v>46196.6875</v>
      </c>
      <c r="C591" s="3" t="s">
        <v>160</v>
      </c>
      <c r="D591" s="3" t="s">
        <v>2034</v>
      </c>
      <c r="E591" s="3" t="s">
        <v>2035</v>
      </c>
      <c r="F591" s="3" t="s">
        <v>22</v>
      </c>
      <c r="G591" s="3" t="s">
        <v>1254</v>
      </c>
      <c r="H591" s="3" t="s">
        <v>2036</v>
      </c>
      <c r="I591" s="3" t="s">
        <v>260</v>
      </c>
      <c r="J591" s="3" t="s">
        <v>122</v>
      </c>
      <c r="K591" s="3" t="s">
        <v>58</v>
      </c>
      <c r="L591" s="3" t="n">
        <v>8</v>
      </c>
      <c r="M591" s="3" t="n">
        <v>77.7</v>
      </c>
      <c r="N591" s="3" t="s">
        <v>67</v>
      </c>
      <c r="O591" s="3" t="s">
        <v>110</v>
      </c>
      <c r="P591" s="10"/>
      <c r="Q591" s="3" t="n">
        <f aca="false">IF(F591="Disposable",1,0)</f>
        <v>0</v>
      </c>
      <c r="R591" s="3" t="n">
        <f aca="false">IF(SUMPRODUCT(--ISNUMBER(SEARCH('Spam Rules'!$A$22:$A$35,K591)))&gt;0,1,0)</f>
        <v>0</v>
      </c>
      <c r="S591" s="3" t="n">
        <f aca="false">IF(AND(F591="Free",G591=""),1,0)</f>
        <v>0</v>
      </c>
      <c r="T591" s="3" t="n">
        <f aca="false">IF(LEN(TRIM(K591))&lt;15,1,0)</f>
        <v>0</v>
      </c>
      <c r="U591" s="3" t="n">
        <f aca="false">IF(COUNTIF($E$2:$E$801,E591)&gt;1,1,0)</f>
        <v>0</v>
      </c>
      <c r="V591" s="3" t="n">
        <f aca="false">Q591*'Spam Rules'!$H$6+R591*'Spam Rules'!$H$7+S591*'Spam Rules'!$H$8+T591*'Spam Rules'!$H$9+U591*'Spam Rules'!$H$10</f>
        <v>0</v>
      </c>
      <c r="W591" s="3" t="str">
        <f aca="false">IF(V591&gt;='Spam Rules'!$B$3,"Likely Spam","Genuine")</f>
        <v>Genuine</v>
      </c>
      <c r="X591" s="3" t="n">
        <f aca="false">IFERROR(INDEX('Scoring Model'!$B$5:$B$11,MATCH(C591,'Scoring Model'!$A$5:$A$11,0)),0)</f>
        <v>25</v>
      </c>
      <c r="Y591" s="3" t="n">
        <f aca="false">IFERROR(INDEX('Scoring Model'!$E$5:$E$7,MATCH(F591,'Scoring Model'!$D$5:$D$7,0)),0)</f>
        <v>20</v>
      </c>
      <c r="Z591" s="3" t="n">
        <f aca="false">IFERROR(INDEX('Scoring Model'!$H$5:$H$13,MATCH(J591,'Scoring Model'!$G$5:$G$13,0)),0)</f>
        <v>15</v>
      </c>
      <c r="AA591" s="3" t="n">
        <f aca="false">IF(L591&gt;='Scoring Model'!$B$14,'Scoring Model'!$B$15,IF(L591&gt;='Scoring Model'!$B$16,'Scoring Model'!$B$17,0))</f>
        <v>15</v>
      </c>
      <c r="AB591" s="3" t="n">
        <f aca="false">IF(SUMPRODUCT(--ISNUMBER(SEARCH('Scoring Model'!$D$16:$D$25,K591)))&gt;0,'Scoring Model'!$B$18,0)</f>
        <v>15</v>
      </c>
      <c r="AC591" s="3" t="n">
        <f aca="false">IF(SUMPRODUCT(--ISNUMBER(SEARCH('Scoring Model'!$G$16:$G$23,K591)))&gt;0,'Scoring Model'!$B$19,0)</f>
        <v>0</v>
      </c>
      <c r="AD591" s="3" t="n">
        <f aca="false">IF(W591="Likely Spam","",SUM(X591:AC591))</f>
        <v>90</v>
      </c>
      <c r="AE591" s="3" t="str">
        <f aca="false">IF(W591="Likely Spam","Spam",IF(AD591&gt;='Scoring Model'!$B$21,"Hot",IF(AD591&gt;='Scoring Model'!$B$22,"Warm","Nurture")))</f>
        <v>Hot</v>
      </c>
      <c r="AF591" s="3" t="str">
        <f aca="false">IF(W591="Likely Spam","Flagged by spam rules",TRIM(IF(X591&gt;=20,"Strong source. ","")&amp;IF(Y591&gt;0,"Company email. ","")&amp;IF(Z591&gt;=15,"High-value product. ","")&amp;IF(AA591&gt;='Scoring Model'!$B$15,"High engagement. ","")&amp;IF(AB591&gt;0,"Buying intent in message. ","")&amp;IF(AC591&lt;0,"Negative intent in message. ","")))</f>
        <v>Strong source. Company email. High-value product. High engagement. Buying intent in message.</v>
      </c>
      <c r="AG591" s="11" t="n">
        <f aca="false">IF(W591="Likely Spam","",1/(1+EXP(-('Conversion Model'!$B$5+IFERROR(INDEX('Conversion Model'!$B$8:$B$14,MATCH(C591,'Conversion Model'!$A$8:$A$14,0)),0)+IFERROR(INDEX('Conversion Model'!$E$8:$E$9,MATCH(F591,'Conversion Model'!$D$8:$D$9,0)),0)+IFERROR(INDEX('Conversion Model'!$H$8:$H$12,MATCH(IF(LEFT(J591,8)="Payments","Payments",IF(LEFT(J591,7)="Lending","Lending",J591)),'Conversion Model'!$G$8:$G$12,0)),0)+MIN(L591,15)*'Conversion Model'!$B$17+IF(SUMPRODUCT(--ISNUMBER(SEARCH('Scoring Model'!$D$16:$D$25,K591)))&gt;0,'Conversion Model'!$B$18,0)+IF(SUMPRODUCT(--ISNUMBER(SEARCH('Scoring Model'!$G$16:$G$23,K591)))&gt;0,'Conversion Model'!$B$19,0)))))</f>
        <v>0.976060622490283</v>
      </c>
      <c r="AH591" s="3" t="n">
        <f aca="false">IF(OR(O591="Qualified",O591="Won",O591="Lost"),1,IF(O591="Unqualified",0,""))</f>
        <v>1</v>
      </c>
    </row>
    <row r="592" customFormat="false" ht="15" hidden="false" customHeight="true" outlineLevel="0" collapsed="false">
      <c r="A592" s="3" t="s">
        <v>2037</v>
      </c>
      <c r="B592" s="9" t="n">
        <v>46197.9666666667</v>
      </c>
      <c r="C592" s="3" t="s">
        <v>51</v>
      </c>
      <c r="D592" s="3" t="s">
        <v>2038</v>
      </c>
      <c r="E592" s="3" t="s">
        <v>2039</v>
      </c>
      <c r="F592" s="3" t="s">
        <v>54</v>
      </c>
      <c r="G592" s="3" t="s">
        <v>321</v>
      </c>
      <c r="H592" s="3"/>
      <c r="I592" s="3" t="s">
        <v>139</v>
      </c>
      <c r="J592" s="3" t="s">
        <v>65</v>
      </c>
      <c r="K592" s="3" t="s">
        <v>657</v>
      </c>
      <c r="L592" s="3" t="n">
        <v>1</v>
      </c>
      <c r="M592" s="3"/>
      <c r="N592" s="3" t="s">
        <v>67</v>
      </c>
      <c r="O592" s="3" t="s">
        <v>68</v>
      </c>
      <c r="P592" s="10"/>
      <c r="Q592" s="3" t="n">
        <f aca="false">IF(F592="Disposable",1,0)</f>
        <v>0</v>
      </c>
      <c r="R592" s="3" t="n">
        <f aca="false">IF(SUMPRODUCT(--ISNUMBER(SEARCH('Spam Rules'!$A$22:$A$35,K592)))&gt;0,1,0)</f>
        <v>1</v>
      </c>
      <c r="S592" s="3" t="n">
        <f aca="false">IF(AND(F592="Free",G592=""),1,0)</f>
        <v>0</v>
      </c>
      <c r="T592" s="3" t="n">
        <f aca="false">IF(LEN(TRIM(K592))&lt;15,1,0)</f>
        <v>0</v>
      </c>
      <c r="U592" s="3" t="n">
        <f aca="false">IF(COUNTIF($E$2:$E$801,E592)&gt;1,1,0)</f>
        <v>0</v>
      </c>
      <c r="V592" s="3" t="n">
        <f aca="false">Q592*'Spam Rules'!$H$6+R592*'Spam Rules'!$H$7+S592*'Spam Rules'!$H$8+T592*'Spam Rules'!$H$9+U592*'Spam Rules'!$H$10</f>
        <v>1</v>
      </c>
      <c r="W592" s="3" t="str">
        <f aca="false">IF(V592&gt;='Spam Rules'!$B$3,"Likely Spam","Genuine")</f>
        <v>Likely Spam</v>
      </c>
      <c r="X592" s="3" t="n">
        <f aca="false">IFERROR(INDEX('Scoring Model'!$B$5:$B$11,MATCH(C592,'Scoring Model'!$A$5:$A$11,0)),0)</f>
        <v>10</v>
      </c>
      <c r="Y592" s="3" t="n">
        <f aca="false">IFERROR(INDEX('Scoring Model'!$E$5:$E$7,MATCH(F592,'Scoring Model'!$D$5:$D$7,0)),0)</f>
        <v>0</v>
      </c>
      <c r="Z592" s="3" t="n">
        <f aca="false">IFERROR(INDEX('Scoring Model'!$H$5:$H$13,MATCH(J592,'Scoring Model'!$G$5:$G$13,0)),0)</f>
        <v>0</v>
      </c>
      <c r="AA592" s="3" t="n">
        <f aca="false">IF(L592&gt;='Scoring Model'!$B$14,'Scoring Model'!$B$15,IF(L592&gt;='Scoring Model'!$B$16,'Scoring Model'!$B$17,0))</f>
        <v>0</v>
      </c>
      <c r="AB592" s="3" t="n">
        <f aca="false">IF(SUMPRODUCT(--ISNUMBER(SEARCH('Scoring Model'!$D$16:$D$25,K592)))&gt;0,'Scoring Model'!$B$18,0)</f>
        <v>0</v>
      </c>
      <c r="AC592" s="3" t="n">
        <f aca="false">IF(SUMPRODUCT(--ISNUMBER(SEARCH('Scoring Model'!$G$16:$G$23,K592)))&gt;0,'Scoring Model'!$B$19,0)</f>
        <v>0</v>
      </c>
      <c r="AD592" s="3" t="str">
        <f aca="false">IF(W592="Likely Spam","",SUM(X592:AC592))</f>
        <v/>
      </c>
      <c r="AE592" s="3" t="str">
        <f aca="false">IF(W592="Likely Spam","Spam",IF(AD592&gt;='Scoring Model'!$B$21,"Hot",IF(AD592&gt;='Scoring Model'!$B$22,"Warm","Nurture")))</f>
        <v>Spam</v>
      </c>
      <c r="AF592" s="3" t="str">
        <f aca="false">IF(W592="Likely Spam","Flagged by spam rules",TRIM(IF(X592&gt;=20,"Strong source. ","")&amp;IF(Y592&gt;0,"Company email. ","")&amp;IF(Z592&gt;=15,"High-value product. ","")&amp;IF(AA592&gt;='Scoring Model'!$B$15,"High engagement. ","")&amp;IF(AB592&gt;0,"Buying intent in message. ","")&amp;IF(AC592&lt;0,"Negative intent in message. ","")))</f>
        <v>Flagged by spam rules</v>
      </c>
      <c r="AG592" s="11" t="str">
        <f aca="false">IF(W592="Likely Spam","",1/(1+EXP(-('Conversion Model'!$B$5+IFERROR(INDEX('Conversion Model'!$B$8:$B$14,MATCH(C592,'Conversion Model'!$A$8:$A$14,0)),0)+IFERROR(INDEX('Conversion Model'!$E$8:$E$9,MATCH(F592,'Conversion Model'!$D$8:$D$9,0)),0)+IFERROR(INDEX('Conversion Model'!$H$8:$H$12,MATCH(IF(LEFT(J592,8)="Payments","Payments",IF(LEFT(J592,7)="Lending","Lending",J592)),'Conversion Model'!$G$8:$G$12,0)),0)+MIN(L592,15)*'Conversion Model'!$B$17+IF(SUMPRODUCT(--ISNUMBER(SEARCH('Scoring Model'!$D$16:$D$25,K592)))&gt;0,'Conversion Model'!$B$18,0)+IF(SUMPRODUCT(--ISNUMBER(SEARCH('Scoring Model'!$G$16:$G$23,K592)))&gt;0,'Conversion Model'!$B$19,0)))))</f>
        <v/>
      </c>
      <c r="AH592" s="3" t="str">
        <f aca="false">IF(OR(O592="Qualified",O592="Won",O592="Lost"),1,IF(O592="Unqualified",0,""))</f>
        <v/>
      </c>
    </row>
    <row r="593" customFormat="false" ht="15" hidden="false" customHeight="true" outlineLevel="0" collapsed="false">
      <c r="A593" s="3" t="s">
        <v>2040</v>
      </c>
      <c r="B593" s="9" t="n">
        <v>46198.1243055556</v>
      </c>
      <c r="C593" s="3" t="s">
        <v>51</v>
      </c>
      <c r="D593" s="3" t="s">
        <v>2041</v>
      </c>
      <c r="E593" s="3" t="s">
        <v>2042</v>
      </c>
      <c r="F593" s="3" t="s">
        <v>22</v>
      </c>
      <c r="G593" s="3" t="s">
        <v>921</v>
      </c>
      <c r="H593" s="3" t="s">
        <v>922</v>
      </c>
      <c r="I593" s="3" t="s">
        <v>204</v>
      </c>
      <c r="J593" s="3" t="s">
        <v>57</v>
      </c>
      <c r="K593" s="3" t="s">
        <v>189</v>
      </c>
      <c r="L593" s="3" t="n">
        <v>4</v>
      </c>
      <c r="M593" s="3" t="n">
        <v>2.7</v>
      </c>
      <c r="N593" s="3" t="s">
        <v>96</v>
      </c>
      <c r="O593" s="3" t="s">
        <v>110</v>
      </c>
      <c r="P593" s="10"/>
      <c r="Q593" s="3" t="n">
        <f aca="false">IF(F593="Disposable",1,0)</f>
        <v>0</v>
      </c>
      <c r="R593" s="3" t="n">
        <f aca="false">IF(SUMPRODUCT(--ISNUMBER(SEARCH('Spam Rules'!$A$22:$A$35,K593)))&gt;0,1,0)</f>
        <v>0</v>
      </c>
      <c r="S593" s="3" t="n">
        <f aca="false">IF(AND(F593="Free",G593=""),1,0)</f>
        <v>0</v>
      </c>
      <c r="T593" s="3" t="n">
        <f aca="false">IF(LEN(TRIM(K593))&lt;15,1,0)</f>
        <v>0</v>
      </c>
      <c r="U593" s="3" t="n">
        <f aca="false">IF(COUNTIF($E$2:$E$801,E593)&gt;1,1,0)</f>
        <v>0</v>
      </c>
      <c r="V593" s="3" t="n">
        <f aca="false">Q593*'Spam Rules'!$H$6+R593*'Spam Rules'!$H$7+S593*'Spam Rules'!$H$8+T593*'Spam Rules'!$H$9+U593*'Spam Rules'!$H$10</f>
        <v>0</v>
      </c>
      <c r="W593" s="3" t="str">
        <f aca="false">IF(V593&gt;='Spam Rules'!$B$3,"Likely Spam","Genuine")</f>
        <v>Genuine</v>
      </c>
      <c r="X593" s="3" t="n">
        <f aca="false">IFERROR(INDEX('Scoring Model'!$B$5:$B$11,MATCH(C593,'Scoring Model'!$A$5:$A$11,0)),0)</f>
        <v>10</v>
      </c>
      <c r="Y593" s="3" t="n">
        <f aca="false">IFERROR(INDEX('Scoring Model'!$E$5:$E$7,MATCH(F593,'Scoring Model'!$D$5:$D$7,0)),0)</f>
        <v>20</v>
      </c>
      <c r="Z593" s="3" t="n">
        <f aca="false">IFERROR(INDEX('Scoring Model'!$H$5:$H$13,MATCH(J593,'Scoring Model'!$G$5:$G$13,0)),0)</f>
        <v>15</v>
      </c>
      <c r="AA593" s="3" t="n">
        <f aca="false">IF(L593&gt;='Scoring Model'!$B$14,'Scoring Model'!$B$15,IF(L593&gt;='Scoring Model'!$B$16,'Scoring Model'!$B$17,0))</f>
        <v>8</v>
      </c>
      <c r="AB593" s="3" t="n">
        <f aca="false">IF(SUMPRODUCT(--ISNUMBER(SEARCH('Scoring Model'!$D$16:$D$25,K593)))&gt;0,'Scoring Model'!$B$18,0)</f>
        <v>15</v>
      </c>
      <c r="AC593" s="3" t="n">
        <f aca="false">IF(SUMPRODUCT(--ISNUMBER(SEARCH('Scoring Model'!$G$16:$G$23,K593)))&gt;0,'Scoring Model'!$B$19,0)</f>
        <v>0</v>
      </c>
      <c r="AD593" s="3" t="n">
        <f aca="false">IF(W593="Likely Spam","",SUM(X593:AC593))</f>
        <v>68</v>
      </c>
      <c r="AE593" s="3" t="str">
        <f aca="false">IF(W593="Likely Spam","Spam",IF(AD593&gt;='Scoring Model'!$B$21,"Hot",IF(AD593&gt;='Scoring Model'!$B$22,"Warm","Nurture")))</f>
        <v>Warm</v>
      </c>
      <c r="AF593" s="3" t="str">
        <f aca="false">IF(W593="Likely Spam","Flagged by spam rules",TRIM(IF(X593&gt;=20,"Strong source. ","")&amp;IF(Y593&gt;0,"Company email. ","")&amp;IF(Z593&gt;=15,"High-value product. ","")&amp;IF(AA593&gt;='Scoring Model'!$B$15,"High engagement. ","")&amp;IF(AB593&gt;0,"Buying intent in message. ","")&amp;IF(AC593&lt;0,"Negative intent in message. ","")))</f>
        <v>Company email. High-value product. Buying intent in message.</v>
      </c>
      <c r="AG593" s="11" t="n">
        <f aca="false">IF(W593="Likely Spam","",1/(1+EXP(-('Conversion Model'!$B$5+IFERROR(INDEX('Conversion Model'!$B$8:$B$14,MATCH(C593,'Conversion Model'!$A$8:$A$14,0)),0)+IFERROR(INDEX('Conversion Model'!$E$8:$E$9,MATCH(F593,'Conversion Model'!$D$8:$D$9,0)),0)+IFERROR(INDEX('Conversion Model'!$H$8:$H$12,MATCH(IF(LEFT(J593,8)="Payments","Payments",IF(LEFT(J593,7)="Lending","Lending",J593)),'Conversion Model'!$G$8:$G$12,0)),0)+MIN(L593,15)*'Conversion Model'!$B$17+IF(SUMPRODUCT(--ISNUMBER(SEARCH('Scoring Model'!$D$16:$D$25,K593)))&gt;0,'Conversion Model'!$B$18,0)+IF(SUMPRODUCT(--ISNUMBER(SEARCH('Scoring Model'!$G$16:$G$23,K593)))&gt;0,'Conversion Model'!$B$19,0)))))</f>
        <v>0.495750102351209</v>
      </c>
      <c r="AH593" s="3" t="n">
        <f aca="false">IF(OR(O593="Qualified",O593="Won",O593="Lost"),1,IF(O593="Unqualified",0,""))</f>
        <v>1</v>
      </c>
    </row>
    <row r="594" customFormat="false" ht="15" hidden="false" customHeight="true" outlineLevel="0" collapsed="false">
      <c r="A594" s="3" t="s">
        <v>2043</v>
      </c>
      <c r="B594" s="9" t="n">
        <v>46198.3576388889</v>
      </c>
      <c r="C594" s="3" t="s">
        <v>51</v>
      </c>
      <c r="D594" s="3" t="s">
        <v>2044</v>
      </c>
      <c r="E594" s="3" t="s">
        <v>2045</v>
      </c>
      <c r="F594" s="3" t="s">
        <v>54</v>
      </c>
      <c r="G594" s="3"/>
      <c r="H594" s="3"/>
      <c r="I594" s="3" t="s">
        <v>204</v>
      </c>
      <c r="J594" s="3" t="s">
        <v>81</v>
      </c>
      <c r="K594" s="3" t="s">
        <v>213</v>
      </c>
      <c r="L594" s="3" t="n">
        <v>3</v>
      </c>
      <c r="M594" s="3" t="n">
        <v>8.1</v>
      </c>
      <c r="N594" s="3" t="s">
        <v>96</v>
      </c>
      <c r="O594" s="3" t="s">
        <v>194</v>
      </c>
      <c r="P594" s="10"/>
      <c r="Q594" s="3" t="n">
        <f aca="false">IF(F594="Disposable",1,0)</f>
        <v>0</v>
      </c>
      <c r="R594" s="3" t="n">
        <f aca="false">IF(SUMPRODUCT(--ISNUMBER(SEARCH('Spam Rules'!$A$22:$A$35,K594)))&gt;0,1,0)</f>
        <v>0</v>
      </c>
      <c r="S594" s="3" t="n">
        <f aca="false">IF(AND(F594="Free",G594=""),1,0)</f>
        <v>1</v>
      </c>
      <c r="T594" s="3" t="n">
        <f aca="false">IF(LEN(TRIM(K594))&lt;15,1,0)</f>
        <v>0</v>
      </c>
      <c r="U594" s="3" t="n">
        <f aca="false">IF(COUNTIF($E$2:$E$801,E594)&gt;1,1,0)</f>
        <v>0</v>
      </c>
      <c r="V594" s="3" t="n">
        <f aca="false">Q594*'Spam Rules'!$H$6+R594*'Spam Rules'!$H$7+S594*'Spam Rules'!$H$8+T594*'Spam Rules'!$H$9+U594*'Spam Rules'!$H$10</f>
        <v>0</v>
      </c>
      <c r="W594" s="3" t="str">
        <f aca="false">IF(V594&gt;='Spam Rules'!$B$3,"Likely Spam","Genuine")</f>
        <v>Genuine</v>
      </c>
      <c r="X594" s="3" t="n">
        <f aca="false">IFERROR(INDEX('Scoring Model'!$B$5:$B$11,MATCH(C594,'Scoring Model'!$A$5:$A$11,0)),0)</f>
        <v>10</v>
      </c>
      <c r="Y594" s="3" t="n">
        <f aca="false">IFERROR(INDEX('Scoring Model'!$E$5:$E$7,MATCH(F594,'Scoring Model'!$D$5:$D$7,0)),0)</f>
        <v>0</v>
      </c>
      <c r="Z594" s="3" t="n">
        <f aca="false">IFERROR(INDEX('Scoring Model'!$H$5:$H$13,MATCH(J594,'Scoring Model'!$G$5:$G$13,0)),0)</f>
        <v>5</v>
      </c>
      <c r="AA594" s="3" t="n">
        <f aca="false">IF(L594&gt;='Scoring Model'!$B$14,'Scoring Model'!$B$15,IF(L594&gt;='Scoring Model'!$B$16,'Scoring Model'!$B$17,0))</f>
        <v>0</v>
      </c>
      <c r="AB594" s="3" t="n">
        <f aca="false">IF(SUMPRODUCT(--ISNUMBER(SEARCH('Scoring Model'!$D$16:$D$25,K594)))&gt;0,'Scoring Model'!$B$18,0)</f>
        <v>0</v>
      </c>
      <c r="AC594" s="3" t="n">
        <f aca="false">IF(SUMPRODUCT(--ISNUMBER(SEARCH('Scoring Model'!$G$16:$G$23,K594)))&gt;0,'Scoring Model'!$B$19,0)</f>
        <v>-30</v>
      </c>
      <c r="AD594" s="3" t="n">
        <f aca="false">IF(W594="Likely Spam","",SUM(X594:AC594))</f>
        <v>-15</v>
      </c>
      <c r="AE594" s="3" t="str">
        <f aca="false">IF(W594="Likely Spam","Spam",IF(AD594&gt;='Scoring Model'!$B$21,"Hot",IF(AD594&gt;='Scoring Model'!$B$22,"Warm","Nurture")))</f>
        <v>Nurture</v>
      </c>
      <c r="AF594" s="3" t="str">
        <f aca="false">IF(W594="Likely Spam","Flagged by spam rules",TRIM(IF(X594&gt;=20,"Strong source. ","")&amp;IF(Y594&gt;0,"Company email. ","")&amp;IF(Z594&gt;=15,"High-value product. ","")&amp;IF(AA594&gt;='Scoring Model'!$B$15,"High engagement. ","")&amp;IF(AB594&gt;0,"Buying intent in message. ","")&amp;IF(AC594&lt;0,"Negative intent in message. ","")))</f>
        <v>Negative intent in message.</v>
      </c>
      <c r="AG594" s="11" t="n">
        <f aca="false">IF(W594="Likely Spam","",1/(1+EXP(-('Conversion Model'!$B$5+IFERROR(INDEX('Conversion Model'!$B$8:$B$14,MATCH(C594,'Conversion Model'!$A$8:$A$14,0)),0)+IFERROR(INDEX('Conversion Model'!$E$8:$E$9,MATCH(F594,'Conversion Model'!$D$8:$D$9,0)),0)+IFERROR(INDEX('Conversion Model'!$H$8:$H$12,MATCH(IF(LEFT(J594,8)="Payments","Payments",IF(LEFT(J594,7)="Lending","Lending",J594)),'Conversion Model'!$G$8:$G$12,0)),0)+MIN(L594,15)*'Conversion Model'!$B$17+IF(SUMPRODUCT(--ISNUMBER(SEARCH('Scoring Model'!$D$16:$D$25,K594)))&gt;0,'Conversion Model'!$B$18,0)+IF(SUMPRODUCT(--ISNUMBER(SEARCH('Scoring Model'!$G$16:$G$23,K594)))&gt;0,'Conversion Model'!$B$19,0)))))</f>
        <v>0.00370263885093184</v>
      </c>
      <c r="AH594" s="3" t="n">
        <f aca="false">IF(OR(O594="Qualified",O594="Won",O594="Lost"),1,IF(O594="Unqualified",0,""))</f>
        <v>0</v>
      </c>
    </row>
    <row r="595" customFormat="false" ht="15" hidden="false" customHeight="true" outlineLevel="0" collapsed="false">
      <c r="A595" s="3" t="s">
        <v>2046</v>
      </c>
      <c r="B595" s="9" t="n">
        <v>46198.6256944445</v>
      </c>
      <c r="C595" s="3" t="s">
        <v>51</v>
      </c>
      <c r="D595" s="3" t="s">
        <v>2047</v>
      </c>
      <c r="E595" s="3" t="s">
        <v>2048</v>
      </c>
      <c r="F595" s="3" t="s">
        <v>54</v>
      </c>
      <c r="G595" s="3"/>
      <c r="H595" s="3"/>
      <c r="I595" s="3" t="s">
        <v>88</v>
      </c>
      <c r="J595" s="3" t="s">
        <v>65</v>
      </c>
      <c r="K595" s="3" t="s">
        <v>95</v>
      </c>
      <c r="L595" s="3" t="n">
        <v>2</v>
      </c>
      <c r="M595" s="3" t="n">
        <v>43.8</v>
      </c>
      <c r="N595" s="3" t="s">
        <v>96</v>
      </c>
      <c r="O595" s="3" t="s">
        <v>68</v>
      </c>
      <c r="P595" s="10"/>
      <c r="Q595" s="3" t="n">
        <f aca="false">IF(F595="Disposable",1,0)</f>
        <v>0</v>
      </c>
      <c r="R595" s="3" t="n">
        <f aca="false">IF(SUMPRODUCT(--ISNUMBER(SEARCH('Spam Rules'!$A$22:$A$35,K595)))&gt;0,1,0)</f>
        <v>1</v>
      </c>
      <c r="S595" s="3" t="n">
        <f aca="false">IF(AND(F595="Free",G595=""),1,0)</f>
        <v>1</v>
      </c>
      <c r="T595" s="3" t="n">
        <f aca="false">IF(LEN(TRIM(K595))&lt;15,1,0)</f>
        <v>0</v>
      </c>
      <c r="U595" s="3" t="n">
        <f aca="false">IF(COUNTIF($E$2:$E$801,E595)&gt;1,1,0)</f>
        <v>0</v>
      </c>
      <c r="V595" s="3" t="n">
        <f aca="false">Q595*'Spam Rules'!$H$6+R595*'Spam Rules'!$H$7+S595*'Spam Rules'!$H$8+T595*'Spam Rules'!$H$9+U595*'Spam Rules'!$H$10</f>
        <v>1</v>
      </c>
      <c r="W595" s="3" t="str">
        <f aca="false">IF(V595&gt;='Spam Rules'!$B$3,"Likely Spam","Genuine")</f>
        <v>Likely Spam</v>
      </c>
      <c r="X595" s="3" t="n">
        <f aca="false">IFERROR(INDEX('Scoring Model'!$B$5:$B$11,MATCH(C595,'Scoring Model'!$A$5:$A$11,0)),0)</f>
        <v>10</v>
      </c>
      <c r="Y595" s="3" t="n">
        <f aca="false">IFERROR(INDEX('Scoring Model'!$E$5:$E$7,MATCH(F595,'Scoring Model'!$D$5:$D$7,0)),0)</f>
        <v>0</v>
      </c>
      <c r="Z595" s="3" t="n">
        <f aca="false">IFERROR(INDEX('Scoring Model'!$H$5:$H$13,MATCH(J595,'Scoring Model'!$G$5:$G$13,0)),0)</f>
        <v>0</v>
      </c>
      <c r="AA595" s="3" t="n">
        <f aca="false">IF(L595&gt;='Scoring Model'!$B$14,'Scoring Model'!$B$15,IF(L595&gt;='Scoring Model'!$B$16,'Scoring Model'!$B$17,0))</f>
        <v>0</v>
      </c>
      <c r="AB595" s="3" t="n">
        <f aca="false">IF(SUMPRODUCT(--ISNUMBER(SEARCH('Scoring Model'!$D$16:$D$25,K595)))&gt;0,'Scoring Model'!$B$18,0)</f>
        <v>0</v>
      </c>
      <c r="AC595" s="3" t="n">
        <f aca="false">IF(SUMPRODUCT(--ISNUMBER(SEARCH('Scoring Model'!$G$16:$G$23,K595)))&gt;0,'Scoring Model'!$B$19,0)</f>
        <v>0</v>
      </c>
      <c r="AD595" s="3" t="str">
        <f aca="false">IF(W595="Likely Spam","",SUM(X595:AC595))</f>
        <v/>
      </c>
      <c r="AE595" s="3" t="str">
        <f aca="false">IF(W595="Likely Spam","Spam",IF(AD595&gt;='Scoring Model'!$B$21,"Hot",IF(AD595&gt;='Scoring Model'!$B$22,"Warm","Nurture")))</f>
        <v>Spam</v>
      </c>
      <c r="AF595" s="3" t="str">
        <f aca="false">IF(W595="Likely Spam","Flagged by spam rules",TRIM(IF(X595&gt;=20,"Strong source. ","")&amp;IF(Y595&gt;0,"Company email. ","")&amp;IF(Z595&gt;=15,"High-value product. ","")&amp;IF(AA595&gt;='Scoring Model'!$B$15,"High engagement. ","")&amp;IF(AB595&gt;0,"Buying intent in message. ","")&amp;IF(AC595&lt;0,"Negative intent in message. ","")))</f>
        <v>Flagged by spam rules</v>
      </c>
      <c r="AG595" s="11" t="str">
        <f aca="false">IF(W595="Likely Spam","",1/(1+EXP(-('Conversion Model'!$B$5+IFERROR(INDEX('Conversion Model'!$B$8:$B$14,MATCH(C595,'Conversion Model'!$A$8:$A$14,0)),0)+IFERROR(INDEX('Conversion Model'!$E$8:$E$9,MATCH(F595,'Conversion Model'!$D$8:$D$9,0)),0)+IFERROR(INDEX('Conversion Model'!$H$8:$H$12,MATCH(IF(LEFT(J595,8)="Payments","Payments",IF(LEFT(J595,7)="Lending","Lending",J595)),'Conversion Model'!$G$8:$G$12,0)),0)+MIN(L595,15)*'Conversion Model'!$B$17+IF(SUMPRODUCT(--ISNUMBER(SEARCH('Scoring Model'!$D$16:$D$25,K595)))&gt;0,'Conversion Model'!$B$18,0)+IF(SUMPRODUCT(--ISNUMBER(SEARCH('Scoring Model'!$G$16:$G$23,K595)))&gt;0,'Conversion Model'!$B$19,0)))))</f>
        <v/>
      </c>
      <c r="AH595" s="3" t="str">
        <f aca="false">IF(OR(O595="Qualified",O595="Won",O595="Lost"),1,IF(O595="Unqualified",0,""))</f>
        <v/>
      </c>
    </row>
    <row r="596" customFormat="false" ht="15" hidden="false" customHeight="true" outlineLevel="0" collapsed="false">
      <c r="A596" s="3" t="s">
        <v>2049</v>
      </c>
      <c r="B596" s="9" t="n">
        <v>46198.6930555556</v>
      </c>
      <c r="C596" s="3" t="s">
        <v>51</v>
      </c>
      <c r="D596" s="3" t="s">
        <v>2050</v>
      </c>
      <c r="E596" s="3" t="s">
        <v>2051</v>
      </c>
      <c r="F596" s="3" t="s">
        <v>22</v>
      </c>
      <c r="G596" s="3" t="s">
        <v>487</v>
      </c>
      <c r="H596" s="3" t="s">
        <v>488</v>
      </c>
      <c r="I596" s="3" t="s">
        <v>188</v>
      </c>
      <c r="J596" s="3" t="s">
        <v>65</v>
      </c>
      <c r="K596" s="3" t="s">
        <v>657</v>
      </c>
      <c r="L596" s="3" t="n">
        <v>1</v>
      </c>
      <c r="M596" s="3" t="n">
        <v>21.6</v>
      </c>
      <c r="N596" s="3" t="s">
        <v>67</v>
      </c>
      <c r="O596" s="3" t="s">
        <v>68</v>
      </c>
      <c r="P596" s="10"/>
      <c r="Q596" s="3" t="n">
        <f aca="false">IF(F596="Disposable",1,0)</f>
        <v>0</v>
      </c>
      <c r="R596" s="3" t="n">
        <f aca="false">IF(SUMPRODUCT(--ISNUMBER(SEARCH('Spam Rules'!$A$22:$A$35,K596)))&gt;0,1,0)</f>
        <v>1</v>
      </c>
      <c r="S596" s="3" t="n">
        <f aca="false">IF(AND(F596="Free",G596=""),1,0)</f>
        <v>0</v>
      </c>
      <c r="T596" s="3" t="n">
        <f aca="false">IF(LEN(TRIM(K596))&lt;15,1,0)</f>
        <v>0</v>
      </c>
      <c r="U596" s="3" t="n">
        <f aca="false">IF(COUNTIF($E$2:$E$801,E596)&gt;1,1,0)</f>
        <v>0</v>
      </c>
      <c r="V596" s="3" t="n">
        <f aca="false">Q596*'Spam Rules'!$H$6+R596*'Spam Rules'!$H$7+S596*'Spam Rules'!$H$8+T596*'Spam Rules'!$H$9+U596*'Spam Rules'!$H$10</f>
        <v>1</v>
      </c>
      <c r="W596" s="3" t="str">
        <f aca="false">IF(V596&gt;='Spam Rules'!$B$3,"Likely Spam","Genuine")</f>
        <v>Likely Spam</v>
      </c>
      <c r="X596" s="3" t="n">
        <f aca="false">IFERROR(INDEX('Scoring Model'!$B$5:$B$11,MATCH(C596,'Scoring Model'!$A$5:$A$11,0)),0)</f>
        <v>10</v>
      </c>
      <c r="Y596" s="3" t="n">
        <f aca="false">IFERROR(INDEX('Scoring Model'!$E$5:$E$7,MATCH(F596,'Scoring Model'!$D$5:$D$7,0)),0)</f>
        <v>20</v>
      </c>
      <c r="Z596" s="3" t="n">
        <f aca="false">IFERROR(INDEX('Scoring Model'!$H$5:$H$13,MATCH(J596,'Scoring Model'!$G$5:$G$13,0)),0)</f>
        <v>0</v>
      </c>
      <c r="AA596" s="3" t="n">
        <f aca="false">IF(L596&gt;='Scoring Model'!$B$14,'Scoring Model'!$B$15,IF(L596&gt;='Scoring Model'!$B$16,'Scoring Model'!$B$17,0))</f>
        <v>0</v>
      </c>
      <c r="AB596" s="3" t="n">
        <f aca="false">IF(SUMPRODUCT(--ISNUMBER(SEARCH('Scoring Model'!$D$16:$D$25,K596)))&gt;0,'Scoring Model'!$B$18,0)</f>
        <v>0</v>
      </c>
      <c r="AC596" s="3" t="n">
        <f aca="false">IF(SUMPRODUCT(--ISNUMBER(SEARCH('Scoring Model'!$G$16:$G$23,K596)))&gt;0,'Scoring Model'!$B$19,0)</f>
        <v>0</v>
      </c>
      <c r="AD596" s="3" t="str">
        <f aca="false">IF(W596="Likely Spam","",SUM(X596:AC596))</f>
        <v/>
      </c>
      <c r="AE596" s="3" t="str">
        <f aca="false">IF(W596="Likely Spam","Spam",IF(AD596&gt;='Scoring Model'!$B$21,"Hot",IF(AD596&gt;='Scoring Model'!$B$22,"Warm","Nurture")))</f>
        <v>Spam</v>
      </c>
      <c r="AF596" s="3" t="str">
        <f aca="false">IF(W596="Likely Spam","Flagged by spam rules",TRIM(IF(X596&gt;=20,"Strong source. ","")&amp;IF(Y596&gt;0,"Company email. ","")&amp;IF(Z596&gt;=15,"High-value product. ","")&amp;IF(AA596&gt;='Scoring Model'!$B$15,"High engagement. ","")&amp;IF(AB596&gt;0,"Buying intent in message. ","")&amp;IF(AC596&lt;0,"Negative intent in message. ","")))</f>
        <v>Flagged by spam rules</v>
      </c>
      <c r="AG596" s="11" t="str">
        <f aca="false">IF(W596="Likely Spam","",1/(1+EXP(-('Conversion Model'!$B$5+IFERROR(INDEX('Conversion Model'!$B$8:$B$14,MATCH(C596,'Conversion Model'!$A$8:$A$14,0)),0)+IFERROR(INDEX('Conversion Model'!$E$8:$E$9,MATCH(F596,'Conversion Model'!$D$8:$D$9,0)),0)+IFERROR(INDEX('Conversion Model'!$H$8:$H$12,MATCH(IF(LEFT(J596,8)="Payments","Payments",IF(LEFT(J596,7)="Lending","Lending",J596)),'Conversion Model'!$G$8:$G$12,0)),0)+MIN(L596,15)*'Conversion Model'!$B$17+IF(SUMPRODUCT(--ISNUMBER(SEARCH('Scoring Model'!$D$16:$D$25,K596)))&gt;0,'Conversion Model'!$B$18,0)+IF(SUMPRODUCT(--ISNUMBER(SEARCH('Scoring Model'!$G$16:$G$23,K596)))&gt;0,'Conversion Model'!$B$19,0)))))</f>
        <v/>
      </c>
      <c r="AH596" s="3" t="str">
        <f aca="false">IF(OR(O596="Qualified",O596="Won",O596="Lost"),1,IF(O596="Unqualified",0,""))</f>
        <v/>
      </c>
    </row>
    <row r="597" customFormat="false" ht="15" hidden="false" customHeight="true" outlineLevel="0" collapsed="false">
      <c r="A597" s="3" t="s">
        <v>2052</v>
      </c>
      <c r="B597" s="9" t="n">
        <v>46198.8402777778</v>
      </c>
      <c r="C597" s="3" t="s">
        <v>51</v>
      </c>
      <c r="D597" s="3" t="s">
        <v>2053</v>
      </c>
      <c r="E597" s="3" t="s">
        <v>2054</v>
      </c>
      <c r="F597" s="3" t="s">
        <v>63</v>
      </c>
      <c r="G597" s="3"/>
      <c r="H597" s="3"/>
      <c r="I597" s="3" t="s">
        <v>80</v>
      </c>
      <c r="J597" s="3" t="s">
        <v>65</v>
      </c>
      <c r="K597" s="3" t="s">
        <v>66</v>
      </c>
      <c r="L597" s="3" t="n">
        <v>2</v>
      </c>
      <c r="M597" s="3" t="n">
        <v>20.6</v>
      </c>
      <c r="N597" s="3" t="s">
        <v>59</v>
      </c>
      <c r="O597" s="3"/>
      <c r="P597" s="10"/>
      <c r="Q597" s="3" t="n">
        <f aca="false">IF(F597="Disposable",1,0)</f>
        <v>1</v>
      </c>
      <c r="R597" s="3" t="n">
        <f aca="false">IF(SUMPRODUCT(--ISNUMBER(SEARCH('Spam Rules'!$A$22:$A$35,K597)))&gt;0,1,0)</f>
        <v>1</v>
      </c>
      <c r="S597" s="3" t="n">
        <f aca="false">IF(AND(F597="Free",G597=""),1,0)</f>
        <v>0</v>
      </c>
      <c r="T597" s="3" t="n">
        <f aca="false">IF(LEN(TRIM(K597))&lt;15,1,0)</f>
        <v>0</v>
      </c>
      <c r="U597" s="3" t="n">
        <f aca="false">IF(COUNTIF($E$2:$E$801,E597)&gt;1,1,0)</f>
        <v>0</v>
      </c>
      <c r="V597" s="3" t="n">
        <f aca="false">Q597*'Spam Rules'!$H$6+R597*'Spam Rules'!$H$7+S597*'Spam Rules'!$H$8+T597*'Spam Rules'!$H$9+U597*'Spam Rules'!$H$10</f>
        <v>2</v>
      </c>
      <c r="W597" s="3" t="str">
        <f aca="false">IF(V597&gt;='Spam Rules'!$B$3,"Likely Spam","Genuine")</f>
        <v>Likely Spam</v>
      </c>
      <c r="X597" s="3" t="n">
        <f aca="false">IFERROR(INDEX('Scoring Model'!$B$5:$B$11,MATCH(C597,'Scoring Model'!$A$5:$A$11,0)),0)</f>
        <v>10</v>
      </c>
      <c r="Y597" s="3" t="n">
        <f aca="false">IFERROR(INDEX('Scoring Model'!$E$5:$E$7,MATCH(F597,'Scoring Model'!$D$5:$D$7,0)),0)</f>
        <v>0</v>
      </c>
      <c r="Z597" s="3" t="n">
        <f aca="false">IFERROR(INDEX('Scoring Model'!$H$5:$H$13,MATCH(J597,'Scoring Model'!$G$5:$G$13,0)),0)</f>
        <v>0</v>
      </c>
      <c r="AA597" s="3" t="n">
        <f aca="false">IF(L597&gt;='Scoring Model'!$B$14,'Scoring Model'!$B$15,IF(L597&gt;='Scoring Model'!$B$16,'Scoring Model'!$B$17,0))</f>
        <v>0</v>
      </c>
      <c r="AB597" s="3" t="n">
        <f aca="false">IF(SUMPRODUCT(--ISNUMBER(SEARCH('Scoring Model'!$D$16:$D$25,K597)))&gt;0,'Scoring Model'!$B$18,0)</f>
        <v>0</v>
      </c>
      <c r="AC597" s="3" t="n">
        <f aca="false">IF(SUMPRODUCT(--ISNUMBER(SEARCH('Scoring Model'!$G$16:$G$23,K597)))&gt;0,'Scoring Model'!$B$19,0)</f>
        <v>0</v>
      </c>
      <c r="AD597" s="3" t="str">
        <f aca="false">IF(W597="Likely Spam","",SUM(X597:AC597))</f>
        <v/>
      </c>
      <c r="AE597" s="3" t="str">
        <f aca="false">IF(W597="Likely Spam","Spam",IF(AD597&gt;='Scoring Model'!$B$21,"Hot",IF(AD597&gt;='Scoring Model'!$B$22,"Warm","Nurture")))</f>
        <v>Spam</v>
      </c>
      <c r="AF597" s="3" t="str">
        <f aca="false">IF(W597="Likely Spam","Flagged by spam rules",TRIM(IF(X597&gt;=20,"Strong source. ","")&amp;IF(Y597&gt;0,"Company email. ","")&amp;IF(Z597&gt;=15,"High-value product. ","")&amp;IF(AA597&gt;='Scoring Model'!$B$15,"High engagement. ","")&amp;IF(AB597&gt;0,"Buying intent in message. ","")&amp;IF(AC597&lt;0,"Negative intent in message. ","")))</f>
        <v>Flagged by spam rules</v>
      </c>
      <c r="AG597" s="11" t="str">
        <f aca="false">IF(W597="Likely Spam","",1/(1+EXP(-('Conversion Model'!$B$5+IFERROR(INDEX('Conversion Model'!$B$8:$B$14,MATCH(C597,'Conversion Model'!$A$8:$A$14,0)),0)+IFERROR(INDEX('Conversion Model'!$E$8:$E$9,MATCH(F597,'Conversion Model'!$D$8:$D$9,0)),0)+IFERROR(INDEX('Conversion Model'!$H$8:$H$12,MATCH(IF(LEFT(J597,8)="Payments","Payments",IF(LEFT(J597,7)="Lending","Lending",J597)),'Conversion Model'!$G$8:$G$12,0)),0)+MIN(L597,15)*'Conversion Model'!$B$17+IF(SUMPRODUCT(--ISNUMBER(SEARCH('Scoring Model'!$D$16:$D$25,K597)))&gt;0,'Conversion Model'!$B$18,0)+IF(SUMPRODUCT(--ISNUMBER(SEARCH('Scoring Model'!$G$16:$G$23,K597)))&gt;0,'Conversion Model'!$B$19,0)))))</f>
        <v/>
      </c>
      <c r="AH597" s="3" t="str">
        <f aca="false">IF(OR(O597="Qualified",O597="Won",O597="Lost"),1,IF(O597="Unqualified",0,""))</f>
        <v/>
      </c>
    </row>
    <row r="598" customFormat="false" ht="15" hidden="false" customHeight="true" outlineLevel="0" collapsed="false">
      <c r="A598" s="3" t="s">
        <v>2055</v>
      </c>
      <c r="B598" s="9" t="n">
        <v>46199.2659722222</v>
      </c>
      <c r="C598" s="3" t="s">
        <v>128</v>
      </c>
      <c r="D598" s="3" t="s">
        <v>2056</v>
      </c>
      <c r="E598" s="3" t="s">
        <v>2057</v>
      </c>
      <c r="F598" s="3" t="s">
        <v>54</v>
      </c>
      <c r="G598" s="3" t="s">
        <v>965</v>
      </c>
      <c r="H598" s="3"/>
      <c r="I598" s="3" t="s">
        <v>334</v>
      </c>
      <c r="J598" s="3" t="s">
        <v>165</v>
      </c>
      <c r="K598" s="3" t="s">
        <v>228</v>
      </c>
      <c r="L598" s="3" t="n">
        <v>3</v>
      </c>
      <c r="M598" s="3" t="n">
        <v>8.7</v>
      </c>
      <c r="N598" s="3" t="s">
        <v>96</v>
      </c>
      <c r="O598" s="3" t="s">
        <v>194</v>
      </c>
      <c r="P598" s="10"/>
      <c r="Q598" s="3" t="n">
        <f aca="false">IF(F598="Disposable",1,0)</f>
        <v>0</v>
      </c>
      <c r="R598" s="3" t="n">
        <f aca="false">IF(SUMPRODUCT(--ISNUMBER(SEARCH('Spam Rules'!$A$22:$A$35,K598)))&gt;0,1,0)</f>
        <v>0</v>
      </c>
      <c r="S598" s="3" t="n">
        <f aca="false">IF(AND(F598="Free",G598=""),1,0)</f>
        <v>0</v>
      </c>
      <c r="T598" s="3" t="n">
        <f aca="false">IF(LEN(TRIM(K598))&lt;15,1,0)</f>
        <v>0</v>
      </c>
      <c r="U598" s="3" t="n">
        <f aca="false">IF(COUNTIF($E$2:$E$801,E598)&gt;1,1,0)</f>
        <v>0</v>
      </c>
      <c r="V598" s="3" t="n">
        <f aca="false">Q598*'Spam Rules'!$H$6+R598*'Spam Rules'!$H$7+S598*'Spam Rules'!$H$8+T598*'Spam Rules'!$H$9+U598*'Spam Rules'!$H$10</f>
        <v>0</v>
      </c>
      <c r="W598" s="3" t="str">
        <f aca="false">IF(V598&gt;='Spam Rules'!$B$3,"Likely Spam","Genuine")</f>
        <v>Genuine</v>
      </c>
      <c r="X598" s="3" t="n">
        <f aca="false">IFERROR(INDEX('Scoring Model'!$B$5:$B$11,MATCH(C598,'Scoring Model'!$A$5:$A$11,0)),0)</f>
        <v>30</v>
      </c>
      <c r="Y598" s="3" t="n">
        <f aca="false">IFERROR(INDEX('Scoring Model'!$E$5:$E$7,MATCH(F598,'Scoring Model'!$D$5:$D$7,0)),0)</f>
        <v>0</v>
      </c>
      <c r="Z598" s="3" t="n">
        <f aca="false">IFERROR(INDEX('Scoring Model'!$H$5:$H$13,MATCH(J598,'Scoring Model'!$G$5:$G$13,0)),0)</f>
        <v>15</v>
      </c>
      <c r="AA598" s="3" t="n">
        <f aca="false">IF(L598&gt;='Scoring Model'!$B$14,'Scoring Model'!$B$15,IF(L598&gt;='Scoring Model'!$B$16,'Scoring Model'!$B$17,0))</f>
        <v>0</v>
      </c>
      <c r="AB598" s="3" t="n">
        <f aca="false">IF(SUMPRODUCT(--ISNUMBER(SEARCH('Scoring Model'!$D$16:$D$25,K598)))&gt;0,'Scoring Model'!$B$18,0)</f>
        <v>15</v>
      </c>
      <c r="AC598" s="3" t="n">
        <f aca="false">IF(SUMPRODUCT(--ISNUMBER(SEARCH('Scoring Model'!$G$16:$G$23,K598)))&gt;0,'Scoring Model'!$B$19,0)</f>
        <v>0</v>
      </c>
      <c r="AD598" s="3" t="n">
        <f aca="false">IF(W598="Likely Spam","",SUM(X598:AC598))</f>
        <v>60</v>
      </c>
      <c r="AE598" s="3" t="str">
        <f aca="false">IF(W598="Likely Spam","Spam",IF(AD598&gt;='Scoring Model'!$B$21,"Hot",IF(AD598&gt;='Scoring Model'!$B$22,"Warm","Nurture")))</f>
        <v>Warm</v>
      </c>
      <c r="AF598" s="3" t="str">
        <f aca="false">IF(W598="Likely Spam","Flagged by spam rules",TRIM(IF(X598&gt;=20,"Strong source. ","")&amp;IF(Y598&gt;0,"Company email. ","")&amp;IF(Z598&gt;=15,"High-value product. ","")&amp;IF(AA598&gt;='Scoring Model'!$B$15,"High engagement. ","")&amp;IF(AB598&gt;0,"Buying intent in message. ","")&amp;IF(AC598&lt;0,"Negative intent in message. ","")))</f>
        <v>Strong source. High-value product. Buying intent in message.</v>
      </c>
      <c r="AG598" s="11" t="n">
        <f aca="false">IF(W598="Likely Spam","",1/(1+EXP(-('Conversion Model'!$B$5+IFERROR(INDEX('Conversion Model'!$B$8:$B$14,MATCH(C598,'Conversion Model'!$A$8:$A$14,0)),0)+IFERROR(INDEX('Conversion Model'!$E$8:$E$9,MATCH(F598,'Conversion Model'!$D$8:$D$9,0)),0)+IFERROR(INDEX('Conversion Model'!$H$8:$H$12,MATCH(IF(LEFT(J598,8)="Payments","Payments",IF(LEFT(J598,7)="Lending","Lending",J598)),'Conversion Model'!$G$8:$G$12,0)),0)+MIN(L598,15)*'Conversion Model'!$B$17+IF(SUMPRODUCT(--ISNUMBER(SEARCH('Scoring Model'!$D$16:$D$25,K598)))&gt;0,'Conversion Model'!$B$18,0)+IF(SUMPRODUCT(--ISNUMBER(SEARCH('Scoring Model'!$G$16:$G$23,K598)))&gt;0,'Conversion Model'!$B$19,0)))))</f>
        <v>0.376601115430385</v>
      </c>
      <c r="AH598" s="3" t="n">
        <f aca="false">IF(OR(O598="Qualified",O598="Won",O598="Lost"),1,IF(O598="Unqualified",0,""))</f>
        <v>0</v>
      </c>
    </row>
    <row r="599" customFormat="false" ht="15" hidden="false" customHeight="true" outlineLevel="0" collapsed="false">
      <c r="A599" s="3" t="s">
        <v>2058</v>
      </c>
      <c r="B599" s="9" t="n">
        <v>46199.9868055556</v>
      </c>
      <c r="C599" s="3" t="s">
        <v>160</v>
      </c>
      <c r="D599" s="3" t="s">
        <v>161</v>
      </c>
      <c r="E599" s="3" t="s">
        <v>2059</v>
      </c>
      <c r="F599" s="3" t="s">
        <v>54</v>
      </c>
      <c r="G599" s="3" t="s">
        <v>2060</v>
      </c>
      <c r="H599" s="3"/>
      <c r="I599" s="3" t="s">
        <v>116</v>
      </c>
      <c r="J599" s="3" t="s">
        <v>122</v>
      </c>
      <c r="K599" s="3" t="s">
        <v>213</v>
      </c>
      <c r="L599" s="3" t="n">
        <v>4</v>
      </c>
      <c r="M599" s="3" t="n">
        <v>4.6</v>
      </c>
      <c r="N599" s="3" t="s">
        <v>96</v>
      </c>
      <c r="O599" s="3" t="s">
        <v>194</v>
      </c>
      <c r="P599" s="10"/>
      <c r="Q599" s="3" t="n">
        <f aca="false">IF(F599="Disposable",1,0)</f>
        <v>0</v>
      </c>
      <c r="R599" s="3" t="n">
        <f aca="false">IF(SUMPRODUCT(--ISNUMBER(SEARCH('Spam Rules'!$A$22:$A$35,K599)))&gt;0,1,0)</f>
        <v>0</v>
      </c>
      <c r="S599" s="3" t="n">
        <f aca="false">IF(AND(F599="Free",G599=""),1,0)</f>
        <v>0</v>
      </c>
      <c r="T599" s="3" t="n">
        <f aca="false">IF(LEN(TRIM(K599))&lt;15,1,0)</f>
        <v>0</v>
      </c>
      <c r="U599" s="3" t="n">
        <f aca="false">IF(COUNTIF($E$2:$E$801,E599)&gt;1,1,0)</f>
        <v>0</v>
      </c>
      <c r="V599" s="3" t="n">
        <f aca="false">Q599*'Spam Rules'!$H$6+R599*'Spam Rules'!$H$7+S599*'Spam Rules'!$H$8+T599*'Spam Rules'!$H$9+U599*'Spam Rules'!$H$10</f>
        <v>0</v>
      </c>
      <c r="W599" s="3" t="str">
        <f aca="false">IF(V599&gt;='Spam Rules'!$B$3,"Likely Spam","Genuine")</f>
        <v>Genuine</v>
      </c>
      <c r="X599" s="3" t="n">
        <f aca="false">IFERROR(INDEX('Scoring Model'!$B$5:$B$11,MATCH(C599,'Scoring Model'!$A$5:$A$11,0)),0)</f>
        <v>25</v>
      </c>
      <c r="Y599" s="3" t="n">
        <f aca="false">IFERROR(INDEX('Scoring Model'!$E$5:$E$7,MATCH(F599,'Scoring Model'!$D$5:$D$7,0)),0)</f>
        <v>0</v>
      </c>
      <c r="Z599" s="3" t="n">
        <f aca="false">IFERROR(INDEX('Scoring Model'!$H$5:$H$13,MATCH(J599,'Scoring Model'!$G$5:$G$13,0)),0)</f>
        <v>15</v>
      </c>
      <c r="AA599" s="3" t="n">
        <f aca="false">IF(L599&gt;='Scoring Model'!$B$14,'Scoring Model'!$B$15,IF(L599&gt;='Scoring Model'!$B$16,'Scoring Model'!$B$17,0))</f>
        <v>8</v>
      </c>
      <c r="AB599" s="3" t="n">
        <f aca="false">IF(SUMPRODUCT(--ISNUMBER(SEARCH('Scoring Model'!$D$16:$D$25,K599)))&gt;0,'Scoring Model'!$B$18,0)</f>
        <v>0</v>
      </c>
      <c r="AC599" s="3" t="n">
        <f aca="false">IF(SUMPRODUCT(--ISNUMBER(SEARCH('Scoring Model'!$G$16:$G$23,K599)))&gt;0,'Scoring Model'!$B$19,0)</f>
        <v>-30</v>
      </c>
      <c r="AD599" s="3" t="n">
        <f aca="false">IF(W599="Likely Spam","",SUM(X599:AC599))</f>
        <v>18</v>
      </c>
      <c r="AE599" s="3" t="str">
        <f aca="false">IF(W599="Likely Spam","Spam",IF(AD599&gt;='Scoring Model'!$B$21,"Hot",IF(AD599&gt;='Scoring Model'!$B$22,"Warm","Nurture")))</f>
        <v>Nurture</v>
      </c>
      <c r="AF599" s="3" t="str">
        <f aca="false">IF(W599="Likely Spam","Flagged by spam rules",TRIM(IF(X599&gt;=20,"Strong source. ","")&amp;IF(Y599&gt;0,"Company email. ","")&amp;IF(Z599&gt;=15,"High-value product. ","")&amp;IF(AA599&gt;='Scoring Model'!$B$15,"High engagement. ","")&amp;IF(AB599&gt;0,"Buying intent in message. ","")&amp;IF(AC599&lt;0,"Negative intent in message. ","")))</f>
        <v>Strong source. High-value product. Negative intent in message.</v>
      </c>
      <c r="AG599" s="11" t="n">
        <f aca="false">IF(W599="Likely Spam","",1/(1+EXP(-('Conversion Model'!$B$5+IFERROR(INDEX('Conversion Model'!$B$8:$B$14,MATCH(C599,'Conversion Model'!$A$8:$A$14,0)),0)+IFERROR(INDEX('Conversion Model'!$E$8:$E$9,MATCH(F599,'Conversion Model'!$D$8:$D$9,0)),0)+IFERROR(INDEX('Conversion Model'!$H$8:$H$12,MATCH(IF(LEFT(J599,8)="Payments","Payments",IF(LEFT(J599,7)="Lending","Lending",J599)),'Conversion Model'!$G$8:$G$12,0)),0)+MIN(L599,15)*'Conversion Model'!$B$17+IF(SUMPRODUCT(--ISNUMBER(SEARCH('Scoring Model'!$D$16:$D$25,K599)))&gt;0,'Conversion Model'!$B$18,0)+IF(SUMPRODUCT(--ISNUMBER(SEARCH('Scoring Model'!$G$16:$G$23,K599)))&gt;0,'Conversion Model'!$B$19,0)))))</f>
        <v>0.0200357090336297</v>
      </c>
      <c r="AH599" s="3" t="n">
        <f aca="false">IF(OR(O599="Qualified",O599="Won",O599="Lost"),1,IF(O599="Unqualified",0,""))</f>
        <v>0</v>
      </c>
    </row>
    <row r="600" customFormat="false" ht="15" hidden="false" customHeight="true" outlineLevel="0" collapsed="false">
      <c r="A600" s="3" t="s">
        <v>2061</v>
      </c>
      <c r="B600" s="9" t="n">
        <v>46200.4625</v>
      </c>
      <c r="C600" s="3" t="s">
        <v>91</v>
      </c>
      <c r="D600" s="3" t="s">
        <v>1203</v>
      </c>
      <c r="E600" s="3" t="s">
        <v>2062</v>
      </c>
      <c r="F600" s="3" t="s">
        <v>22</v>
      </c>
      <c r="G600" s="3" t="s">
        <v>1221</v>
      </c>
      <c r="H600" s="3" t="s">
        <v>2063</v>
      </c>
      <c r="I600" s="3" t="s">
        <v>204</v>
      </c>
      <c r="J600" s="3" t="s">
        <v>145</v>
      </c>
      <c r="K600" s="3" t="s">
        <v>193</v>
      </c>
      <c r="L600" s="3" t="n">
        <v>4</v>
      </c>
      <c r="M600" s="3" t="n">
        <v>4</v>
      </c>
      <c r="N600" s="3" t="s">
        <v>67</v>
      </c>
      <c r="O600" s="3" t="s">
        <v>194</v>
      </c>
      <c r="P600" s="10"/>
      <c r="Q600" s="3" t="n">
        <f aca="false">IF(F600="Disposable",1,0)</f>
        <v>0</v>
      </c>
      <c r="R600" s="3" t="n">
        <f aca="false">IF(SUMPRODUCT(--ISNUMBER(SEARCH('Spam Rules'!$A$22:$A$35,K600)))&gt;0,1,0)</f>
        <v>0</v>
      </c>
      <c r="S600" s="3" t="n">
        <f aca="false">IF(AND(F600="Free",G600=""),1,0)</f>
        <v>0</v>
      </c>
      <c r="T600" s="3" t="n">
        <f aca="false">IF(LEN(TRIM(K600))&lt;15,1,0)</f>
        <v>0</v>
      </c>
      <c r="U600" s="3" t="n">
        <f aca="false">IF(COUNTIF($E$2:$E$801,E600)&gt;1,1,0)</f>
        <v>0</v>
      </c>
      <c r="V600" s="3" t="n">
        <f aca="false">Q600*'Spam Rules'!$H$6+R600*'Spam Rules'!$H$7+S600*'Spam Rules'!$H$8+T600*'Spam Rules'!$H$9+U600*'Spam Rules'!$H$10</f>
        <v>0</v>
      </c>
      <c r="W600" s="3" t="str">
        <f aca="false">IF(V600&gt;='Spam Rules'!$B$3,"Likely Spam","Genuine")</f>
        <v>Genuine</v>
      </c>
      <c r="X600" s="3" t="n">
        <f aca="false">IFERROR(INDEX('Scoring Model'!$B$5:$B$11,MATCH(C600,'Scoring Model'!$A$5:$A$11,0)),0)</f>
        <v>5</v>
      </c>
      <c r="Y600" s="3" t="n">
        <f aca="false">IFERROR(INDEX('Scoring Model'!$E$5:$E$7,MATCH(F600,'Scoring Model'!$D$5:$D$7,0)),0)</f>
        <v>20</v>
      </c>
      <c r="Z600" s="3" t="n">
        <f aca="false">IFERROR(INDEX('Scoring Model'!$H$5:$H$13,MATCH(J600,'Scoring Model'!$G$5:$G$13,0)),0)</f>
        <v>5</v>
      </c>
      <c r="AA600" s="3" t="n">
        <f aca="false">IF(L600&gt;='Scoring Model'!$B$14,'Scoring Model'!$B$15,IF(L600&gt;='Scoring Model'!$B$16,'Scoring Model'!$B$17,0))</f>
        <v>8</v>
      </c>
      <c r="AB600" s="3" t="n">
        <f aca="false">IF(SUMPRODUCT(--ISNUMBER(SEARCH('Scoring Model'!$D$16:$D$25,K600)))&gt;0,'Scoring Model'!$B$18,0)</f>
        <v>0</v>
      </c>
      <c r="AC600" s="3" t="n">
        <f aca="false">IF(SUMPRODUCT(--ISNUMBER(SEARCH('Scoring Model'!$G$16:$G$23,K600)))&gt;0,'Scoring Model'!$B$19,0)</f>
        <v>-30</v>
      </c>
      <c r="AD600" s="3" t="n">
        <f aca="false">IF(W600="Likely Spam","",SUM(X600:AC600))</f>
        <v>8</v>
      </c>
      <c r="AE600" s="3" t="str">
        <f aca="false">IF(W600="Likely Spam","Spam",IF(AD600&gt;='Scoring Model'!$B$21,"Hot",IF(AD600&gt;='Scoring Model'!$B$22,"Warm","Nurture")))</f>
        <v>Nurture</v>
      </c>
      <c r="AF600" s="3" t="str">
        <f aca="false">IF(W600="Likely Spam","Flagged by spam rules",TRIM(IF(X600&gt;=20,"Strong source. ","")&amp;IF(Y600&gt;0,"Company email. ","")&amp;IF(Z600&gt;=15,"High-value product. ","")&amp;IF(AA600&gt;='Scoring Model'!$B$15,"High engagement. ","")&amp;IF(AB600&gt;0,"Buying intent in message. ","")&amp;IF(AC600&lt;0,"Negative intent in message. ","")))</f>
        <v>Company email. Negative intent in message.</v>
      </c>
      <c r="AG600" s="11" t="n">
        <f aca="false">IF(W600="Likely Spam","",1/(1+EXP(-('Conversion Model'!$B$5+IFERROR(INDEX('Conversion Model'!$B$8:$B$14,MATCH(C600,'Conversion Model'!$A$8:$A$14,0)),0)+IFERROR(INDEX('Conversion Model'!$E$8:$E$9,MATCH(F600,'Conversion Model'!$D$8:$D$9,0)),0)+IFERROR(INDEX('Conversion Model'!$H$8:$H$12,MATCH(IF(LEFT(J600,8)="Payments","Payments",IF(LEFT(J600,7)="Lending","Lending",J600)),'Conversion Model'!$G$8:$G$12,0)),0)+MIN(L600,15)*'Conversion Model'!$B$17+IF(SUMPRODUCT(--ISNUMBER(SEARCH('Scoring Model'!$D$16:$D$25,K600)))&gt;0,'Conversion Model'!$B$18,0)+IF(SUMPRODUCT(--ISNUMBER(SEARCH('Scoring Model'!$G$16:$G$23,K600)))&gt;0,'Conversion Model'!$B$19,0)))))</f>
        <v>0.0247226997803756</v>
      </c>
      <c r="AH600" s="3" t="n">
        <f aca="false">IF(OR(O600="Qualified",O600="Won",O600="Lost"),1,IF(O600="Unqualified",0,""))</f>
        <v>0</v>
      </c>
    </row>
    <row r="601" customFormat="false" ht="15" hidden="false" customHeight="true" outlineLevel="0" collapsed="false">
      <c r="A601" s="3" t="s">
        <v>2064</v>
      </c>
      <c r="B601" s="9" t="n">
        <v>46200.525</v>
      </c>
      <c r="C601" s="3" t="s">
        <v>128</v>
      </c>
      <c r="D601" s="3" t="s">
        <v>2065</v>
      </c>
      <c r="E601" s="3" t="s">
        <v>2066</v>
      </c>
      <c r="F601" s="3" t="s">
        <v>54</v>
      </c>
      <c r="G601" s="3" t="s">
        <v>279</v>
      </c>
      <c r="H601" s="3"/>
      <c r="I601" s="3" t="s">
        <v>334</v>
      </c>
      <c r="J601" s="3" t="s">
        <v>65</v>
      </c>
      <c r="K601" s="3" t="s">
        <v>101</v>
      </c>
      <c r="L601" s="3" t="n">
        <v>4</v>
      </c>
      <c r="M601" s="3" t="n">
        <v>3.8</v>
      </c>
      <c r="N601" s="3" t="s">
        <v>171</v>
      </c>
      <c r="O601" s="3" t="s">
        <v>194</v>
      </c>
      <c r="P601" s="10"/>
      <c r="Q601" s="3" t="n">
        <f aca="false">IF(F601="Disposable",1,0)</f>
        <v>0</v>
      </c>
      <c r="R601" s="3" t="n">
        <f aca="false">IF(SUMPRODUCT(--ISNUMBER(SEARCH('Spam Rules'!$A$22:$A$35,K601)))&gt;0,1,0)</f>
        <v>0</v>
      </c>
      <c r="S601" s="3" t="n">
        <f aca="false">IF(AND(F601="Free",G601=""),1,0)</f>
        <v>0</v>
      </c>
      <c r="T601" s="3" t="n">
        <f aca="false">IF(LEN(TRIM(K601))&lt;15,1,0)</f>
        <v>0</v>
      </c>
      <c r="U601" s="3" t="n">
        <f aca="false">IF(COUNTIF($E$2:$E$801,E601)&gt;1,1,0)</f>
        <v>0</v>
      </c>
      <c r="V601" s="3" t="n">
        <f aca="false">Q601*'Spam Rules'!$H$6+R601*'Spam Rules'!$H$7+S601*'Spam Rules'!$H$8+T601*'Spam Rules'!$H$9+U601*'Spam Rules'!$H$10</f>
        <v>0</v>
      </c>
      <c r="W601" s="3" t="str">
        <f aca="false">IF(V601&gt;='Spam Rules'!$B$3,"Likely Spam","Genuine")</f>
        <v>Genuine</v>
      </c>
      <c r="X601" s="3" t="n">
        <f aca="false">IFERROR(INDEX('Scoring Model'!$B$5:$B$11,MATCH(C601,'Scoring Model'!$A$5:$A$11,0)),0)</f>
        <v>30</v>
      </c>
      <c r="Y601" s="3" t="n">
        <f aca="false">IFERROR(INDEX('Scoring Model'!$E$5:$E$7,MATCH(F601,'Scoring Model'!$D$5:$D$7,0)),0)</f>
        <v>0</v>
      </c>
      <c r="Z601" s="3" t="n">
        <f aca="false">IFERROR(INDEX('Scoring Model'!$H$5:$H$13,MATCH(J601,'Scoring Model'!$G$5:$G$13,0)),0)</f>
        <v>0</v>
      </c>
      <c r="AA601" s="3" t="n">
        <f aca="false">IF(L601&gt;='Scoring Model'!$B$14,'Scoring Model'!$B$15,IF(L601&gt;='Scoring Model'!$B$16,'Scoring Model'!$B$17,0))</f>
        <v>8</v>
      </c>
      <c r="AB601" s="3" t="n">
        <f aca="false">IF(SUMPRODUCT(--ISNUMBER(SEARCH('Scoring Model'!$D$16:$D$25,K601)))&gt;0,'Scoring Model'!$B$18,0)</f>
        <v>0</v>
      </c>
      <c r="AC601" s="3" t="n">
        <f aca="false">IF(SUMPRODUCT(--ISNUMBER(SEARCH('Scoring Model'!$G$16:$G$23,K601)))&gt;0,'Scoring Model'!$B$19,0)</f>
        <v>-30</v>
      </c>
      <c r="AD601" s="3" t="n">
        <f aca="false">IF(W601="Likely Spam","",SUM(X601:AC601))</f>
        <v>8</v>
      </c>
      <c r="AE601" s="3" t="str">
        <f aca="false">IF(W601="Likely Spam","Spam",IF(AD601&gt;='Scoring Model'!$B$21,"Hot",IF(AD601&gt;='Scoring Model'!$B$22,"Warm","Nurture")))</f>
        <v>Nurture</v>
      </c>
      <c r="AF601" s="3" t="str">
        <f aca="false">IF(W601="Likely Spam","Flagged by spam rules",TRIM(IF(X601&gt;=20,"Strong source. ","")&amp;IF(Y601&gt;0,"Company email. ","")&amp;IF(Z601&gt;=15,"High-value product. ","")&amp;IF(AA601&gt;='Scoring Model'!$B$15,"High engagement. ","")&amp;IF(AB601&gt;0,"Buying intent in message. ","")&amp;IF(AC601&lt;0,"Negative intent in message. ","")))</f>
        <v>Strong source. Negative intent in message.</v>
      </c>
      <c r="AG601" s="11" t="n">
        <f aca="false">IF(W601="Likely Spam","",1/(1+EXP(-('Conversion Model'!$B$5+IFERROR(INDEX('Conversion Model'!$B$8:$B$14,MATCH(C601,'Conversion Model'!$A$8:$A$14,0)),0)+IFERROR(INDEX('Conversion Model'!$E$8:$E$9,MATCH(F601,'Conversion Model'!$D$8:$D$9,0)),0)+IFERROR(INDEX('Conversion Model'!$H$8:$H$12,MATCH(IF(LEFT(J601,8)="Payments","Payments",IF(LEFT(J601,7)="Lending","Lending",J601)),'Conversion Model'!$G$8:$G$12,0)),0)+MIN(L601,15)*'Conversion Model'!$B$17+IF(SUMPRODUCT(--ISNUMBER(SEARCH('Scoring Model'!$D$16:$D$25,K601)))&gt;0,'Conversion Model'!$B$18,0)+IF(SUMPRODUCT(--ISNUMBER(SEARCH('Scoring Model'!$G$16:$G$23,K601)))&gt;0,'Conversion Model'!$B$19,0)))))</f>
        <v>0.0329263947981362</v>
      </c>
      <c r="AH601" s="3" t="n">
        <f aca="false">IF(OR(O601="Qualified",O601="Won",O601="Lost"),1,IF(O601="Unqualified",0,""))</f>
        <v>0</v>
      </c>
    </row>
    <row r="602" customFormat="false" ht="15" hidden="false" customHeight="true" outlineLevel="0" collapsed="false">
      <c r="A602" s="3" t="s">
        <v>2067</v>
      </c>
      <c r="B602" s="9" t="n">
        <v>46200.7006944444</v>
      </c>
      <c r="C602" s="3" t="s">
        <v>135</v>
      </c>
      <c r="D602" s="3" t="s">
        <v>248</v>
      </c>
      <c r="E602" s="3" t="s">
        <v>2068</v>
      </c>
      <c r="F602" s="3" t="s">
        <v>54</v>
      </c>
      <c r="G602" s="3" t="s">
        <v>275</v>
      </c>
      <c r="H602" s="3"/>
      <c r="I602" s="3" t="s">
        <v>94</v>
      </c>
      <c r="J602" s="3" t="s">
        <v>81</v>
      </c>
      <c r="K602" s="3" t="s">
        <v>378</v>
      </c>
      <c r="L602" s="3" t="n">
        <v>3</v>
      </c>
      <c r="M602" s="3" t="n">
        <v>9.6</v>
      </c>
      <c r="N602" s="3" t="s">
        <v>67</v>
      </c>
      <c r="O602" s="3"/>
      <c r="P602" s="10"/>
      <c r="Q602" s="3" t="n">
        <f aca="false">IF(F602="Disposable",1,0)</f>
        <v>0</v>
      </c>
      <c r="R602" s="3" t="n">
        <f aca="false">IF(SUMPRODUCT(--ISNUMBER(SEARCH('Spam Rules'!$A$22:$A$35,K602)))&gt;0,1,0)</f>
        <v>0</v>
      </c>
      <c r="S602" s="3" t="n">
        <f aca="false">IF(AND(F602="Free",G602=""),1,0)</f>
        <v>0</v>
      </c>
      <c r="T602" s="3" t="n">
        <f aca="false">IF(LEN(TRIM(K602))&lt;15,1,0)</f>
        <v>0</v>
      </c>
      <c r="U602" s="3" t="n">
        <f aca="false">IF(COUNTIF($E$2:$E$801,E602)&gt;1,1,0)</f>
        <v>0</v>
      </c>
      <c r="V602" s="3" t="n">
        <f aca="false">Q602*'Spam Rules'!$H$6+R602*'Spam Rules'!$H$7+S602*'Spam Rules'!$H$8+T602*'Spam Rules'!$H$9+U602*'Spam Rules'!$H$10</f>
        <v>0</v>
      </c>
      <c r="W602" s="3" t="str">
        <f aca="false">IF(V602&gt;='Spam Rules'!$B$3,"Likely Spam","Genuine")</f>
        <v>Genuine</v>
      </c>
      <c r="X602" s="3" t="n">
        <f aca="false">IFERROR(INDEX('Scoring Model'!$B$5:$B$11,MATCH(C602,'Scoring Model'!$A$5:$A$11,0)),0)</f>
        <v>20</v>
      </c>
      <c r="Y602" s="3" t="n">
        <f aca="false">IFERROR(INDEX('Scoring Model'!$E$5:$E$7,MATCH(F602,'Scoring Model'!$D$5:$D$7,0)),0)</f>
        <v>0</v>
      </c>
      <c r="Z602" s="3" t="n">
        <f aca="false">IFERROR(INDEX('Scoring Model'!$H$5:$H$13,MATCH(J602,'Scoring Model'!$G$5:$G$13,0)),0)</f>
        <v>5</v>
      </c>
      <c r="AA602" s="3" t="n">
        <f aca="false">IF(L602&gt;='Scoring Model'!$B$14,'Scoring Model'!$B$15,IF(L602&gt;='Scoring Model'!$B$16,'Scoring Model'!$B$17,0))</f>
        <v>0</v>
      </c>
      <c r="AB602" s="3" t="n">
        <f aca="false">IF(SUMPRODUCT(--ISNUMBER(SEARCH('Scoring Model'!$D$16:$D$25,K602)))&gt;0,'Scoring Model'!$B$18,0)</f>
        <v>0</v>
      </c>
      <c r="AC602" s="3" t="n">
        <f aca="false">IF(SUMPRODUCT(--ISNUMBER(SEARCH('Scoring Model'!$G$16:$G$23,K602)))&gt;0,'Scoring Model'!$B$19,0)</f>
        <v>-30</v>
      </c>
      <c r="AD602" s="3" t="n">
        <f aca="false">IF(W602="Likely Spam","",SUM(X602:AC602))</f>
        <v>-5</v>
      </c>
      <c r="AE602" s="3" t="str">
        <f aca="false">IF(W602="Likely Spam","Spam",IF(AD602&gt;='Scoring Model'!$B$21,"Hot",IF(AD602&gt;='Scoring Model'!$B$22,"Warm","Nurture")))</f>
        <v>Nurture</v>
      </c>
      <c r="AF602" s="3" t="str">
        <f aca="false">IF(W602="Likely Spam","Flagged by spam rules",TRIM(IF(X602&gt;=20,"Strong source. ","")&amp;IF(Y602&gt;0,"Company email. ","")&amp;IF(Z602&gt;=15,"High-value product. ","")&amp;IF(AA602&gt;='Scoring Model'!$B$15,"High engagement. ","")&amp;IF(AB602&gt;0,"Buying intent in message. ","")&amp;IF(AC602&lt;0,"Negative intent in message. ","")))</f>
        <v>Strong source. Negative intent in message.</v>
      </c>
      <c r="AG602" s="11" t="n">
        <f aca="false">IF(W602="Likely Spam","",1/(1+EXP(-('Conversion Model'!$B$5+IFERROR(INDEX('Conversion Model'!$B$8:$B$14,MATCH(C602,'Conversion Model'!$A$8:$A$14,0)),0)+IFERROR(INDEX('Conversion Model'!$E$8:$E$9,MATCH(F602,'Conversion Model'!$D$8:$D$9,0)),0)+IFERROR(INDEX('Conversion Model'!$H$8:$H$12,MATCH(IF(LEFT(J602,8)="Payments","Payments",IF(LEFT(J602,7)="Lending","Lending",J602)),'Conversion Model'!$G$8:$G$12,0)),0)+MIN(L602,15)*'Conversion Model'!$B$17+IF(SUMPRODUCT(--ISNUMBER(SEARCH('Scoring Model'!$D$16:$D$25,K602)))&gt;0,'Conversion Model'!$B$18,0)+IF(SUMPRODUCT(--ISNUMBER(SEARCH('Scoring Model'!$G$16:$G$23,K602)))&gt;0,'Conversion Model'!$B$19,0)))))</f>
        <v>0.00884516308224579</v>
      </c>
      <c r="AH602" s="3" t="str">
        <f aca="false">IF(OR(O602="Qualified",O602="Won",O602="Lost"),1,IF(O602="Unqualified",0,""))</f>
        <v/>
      </c>
    </row>
    <row r="603" customFormat="false" ht="15" hidden="false" customHeight="true" outlineLevel="0" collapsed="false">
      <c r="A603" s="3" t="s">
        <v>2069</v>
      </c>
      <c r="B603" s="9" t="n">
        <v>46200.7493055556</v>
      </c>
      <c r="C603" s="3" t="s">
        <v>128</v>
      </c>
      <c r="D603" s="3" t="s">
        <v>519</v>
      </c>
      <c r="E603" s="3" t="s">
        <v>2070</v>
      </c>
      <c r="F603" s="3" t="s">
        <v>22</v>
      </c>
      <c r="G603" s="3" t="s">
        <v>1216</v>
      </c>
      <c r="H603" s="3" t="s">
        <v>1217</v>
      </c>
      <c r="I603" s="3" t="s">
        <v>139</v>
      </c>
      <c r="J603" s="3" t="s">
        <v>122</v>
      </c>
      <c r="K603" s="3" t="s">
        <v>246</v>
      </c>
      <c r="L603" s="3" t="n">
        <v>3</v>
      </c>
      <c r="M603" s="3" t="n">
        <v>8.8</v>
      </c>
      <c r="N603" s="3" t="s">
        <v>67</v>
      </c>
      <c r="O603" s="3"/>
      <c r="P603" s="10"/>
      <c r="Q603" s="3" t="n">
        <f aca="false">IF(F603="Disposable",1,0)</f>
        <v>0</v>
      </c>
      <c r="R603" s="3" t="n">
        <f aca="false">IF(SUMPRODUCT(--ISNUMBER(SEARCH('Spam Rules'!$A$22:$A$35,K603)))&gt;0,1,0)</f>
        <v>0</v>
      </c>
      <c r="S603" s="3" t="n">
        <f aca="false">IF(AND(F603="Free",G603=""),1,0)</f>
        <v>0</v>
      </c>
      <c r="T603" s="3" t="n">
        <f aca="false">IF(LEN(TRIM(K603))&lt;15,1,0)</f>
        <v>0</v>
      </c>
      <c r="U603" s="3" t="n">
        <f aca="false">IF(COUNTIF($E$2:$E$801,E603)&gt;1,1,0)</f>
        <v>0</v>
      </c>
      <c r="V603" s="3" t="n">
        <f aca="false">Q603*'Spam Rules'!$H$6+R603*'Spam Rules'!$H$7+S603*'Spam Rules'!$H$8+T603*'Spam Rules'!$H$9+U603*'Spam Rules'!$H$10</f>
        <v>0</v>
      </c>
      <c r="W603" s="3" t="str">
        <f aca="false">IF(V603&gt;='Spam Rules'!$B$3,"Likely Spam","Genuine")</f>
        <v>Genuine</v>
      </c>
      <c r="X603" s="3" t="n">
        <f aca="false">IFERROR(INDEX('Scoring Model'!$B$5:$B$11,MATCH(C603,'Scoring Model'!$A$5:$A$11,0)),0)</f>
        <v>30</v>
      </c>
      <c r="Y603" s="3" t="n">
        <f aca="false">IFERROR(INDEX('Scoring Model'!$E$5:$E$7,MATCH(F603,'Scoring Model'!$D$5:$D$7,0)),0)</f>
        <v>20</v>
      </c>
      <c r="Z603" s="3" t="n">
        <f aca="false">IFERROR(INDEX('Scoring Model'!$H$5:$H$13,MATCH(J603,'Scoring Model'!$G$5:$G$13,0)),0)</f>
        <v>15</v>
      </c>
      <c r="AA603" s="3" t="n">
        <f aca="false">IF(L603&gt;='Scoring Model'!$B$14,'Scoring Model'!$B$15,IF(L603&gt;='Scoring Model'!$B$16,'Scoring Model'!$B$17,0))</f>
        <v>0</v>
      </c>
      <c r="AB603" s="3" t="n">
        <f aca="false">IF(SUMPRODUCT(--ISNUMBER(SEARCH('Scoring Model'!$D$16:$D$25,K603)))&gt;0,'Scoring Model'!$B$18,0)</f>
        <v>15</v>
      </c>
      <c r="AC603" s="3" t="n">
        <f aca="false">IF(SUMPRODUCT(--ISNUMBER(SEARCH('Scoring Model'!$G$16:$G$23,K603)))&gt;0,'Scoring Model'!$B$19,0)</f>
        <v>0</v>
      </c>
      <c r="AD603" s="3" t="n">
        <f aca="false">IF(W603="Likely Spam","",SUM(X603:AC603))</f>
        <v>80</v>
      </c>
      <c r="AE603" s="3" t="str">
        <f aca="false">IF(W603="Likely Spam","Spam",IF(AD603&gt;='Scoring Model'!$B$21,"Hot",IF(AD603&gt;='Scoring Model'!$B$22,"Warm","Nurture")))</f>
        <v>Hot</v>
      </c>
      <c r="AF603" s="3" t="str">
        <f aca="false">IF(W603="Likely Spam","Flagged by spam rules",TRIM(IF(X603&gt;=20,"Strong source. ","")&amp;IF(Y603&gt;0,"Company email. ","")&amp;IF(Z603&gt;=15,"High-value product. ","")&amp;IF(AA603&gt;='Scoring Model'!$B$15,"High engagement. ","")&amp;IF(AB603&gt;0,"Buying intent in message. ","")&amp;IF(AC603&lt;0,"Negative intent in message. ","")))</f>
        <v>Strong source. Company email. High-value product. Buying intent in message.</v>
      </c>
      <c r="AG603" s="11" t="n">
        <f aca="false">IF(W603="Likely Spam","",1/(1+EXP(-('Conversion Model'!$B$5+IFERROR(INDEX('Conversion Model'!$B$8:$B$14,MATCH(C603,'Conversion Model'!$A$8:$A$14,0)),0)+IFERROR(INDEX('Conversion Model'!$E$8:$E$9,MATCH(F603,'Conversion Model'!$D$8:$D$9,0)),0)+IFERROR(INDEX('Conversion Model'!$H$8:$H$12,MATCH(IF(LEFT(J603,8)="Payments","Payments",IF(LEFT(J603,7)="Lending","Lending",J603)),'Conversion Model'!$G$8:$G$12,0)),0)+MIN(L603,15)*'Conversion Model'!$B$17+IF(SUMPRODUCT(--ISNUMBER(SEARCH('Scoring Model'!$D$16:$D$25,K603)))&gt;0,'Conversion Model'!$B$18,0)+IF(SUMPRODUCT(--ISNUMBER(SEARCH('Scoring Model'!$G$16:$G$23,K603)))&gt;0,'Conversion Model'!$B$19,0)))))</f>
        <v>0.593149336128624</v>
      </c>
      <c r="AH603" s="3" t="str">
        <f aca="false">IF(OR(O603="Qualified",O603="Won",O603="Lost"),1,IF(O603="Unqualified",0,""))</f>
        <v/>
      </c>
    </row>
    <row r="604" customFormat="false" ht="15" hidden="false" customHeight="true" outlineLevel="0" collapsed="false">
      <c r="A604" s="3" t="s">
        <v>2071</v>
      </c>
      <c r="B604" s="9" t="n">
        <v>46201.7215277778</v>
      </c>
      <c r="C604" s="3" t="s">
        <v>135</v>
      </c>
      <c r="D604" s="3" t="s">
        <v>1366</v>
      </c>
      <c r="E604" s="3" t="s">
        <v>2072</v>
      </c>
      <c r="F604" s="3" t="s">
        <v>54</v>
      </c>
      <c r="G604" s="3" t="s">
        <v>2073</v>
      </c>
      <c r="H604" s="3"/>
      <c r="I604" s="3" t="s">
        <v>94</v>
      </c>
      <c r="J604" s="3" t="s">
        <v>145</v>
      </c>
      <c r="K604" s="3" t="s">
        <v>193</v>
      </c>
      <c r="L604" s="3" t="n">
        <v>2</v>
      </c>
      <c r="M604" s="3" t="n">
        <v>17.4</v>
      </c>
      <c r="N604" s="3" t="s">
        <v>96</v>
      </c>
      <c r="O604" s="3" t="s">
        <v>194</v>
      </c>
      <c r="P604" s="10"/>
      <c r="Q604" s="3" t="n">
        <f aca="false">IF(F604="Disposable",1,0)</f>
        <v>0</v>
      </c>
      <c r="R604" s="3" t="n">
        <f aca="false">IF(SUMPRODUCT(--ISNUMBER(SEARCH('Spam Rules'!$A$22:$A$35,K604)))&gt;0,1,0)</f>
        <v>0</v>
      </c>
      <c r="S604" s="3" t="n">
        <f aca="false">IF(AND(F604="Free",G604=""),1,0)</f>
        <v>0</v>
      </c>
      <c r="T604" s="3" t="n">
        <f aca="false">IF(LEN(TRIM(K604))&lt;15,1,0)</f>
        <v>0</v>
      </c>
      <c r="U604" s="3" t="n">
        <f aca="false">IF(COUNTIF($E$2:$E$801,E604)&gt;1,1,0)</f>
        <v>0</v>
      </c>
      <c r="V604" s="3" t="n">
        <f aca="false">Q604*'Spam Rules'!$H$6+R604*'Spam Rules'!$H$7+S604*'Spam Rules'!$H$8+T604*'Spam Rules'!$H$9+U604*'Spam Rules'!$H$10</f>
        <v>0</v>
      </c>
      <c r="W604" s="3" t="str">
        <f aca="false">IF(V604&gt;='Spam Rules'!$B$3,"Likely Spam","Genuine")</f>
        <v>Genuine</v>
      </c>
      <c r="X604" s="3" t="n">
        <f aca="false">IFERROR(INDEX('Scoring Model'!$B$5:$B$11,MATCH(C604,'Scoring Model'!$A$5:$A$11,0)),0)</f>
        <v>20</v>
      </c>
      <c r="Y604" s="3" t="n">
        <f aca="false">IFERROR(INDEX('Scoring Model'!$E$5:$E$7,MATCH(F604,'Scoring Model'!$D$5:$D$7,0)),0)</f>
        <v>0</v>
      </c>
      <c r="Z604" s="3" t="n">
        <f aca="false">IFERROR(INDEX('Scoring Model'!$H$5:$H$13,MATCH(J604,'Scoring Model'!$G$5:$G$13,0)),0)</f>
        <v>5</v>
      </c>
      <c r="AA604" s="3" t="n">
        <f aca="false">IF(L604&gt;='Scoring Model'!$B$14,'Scoring Model'!$B$15,IF(L604&gt;='Scoring Model'!$B$16,'Scoring Model'!$B$17,0))</f>
        <v>0</v>
      </c>
      <c r="AB604" s="3" t="n">
        <f aca="false">IF(SUMPRODUCT(--ISNUMBER(SEARCH('Scoring Model'!$D$16:$D$25,K604)))&gt;0,'Scoring Model'!$B$18,0)</f>
        <v>0</v>
      </c>
      <c r="AC604" s="3" t="n">
        <f aca="false">IF(SUMPRODUCT(--ISNUMBER(SEARCH('Scoring Model'!$G$16:$G$23,K604)))&gt;0,'Scoring Model'!$B$19,0)</f>
        <v>-30</v>
      </c>
      <c r="AD604" s="3" t="n">
        <f aca="false">IF(W604="Likely Spam","",SUM(X604:AC604))</f>
        <v>-5</v>
      </c>
      <c r="AE604" s="3" t="str">
        <f aca="false">IF(W604="Likely Spam","Spam",IF(AD604&gt;='Scoring Model'!$B$21,"Hot",IF(AD604&gt;='Scoring Model'!$B$22,"Warm","Nurture")))</f>
        <v>Nurture</v>
      </c>
      <c r="AF604" s="3" t="str">
        <f aca="false">IF(W604="Likely Spam","Flagged by spam rules",TRIM(IF(X604&gt;=20,"Strong source. ","")&amp;IF(Y604&gt;0,"Company email. ","")&amp;IF(Z604&gt;=15,"High-value product. ","")&amp;IF(AA604&gt;='Scoring Model'!$B$15,"High engagement. ","")&amp;IF(AB604&gt;0,"Buying intent in message. ","")&amp;IF(AC604&lt;0,"Negative intent in message. ","")))</f>
        <v>Strong source. Negative intent in message.</v>
      </c>
      <c r="AG604" s="11" t="n">
        <f aca="false">IF(W604="Likely Spam","",1/(1+EXP(-('Conversion Model'!$B$5+IFERROR(INDEX('Conversion Model'!$B$8:$B$14,MATCH(C604,'Conversion Model'!$A$8:$A$14,0)),0)+IFERROR(INDEX('Conversion Model'!$E$8:$E$9,MATCH(F604,'Conversion Model'!$D$8:$D$9,0)),0)+IFERROR(INDEX('Conversion Model'!$H$8:$H$12,MATCH(IF(LEFT(J604,8)="Payments","Payments",IF(LEFT(J604,7)="Lending","Lending",J604)),'Conversion Model'!$G$8:$G$12,0)),0)+MIN(L604,15)*'Conversion Model'!$B$17+IF(SUMPRODUCT(--ISNUMBER(SEARCH('Scoring Model'!$D$16:$D$25,K604)))&gt;0,'Conversion Model'!$B$18,0)+IF(SUMPRODUCT(--ISNUMBER(SEARCH('Scoring Model'!$G$16:$G$23,K604)))&gt;0,'Conversion Model'!$B$19,0)))))</f>
        <v>0.00688159117380181</v>
      </c>
      <c r="AH604" s="3" t="n">
        <f aca="false">IF(OR(O604="Qualified",O604="Won",O604="Lost"),1,IF(O604="Unqualified",0,""))</f>
        <v>0</v>
      </c>
    </row>
    <row r="605" customFormat="false" ht="15" hidden="false" customHeight="true" outlineLevel="0" collapsed="false">
      <c r="A605" s="3" t="s">
        <v>2074</v>
      </c>
      <c r="B605" s="9" t="n">
        <v>46202.1736111111</v>
      </c>
      <c r="C605" s="3" t="s">
        <v>51</v>
      </c>
      <c r="D605" s="3" t="s">
        <v>2038</v>
      </c>
      <c r="E605" s="3" t="s">
        <v>2075</v>
      </c>
      <c r="F605" s="3" t="s">
        <v>22</v>
      </c>
      <c r="G605" s="3" t="s">
        <v>1166</v>
      </c>
      <c r="H605" s="3" t="s">
        <v>1167</v>
      </c>
      <c r="I605" s="3" t="s">
        <v>88</v>
      </c>
      <c r="J605" s="3" t="s">
        <v>117</v>
      </c>
      <c r="K605" s="3" t="s">
        <v>189</v>
      </c>
      <c r="L605" s="3" t="n">
        <v>3</v>
      </c>
      <c r="M605" s="3" t="n">
        <v>28.4</v>
      </c>
      <c r="N605" s="3" t="s">
        <v>96</v>
      </c>
      <c r="O605" s="3"/>
      <c r="P605" s="10"/>
      <c r="Q605" s="3" t="n">
        <f aca="false">IF(F605="Disposable",1,0)</f>
        <v>0</v>
      </c>
      <c r="R605" s="3" t="n">
        <f aca="false">IF(SUMPRODUCT(--ISNUMBER(SEARCH('Spam Rules'!$A$22:$A$35,K605)))&gt;0,1,0)</f>
        <v>0</v>
      </c>
      <c r="S605" s="3" t="n">
        <f aca="false">IF(AND(F605="Free",G605=""),1,0)</f>
        <v>0</v>
      </c>
      <c r="T605" s="3" t="n">
        <f aca="false">IF(LEN(TRIM(K605))&lt;15,1,0)</f>
        <v>0</v>
      </c>
      <c r="U605" s="3" t="n">
        <f aca="false">IF(COUNTIF($E$2:$E$801,E605)&gt;1,1,0)</f>
        <v>0</v>
      </c>
      <c r="V605" s="3" t="n">
        <f aca="false">Q605*'Spam Rules'!$H$6+R605*'Spam Rules'!$H$7+S605*'Spam Rules'!$H$8+T605*'Spam Rules'!$H$9+U605*'Spam Rules'!$H$10</f>
        <v>0</v>
      </c>
      <c r="W605" s="3" t="str">
        <f aca="false">IF(V605&gt;='Spam Rules'!$B$3,"Likely Spam","Genuine")</f>
        <v>Genuine</v>
      </c>
      <c r="X605" s="3" t="n">
        <f aca="false">IFERROR(INDEX('Scoring Model'!$B$5:$B$11,MATCH(C605,'Scoring Model'!$A$5:$A$11,0)),0)</f>
        <v>10</v>
      </c>
      <c r="Y605" s="3" t="n">
        <f aca="false">IFERROR(INDEX('Scoring Model'!$E$5:$E$7,MATCH(F605,'Scoring Model'!$D$5:$D$7,0)),0)</f>
        <v>20</v>
      </c>
      <c r="Z605" s="3" t="n">
        <f aca="false">IFERROR(INDEX('Scoring Model'!$H$5:$H$13,MATCH(J605,'Scoring Model'!$G$5:$G$13,0)),0)</f>
        <v>15</v>
      </c>
      <c r="AA605" s="3" t="n">
        <f aca="false">IF(L605&gt;='Scoring Model'!$B$14,'Scoring Model'!$B$15,IF(L605&gt;='Scoring Model'!$B$16,'Scoring Model'!$B$17,0))</f>
        <v>0</v>
      </c>
      <c r="AB605" s="3" t="n">
        <f aca="false">IF(SUMPRODUCT(--ISNUMBER(SEARCH('Scoring Model'!$D$16:$D$25,K605)))&gt;0,'Scoring Model'!$B$18,0)</f>
        <v>15</v>
      </c>
      <c r="AC605" s="3" t="n">
        <f aca="false">IF(SUMPRODUCT(--ISNUMBER(SEARCH('Scoring Model'!$G$16:$G$23,K605)))&gt;0,'Scoring Model'!$B$19,0)</f>
        <v>0</v>
      </c>
      <c r="AD605" s="3" t="n">
        <f aca="false">IF(W605="Likely Spam","",SUM(X605:AC605))</f>
        <v>60</v>
      </c>
      <c r="AE605" s="3" t="str">
        <f aca="false">IF(W605="Likely Spam","Spam",IF(AD605&gt;='Scoring Model'!$B$21,"Hot",IF(AD605&gt;='Scoring Model'!$B$22,"Warm","Nurture")))</f>
        <v>Warm</v>
      </c>
      <c r="AF605" s="3" t="str">
        <f aca="false">IF(W605="Likely Spam","Flagged by spam rules",TRIM(IF(X605&gt;=20,"Strong source. ","")&amp;IF(Y605&gt;0,"Company email. ","")&amp;IF(Z605&gt;=15,"High-value product. ","")&amp;IF(AA605&gt;='Scoring Model'!$B$15,"High engagement. ","")&amp;IF(AB605&gt;0,"Buying intent in message. ","")&amp;IF(AC605&lt;0,"Negative intent in message. ","")))</f>
        <v>Company email. High-value product. Buying intent in message.</v>
      </c>
      <c r="AG605" s="11" t="n">
        <f aca="false">IF(W605="Likely Spam","",1/(1+EXP(-('Conversion Model'!$B$5+IFERROR(INDEX('Conversion Model'!$B$8:$B$14,MATCH(C605,'Conversion Model'!$A$8:$A$14,0)),0)+IFERROR(INDEX('Conversion Model'!$E$8:$E$9,MATCH(F605,'Conversion Model'!$D$8:$D$9,0)),0)+IFERROR(INDEX('Conversion Model'!$H$8:$H$12,MATCH(IF(LEFT(J605,8)="Payments","Payments",IF(LEFT(J605,7)="Lending","Lending",J605)),'Conversion Model'!$G$8:$G$12,0)),0)+MIN(L605,15)*'Conversion Model'!$B$17+IF(SUMPRODUCT(--ISNUMBER(SEARCH('Scoring Model'!$D$16:$D$25,K605)))&gt;0,'Conversion Model'!$B$18,0)+IF(SUMPRODUCT(--ISNUMBER(SEARCH('Scoring Model'!$G$16:$G$23,K605)))&gt;0,'Conversion Model'!$B$19,0)))))</f>
        <v>0.528967525030952</v>
      </c>
      <c r="AH605" s="3" t="str">
        <f aca="false">IF(OR(O605="Qualified",O605="Won",O605="Lost"),1,IF(O605="Unqualified",0,""))</f>
        <v/>
      </c>
    </row>
    <row r="606" customFormat="false" ht="15" hidden="false" customHeight="true" outlineLevel="0" collapsed="false">
      <c r="A606" s="3" t="s">
        <v>2076</v>
      </c>
      <c r="B606" s="9" t="n">
        <v>46203.25</v>
      </c>
      <c r="C606" s="3" t="s">
        <v>91</v>
      </c>
      <c r="D606" s="3" t="s">
        <v>1984</v>
      </c>
      <c r="E606" s="3" t="s">
        <v>2077</v>
      </c>
      <c r="F606" s="3" t="s">
        <v>22</v>
      </c>
      <c r="G606" s="3" t="s">
        <v>1407</v>
      </c>
      <c r="H606" s="3" t="s">
        <v>1408</v>
      </c>
      <c r="I606" s="3" t="s">
        <v>139</v>
      </c>
      <c r="J606" s="3" t="s">
        <v>145</v>
      </c>
      <c r="K606" s="3" t="s">
        <v>228</v>
      </c>
      <c r="L606" s="3" t="n">
        <v>6</v>
      </c>
      <c r="M606" s="3" t="n">
        <v>2.6</v>
      </c>
      <c r="N606" s="3" t="s">
        <v>67</v>
      </c>
      <c r="O606" s="3" t="s">
        <v>194</v>
      </c>
      <c r="P606" s="10"/>
      <c r="Q606" s="3" t="n">
        <f aca="false">IF(F606="Disposable",1,0)</f>
        <v>0</v>
      </c>
      <c r="R606" s="3" t="n">
        <f aca="false">IF(SUMPRODUCT(--ISNUMBER(SEARCH('Spam Rules'!$A$22:$A$35,K606)))&gt;0,1,0)</f>
        <v>0</v>
      </c>
      <c r="S606" s="3" t="n">
        <f aca="false">IF(AND(F606="Free",G606=""),1,0)</f>
        <v>0</v>
      </c>
      <c r="T606" s="3" t="n">
        <f aca="false">IF(LEN(TRIM(K606))&lt;15,1,0)</f>
        <v>0</v>
      </c>
      <c r="U606" s="3" t="n">
        <f aca="false">IF(COUNTIF($E$2:$E$801,E606)&gt;1,1,0)</f>
        <v>0</v>
      </c>
      <c r="V606" s="3" t="n">
        <f aca="false">Q606*'Spam Rules'!$H$6+R606*'Spam Rules'!$H$7+S606*'Spam Rules'!$H$8+T606*'Spam Rules'!$H$9+U606*'Spam Rules'!$H$10</f>
        <v>0</v>
      </c>
      <c r="W606" s="3" t="str">
        <f aca="false">IF(V606&gt;='Spam Rules'!$B$3,"Likely Spam","Genuine")</f>
        <v>Genuine</v>
      </c>
      <c r="X606" s="3" t="n">
        <f aca="false">IFERROR(INDEX('Scoring Model'!$B$5:$B$11,MATCH(C606,'Scoring Model'!$A$5:$A$11,0)),0)</f>
        <v>5</v>
      </c>
      <c r="Y606" s="3" t="n">
        <f aca="false">IFERROR(INDEX('Scoring Model'!$E$5:$E$7,MATCH(F606,'Scoring Model'!$D$5:$D$7,0)),0)</f>
        <v>20</v>
      </c>
      <c r="Z606" s="3" t="n">
        <f aca="false">IFERROR(INDEX('Scoring Model'!$H$5:$H$13,MATCH(J606,'Scoring Model'!$G$5:$G$13,0)),0)</f>
        <v>5</v>
      </c>
      <c r="AA606" s="3" t="n">
        <f aca="false">IF(L606&gt;='Scoring Model'!$B$14,'Scoring Model'!$B$15,IF(L606&gt;='Scoring Model'!$B$16,'Scoring Model'!$B$17,0))</f>
        <v>8</v>
      </c>
      <c r="AB606" s="3" t="n">
        <f aca="false">IF(SUMPRODUCT(--ISNUMBER(SEARCH('Scoring Model'!$D$16:$D$25,K606)))&gt;0,'Scoring Model'!$B$18,0)</f>
        <v>15</v>
      </c>
      <c r="AC606" s="3" t="n">
        <f aca="false">IF(SUMPRODUCT(--ISNUMBER(SEARCH('Scoring Model'!$G$16:$G$23,K606)))&gt;0,'Scoring Model'!$B$19,0)</f>
        <v>0</v>
      </c>
      <c r="AD606" s="3" t="n">
        <f aca="false">IF(W606="Likely Spam","",SUM(X606:AC606))</f>
        <v>53</v>
      </c>
      <c r="AE606" s="3" t="str">
        <f aca="false">IF(W606="Likely Spam","Spam",IF(AD606&gt;='Scoring Model'!$B$21,"Hot",IF(AD606&gt;='Scoring Model'!$B$22,"Warm","Nurture")))</f>
        <v>Warm</v>
      </c>
      <c r="AF606" s="3" t="str">
        <f aca="false">IF(W606="Likely Spam","Flagged by spam rules",TRIM(IF(X606&gt;=20,"Strong source. ","")&amp;IF(Y606&gt;0,"Company email. ","")&amp;IF(Z606&gt;=15,"High-value product. ","")&amp;IF(AA606&gt;='Scoring Model'!$B$15,"High engagement. ","")&amp;IF(AB606&gt;0,"Buying intent in message. ","")&amp;IF(AC606&lt;0,"Negative intent in message. ","")))</f>
        <v>Company email. Buying intent in message.</v>
      </c>
      <c r="AG606" s="11" t="n">
        <f aca="false">IF(W606="Likely Spam","",1/(1+EXP(-('Conversion Model'!$B$5+IFERROR(INDEX('Conversion Model'!$B$8:$B$14,MATCH(C606,'Conversion Model'!$A$8:$A$14,0)),0)+IFERROR(INDEX('Conversion Model'!$E$8:$E$9,MATCH(F606,'Conversion Model'!$D$8:$D$9,0)),0)+IFERROR(INDEX('Conversion Model'!$H$8:$H$12,MATCH(IF(LEFT(J606,8)="Payments","Payments",IF(LEFT(J606,7)="Lending","Lending",J606)),'Conversion Model'!$G$8:$G$12,0)),0)+MIN(L606,15)*'Conversion Model'!$B$17+IF(SUMPRODUCT(--ISNUMBER(SEARCH('Scoring Model'!$D$16:$D$25,K606)))&gt;0,'Conversion Model'!$B$18,0)+IF(SUMPRODUCT(--ISNUMBER(SEARCH('Scoring Model'!$G$16:$G$23,K606)))&gt;0,'Conversion Model'!$B$19,0)))))</f>
        <v>0.808144748904065</v>
      </c>
      <c r="AH606" s="3" t="n">
        <f aca="false">IF(OR(O606="Qualified",O606="Won",O606="Lost"),1,IF(O606="Unqualified",0,""))</f>
        <v>0</v>
      </c>
    </row>
    <row r="607" customFormat="false" ht="15" hidden="false" customHeight="true" outlineLevel="0" collapsed="false">
      <c r="A607" s="3" t="s">
        <v>2078</v>
      </c>
      <c r="B607" s="9" t="n">
        <v>46203.5972222222</v>
      </c>
      <c r="C607" s="3" t="s">
        <v>76</v>
      </c>
      <c r="D607" s="3" t="s">
        <v>2079</v>
      </c>
      <c r="E607" s="3" t="s">
        <v>2080</v>
      </c>
      <c r="F607" s="3" t="s">
        <v>63</v>
      </c>
      <c r="G607" s="3"/>
      <c r="H607" s="3"/>
      <c r="I607" s="3" t="s">
        <v>139</v>
      </c>
      <c r="J607" s="3" t="s">
        <v>65</v>
      </c>
      <c r="K607" s="3" t="s">
        <v>89</v>
      </c>
      <c r="L607" s="3" t="n">
        <v>1</v>
      </c>
      <c r="M607" s="3" t="n">
        <v>24.3</v>
      </c>
      <c r="N607" s="3" t="s">
        <v>96</v>
      </c>
      <c r="O607" s="3" t="s">
        <v>68</v>
      </c>
      <c r="P607" s="10"/>
      <c r="Q607" s="3" t="n">
        <f aca="false">IF(F607="Disposable",1,0)</f>
        <v>1</v>
      </c>
      <c r="R607" s="3" t="n">
        <f aca="false">IF(SUMPRODUCT(--ISNUMBER(SEARCH('Spam Rules'!$A$22:$A$35,K607)))&gt;0,1,0)</f>
        <v>1</v>
      </c>
      <c r="S607" s="3" t="n">
        <f aca="false">IF(AND(F607="Free",G607=""),1,0)</f>
        <v>0</v>
      </c>
      <c r="T607" s="3" t="n">
        <f aca="false">IF(LEN(TRIM(K607))&lt;15,1,0)</f>
        <v>0</v>
      </c>
      <c r="U607" s="3" t="n">
        <f aca="false">IF(COUNTIF($E$2:$E$801,E607)&gt;1,1,0)</f>
        <v>0</v>
      </c>
      <c r="V607" s="3" t="n">
        <f aca="false">Q607*'Spam Rules'!$H$6+R607*'Spam Rules'!$H$7+S607*'Spam Rules'!$H$8+T607*'Spam Rules'!$H$9+U607*'Spam Rules'!$H$10</f>
        <v>2</v>
      </c>
      <c r="W607" s="3" t="str">
        <f aca="false">IF(V607&gt;='Spam Rules'!$B$3,"Likely Spam","Genuine")</f>
        <v>Likely Spam</v>
      </c>
      <c r="X607" s="3" t="n">
        <f aca="false">IFERROR(INDEX('Scoring Model'!$B$5:$B$11,MATCH(C607,'Scoring Model'!$A$5:$A$11,0)),0)</f>
        <v>0</v>
      </c>
      <c r="Y607" s="3" t="n">
        <f aca="false">IFERROR(INDEX('Scoring Model'!$E$5:$E$7,MATCH(F607,'Scoring Model'!$D$5:$D$7,0)),0)</f>
        <v>0</v>
      </c>
      <c r="Z607" s="3" t="n">
        <f aca="false">IFERROR(INDEX('Scoring Model'!$H$5:$H$13,MATCH(J607,'Scoring Model'!$G$5:$G$13,0)),0)</f>
        <v>0</v>
      </c>
      <c r="AA607" s="3" t="n">
        <f aca="false">IF(L607&gt;='Scoring Model'!$B$14,'Scoring Model'!$B$15,IF(L607&gt;='Scoring Model'!$B$16,'Scoring Model'!$B$17,0))</f>
        <v>0</v>
      </c>
      <c r="AB607" s="3" t="n">
        <f aca="false">IF(SUMPRODUCT(--ISNUMBER(SEARCH('Scoring Model'!$D$16:$D$25,K607)))&gt;0,'Scoring Model'!$B$18,0)</f>
        <v>0</v>
      </c>
      <c r="AC607" s="3" t="n">
        <f aca="false">IF(SUMPRODUCT(--ISNUMBER(SEARCH('Scoring Model'!$G$16:$G$23,K607)))&gt;0,'Scoring Model'!$B$19,0)</f>
        <v>0</v>
      </c>
      <c r="AD607" s="3" t="str">
        <f aca="false">IF(W607="Likely Spam","",SUM(X607:AC607))</f>
        <v/>
      </c>
      <c r="AE607" s="3" t="str">
        <f aca="false">IF(W607="Likely Spam","Spam",IF(AD607&gt;='Scoring Model'!$B$21,"Hot",IF(AD607&gt;='Scoring Model'!$B$22,"Warm","Nurture")))</f>
        <v>Spam</v>
      </c>
      <c r="AF607" s="3" t="str">
        <f aca="false">IF(W607="Likely Spam","Flagged by spam rules",TRIM(IF(X607&gt;=20,"Strong source. ","")&amp;IF(Y607&gt;0,"Company email. ","")&amp;IF(Z607&gt;=15,"High-value product. ","")&amp;IF(AA607&gt;='Scoring Model'!$B$15,"High engagement. ","")&amp;IF(AB607&gt;0,"Buying intent in message. ","")&amp;IF(AC607&lt;0,"Negative intent in message. ","")))</f>
        <v>Flagged by spam rules</v>
      </c>
      <c r="AG607" s="11" t="str">
        <f aca="false">IF(W607="Likely Spam","",1/(1+EXP(-('Conversion Model'!$B$5+IFERROR(INDEX('Conversion Model'!$B$8:$B$14,MATCH(C607,'Conversion Model'!$A$8:$A$14,0)),0)+IFERROR(INDEX('Conversion Model'!$E$8:$E$9,MATCH(F607,'Conversion Model'!$D$8:$D$9,0)),0)+IFERROR(INDEX('Conversion Model'!$H$8:$H$12,MATCH(IF(LEFT(J607,8)="Payments","Payments",IF(LEFT(J607,7)="Lending","Lending",J607)),'Conversion Model'!$G$8:$G$12,0)),0)+MIN(L607,15)*'Conversion Model'!$B$17+IF(SUMPRODUCT(--ISNUMBER(SEARCH('Scoring Model'!$D$16:$D$25,K607)))&gt;0,'Conversion Model'!$B$18,0)+IF(SUMPRODUCT(--ISNUMBER(SEARCH('Scoring Model'!$G$16:$G$23,K607)))&gt;0,'Conversion Model'!$B$19,0)))))</f>
        <v/>
      </c>
      <c r="AH607" s="3" t="str">
        <f aca="false">IF(OR(O607="Qualified",O607="Won",O607="Lost"),1,IF(O607="Unqualified",0,""))</f>
        <v/>
      </c>
    </row>
    <row r="608" customFormat="false" ht="15" hidden="false" customHeight="true" outlineLevel="0" collapsed="false">
      <c r="A608" s="3" t="s">
        <v>2081</v>
      </c>
      <c r="B608" s="9" t="n">
        <v>46203.8347222222</v>
      </c>
      <c r="C608" s="3" t="s">
        <v>112</v>
      </c>
      <c r="D608" s="3" t="s">
        <v>2082</v>
      </c>
      <c r="E608" s="3" t="s">
        <v>2083</v>
      </c>
      <c r="F608" s="3" t="s">
        <v>22</v>
      </c>
      <c r="G608" s="3" t="s">
        <v>909</v>
      </c>
      <c r="H608" s="3" t="s">
        <v>2084</v>
      </c>
      <c r="I608" s="3" t="s">
        <v>73</v>
      </c>
      <c r="J608" s="3" t="s">
        <v>117</v>
      </c>
      <c r="K608" s="3" t="s">
        <v>2085</v>
      </c>
      <c r="L608" s="3" t="n">
        <v>3</v>
      </c>
      <c r="M608" s="3" t="n">
        <v>13</v>
      </c>
      <c r="N608" s="3" t="s">
        <v>67</v>
      </c>
      <c r="O608" s="3" t="s">
        <v>194</v>
      </c>
      <c r="P608" s="10"/>
      <c r="Q608" s="3" t="n">
        <f aca="false">IF(F608="Disposable",1,0)</f>
        <v>0</v>
      </c>
      <c r="R608" s="3" t="n">
        <f aca="false">IF(SUMPRODUCT(--ISNUMBER(SEARCH('Spam Rules'!$A$22:$A$35,K608)))&gt;0,1,0)</f>
        <v>0</v>
      </c>
      <c r="S608" s="3" t="n">
        <f aca="false">IF(AND(F608="Free",G608=""),1,0)</f>
        <v>0</v>
      </c>
      <c r="T608" s="3" t="n">
        <f aca="false">IF(LEN(TRIM(K608))&lt;15,1,0)</f>
        <v>0</v>
      </c>
      <c r="U608" s="3" t="n">
        <f aca="false">IF(COUNTIF($E$2:$E$801,E608)&gt;1,1,0)</f>
        <v>0</v>
      </c>
      <c r="V608" s="3" t="n">
        <f aca="false">Q608*'Spam Rules'!$H$6+R608*'Spam Rules'!$H$7+S608*'Spam Rules'!$H$8+T608*'Spam Rules'!$H$9+U608*'Spam Rules'!$H$10</f>
        <v>0</v>
      </c>
      <c r="W608" s="3" t="str">
        <f aca="false">IF(V608&gt;='Spam Rules'!$B$3,"Likely Spam","Genuine")</f>
        <v>Genuine</v>
      </c>
      <c r="X608" s="3" t="n">
        <f aca="false">IFERROR(INDEX('Scoring Model'!$B$5:$B$11,MATCH(C608,'Scoring Model'!$A$5:$A$11,0)),0)</f>
        <v>15</v>
      </c>
      <c r="Y608" s="3" t="n">
        <f aca="false">IFERROR(INDEX('Scoring Model'!$E$5:$E$7,MATCH(F608,'Scoring Model'!$D$5:$D$7,0)),0)</f>
        <v>20</v>
      </c>
      <c r="Z608" s="3" t="n">
        <f aca="false">IFERROR(INDEX('Scoring Model'!$H$5:$H$13,MATCH(J608,'Scoring Model'!$G$5:$G$13,0)),0)</f>
        <v>15</v>
      </c>
      <c r="AA608" s="3" t="n">
        <f aca="false">IF(L608&gt;='Scoring Model'!$B$14,'Scoring Model'!$B$15,IF(L608&gt;='Scoring Model'!$B$16,'Scoring Model'!$B$17,0))</f>
        <v>0</v>
      </c>
      <c r="AB608" s="3" t="n">
        <f aca="false">IF(SUMPRODUCT(--ISNUMBER(SEARCH('Scoring Model'!$D$16:$D$25,K608)))&gt;0,'Scoring Model'!$B$18,0)</f>
        <v>15</v>
      </c>
      <c r="AC608" s="3" t="n">
        <f aca="false">IF(SUMPRODUCT(--ISNUMBER(SEARCH('Scoring Model'!$G$16:$G$23,K608)))&gt;0,'Scoring Model'!$B$19,0)</f>
        <v>0</v>
      </c>
      <c r="AD608" s="3" t="n">
        <f aca="false">IF(W608="Likely Spam","",SUM(X608:AC608))</f>
        <v>65</v>
      </c>
      <c r="AE608" s="3" t="str">
        <f aca="false">IF(W608="Likely Spam","Spam",IF(AD608&gt;='Scoring Model'!$B$21,"Hot",IF(AD608&gt;='Scoring Model'!$B$22,"Warm","Nurture")))</f>
        <v>Warm</v>
      </c>
      <c r="AF608" s="3" t="str">
        <f aca="false">IF(W608="Likely Spam","Flagged by spam rules",TRIM(IF(X608&gt;=20,"Strong source. ","")&amp;IF(Y608&gt;0,"Company email. ","")&amp;IF(Z608&gt;=15,"High-value product. ","")&amp;IF(AA608&gt;='Scoring Model'!$B$15,"High engagement. ","")&amp;IF(AB608&gt;0,"Buying intent in message. ","")&amp;IF(AC608&lt;0,"Negative intent in message. ","")))</f>
        <v>Company email. High-value product. Buying intent in message.</v>
      </c>
      <c r="AG608" s="11" t="n">
        <f aca="false">IF(W608="Likely Spam","",1/(1+EXP(-('Conversion Model'!$B$5+IFERROR(INDEX('Conversion Model'!$B$8:$B$14,MATCH(C608,'Conversion Model'!$A$8:$A$14,0)),0)+IFERROR(INDEX('Conversion Model'!$E$8:$E$9,MATCH(F608,'Conversion Model'!$D$8:$D$9,0)),0)+IFERROR(INDEX('Conversion Model'!$H$8:$H$12,MATCH(IF(LEFT(J608,8)="Payments","Payments",IF(LEFT(J608,7)="Lending","Lending",J608)),'Conversion Model'!$G$8:$G$12,0)),0)+MIN(L608,15)*'Conversion Model'!$B$17+IF(SUMPRODUCT(--ISNUMBER(SEARCH('Scoring Model'!$D$16:$D$25,K608)))&gt;0,'Conversion Model'!$B$18,0)+IF(SUMPRODUCT(--ISNUMBER(SEARCH('Scoring Model'!$G$16:$G$23,K608)))&gt;0,'Conversion Model'!$B$19,0)))))</f>
        <v>0.536683965128584</v>
      </c>
      <c r="AH608" s="3" t="n">
        <f aca="false">IF(OR(O608="Qualified",O608="Won",O608="Lost"),1,IF(O608="Unqualified",0,""))</f>
        <v>0</v>
      </c>
    </row>
    <row r="609" customFormat="false" ht="15" hidden="false" customHeight="true" outlineLevel="0" collapsed="false">
      <c r="A609" s="3" t="s">
        <v>2086</v>
      </c>
      <c r="B609" s="9" t="n">
        <v>46205.1569444445</v>
      </c>
      <c r="C609" s="3" t="s">
        <v>135</v>
      </c>
      <c r="D609" s="3" t="s">
        <v>1127</v>
      </c>
      <c r="E609" s="3" t="s">
        <v>2087</v>
      </c>
      <c r="F609" s="3" t="s">
        <v>22</v>
      </c>
      <c r="G609" s="3" t="s">
        <v>105</v>
      </c>
      <c r="H609" s="3" t="s">
        <v>106</v>
      </c>
      <c r="I609" s="3" t="s">
        <v>188</v>
      </c>
      <c r="J609" s="3" t="s">
        <v>108</v>
      </c>
      <c r="K609" s="3" t="s">
        <v>58</v>
      </c>
      <c r="L609" s="3" t="n">
        <v>4</v>
      </c>
      <c r="M609" s="3" t="n">
        <v>16</v>
      </c>
      <c r="N609" s="3" t="s">
        <v>171</v>
      </c>
      <c r="O609" s="3"/>
      <c r="P609" s="10"/>
      <c r="Q609" s="3" t="n">
        <f aca="false">IF(F609="Disposable",1,0)</f>
        <v>0</v>
      </c>
      <c r="R609" s="3" t="n">
        <f aca="false">IF(SUMPRODUCT(--ISNUMBER(SEARCH('Spam Rules'!$A$22:$A$35,K609)))&gt;0,1,0)</f>
        <v>0</v>
      </c>
      <c r="S609" s="3" t="n">
        <f aca="false">IF(AND(F609="Free",G609=""),1,0)</f>
        <v>0</v>
      </c>
      <c r="T609" s="3" t="n">
        <f aca="false">IF(LEN(TRIM(K609))&lt;15,1,0)</f>
        <v>0</v>
      </c>
      <c r="U609" s="3" t="n">
        <f aca="false">IF(COUNTIF($E$2:$E$801,E609)&gt;1,1,0)</f>
        <v>0</v>
      </c>
      <c r="V609" s="3" t="n">
        <f aca="false">Q609*'Spam Rules'!$H$6+R609*'Spam Rules'!$H$7+S609*'Spam Rules'!$H$8+T609*'Spam Rules'!$H$9+U609*'Spam Rules'!$H$10</f>
        <v>0</v>
      </c>
      <c r="W609" s="3" t="str">
        <f aca="false">IF(V609&gt;='Spam Rules'!$B$3,"Likely Spam","Genuine")</f>
        <v>Genuine</v>
      </c>
      <c r="X609" s="3" t="n">
        <f aca="false">IFERROR(INDEX('Scoring Model'!$B$5:$B$11,MATCH(C609,'Scoring Model'!$A$5:$A$11,0)),0)</f>
        <v>20</v>
      </c>
      <c r="Y609" s="3" t="n">
        <f aca="false">IFERROR(INDEX('Scoring Model'!$E$5:$E$7,MATCH(F609,'Scoring Model'!$D$5:$D$7,0)),0)</f>
        <v>20</v>
      </c>
      <c r="Z609" s="3" t="n">
        <f aca="false">IFERROR(INDEX('Scoring Model'!$H$5:$H$13,MATCH(J609,'Scoring Model'!$G$5:$G$13,0)),0)</f>
        <v>15</v>
      </c>
      <c r="AA609" s="3" t="n">
        <f aca="false">IF(L609&gt;='Scoring Model'!$B$14,'Scoring Model'!$B$15,IF(L609&gt;='Scoring Model'!$B$16,'Scoring Model'!$B$17,0))</f>
        <v>8</v>
      </c>
      <c r="AB609" s="3" t="n">
        <f aca="false">IF(SUMPRODUCT(--ISNUMBER(SEARCH('Scoring Model'!$D$16:$D$25,K609)))&gt;0,'Scoring Model'!$B$18,0)</f>
        <v>15</v>
      </c>
      <c r="AC609" s="3" t="n">
        <f aca="false">IF(SUMPRODUCT(--ISNUMBER(SEARCH('Scoring Model'!$G$16:$G$23,K609)))&gt;0,'Scoring Model'!$B$19,0)</f>
        <v>0</v>
      </c>
      <c r="AD609" s="3" t="n">
        <f aca="false">IF(W609="Likely Spam","",SUM(X609:AC609))</f>
        <v>78</v>
      </c>
      <c r="AE609" s="3" t="str">
        <f aca="false">IF(W609="Likely Spam","Spam",IF(AD609&gt;='Scoring Model'!$B$21,"Hot",IF(AD609&gt;='Scoring Model'!$B$22,"Warm","Nurture")))</f>
        <v>Hot</v>
      </c>
      <c r="AF609" s="3" t="str">
        <f aca="false">IF(W609="Likely Spam","Flagged by spam rules",TRIM(IF(X609&gt;=20,"Strong source. ","")&amp;IF(Y609&gt;0,"Company email. ","")&amp;IF(Z609&gt;=15,"High-value product. ","")&amp;IF(AA609&gt;='Scoring Model'!$B$15,"High engagement. ","")&amp;IF(AB609&gt;0,"Buying intent in message. ","")&amp;IF(AC609&lt;0,"Negative intent in message. ","")))</f>
        <v>Strong source. Company email. High-value product. Buying intent in message.</v>
      </c>
      <c r="AG609" s="11" t="n">
        <f aca="false">IF(W609="Likely Spam","",1/(1+EXP(-('Conversion Model'!$B$5+IFERROR(INDEX('Conversion Model'!$B$8:$B$14,MATCH(C609,'Conversion Model'!$A$8:$A$14,0)),0)+IFERROR(INDEX('Conversion Model'!$E$8:$E$9,MATCH(F609,'Conversion Model'!$D$8:$D$9,0)),0)+IFERROR(INDEX('Conversion Model'!$H$8:$H$12,MATCH(IF(LEFT(J609,8)="Payments","Payments",IF(LEFT(J609,7)="Lending","Lending",J609)),'Conversion Model'!$G$8:$G$12,0)),0)+MIN(L609,15)*'Conversion Model'!$B$17+IF(SUMPRODUCT(--ISNUMBER(SEARCH('Scoring Model'!$D$16:$D$25,K609)))&gt;0,'Conversion Model'!$B$18,0)+IF(SUMPRODUCT(--ISNUMBER(SEARCH('Scoring Model'!$G$16:$G$23,K609)))&gt;0,'Conversion Model'!$B$19,0)))))</f>
        <v>0.702451683352767</v>
      </c>
      <c r="AH609" s="3" t="str">
        <f aca="false">IF(OR(O609="Qualified",O609="Won",O609="Lost"),1,IF(O609="Unqualified",0,""))</f>
        <v/>
      </c>
    </row>
    <row r="610" customFormat="false" ht="15" hidden="false" customHeight="true" outlineLevel="0" collapsed="false">
      <c r="A610" s="3" t="s">
        <v>2088</v>
      </c>
      <c r="B610" s="9" t="n">
        <v>46205.1604166667</v>
      </c>
      <c r="C610" s="3" t="s">
        <v>76</v>
      </c>
      <c r="D610" s="3" t="s">
        <v>2089</v>
      </c>
      <c r="E610" s="3" t="s">
        <v>2090</v>
      </c>
      <c r="F610" s="3" t="s">
        <v>54</v>
      </c>
      <c r="G610" s="3"/>
      <c r="H610" s="3"/>
      <c r="I610" s="3" t="s">
        <v>204</v>
      </c>
      <c r="J610" s="3" t="s">
        <v>122</v>
      </c>
      <c r="K610" s="3" t="s">
        <v>239</v>
      </c>
      <c r="L610" s="3" t="n">
        <v>2</v>
      </c>
      <c r="M610" s="3" t="n">
        <v>17</v>
      </c>
      <c r="N610" s="3" t="s">
        <v>59</v>
      </c>
      <c r="O610" s="3"/>
      <c r="P610" s="10"/>
      <c r="Q610" s="3" t="n">
        <f aca="false">IF(F610="Disposable",1,0)</f>
        <v>0</v>
      </c>
      <c r="R610" s="3" t="n">
        <f aca="false">IF(SUMPRODUCT(--ISNUMBER(SEARCH('Spam Rules'!$A$22:$A$35,K610)))&gt;0,1,0)</f>
        <v>1</v>
      </c>
      <c r="S610" s="3" t="n">
        <f aca="false">IF(AND(F610="Free",G610=""),1,0)</f>
        <v>1</v>
      </c>
      <c r="T610" s="3" t="n">
        <f aca="false">IF(LEN(TRIM(K610))&lt;15,1,0)</f>
        <v>0</v>
      </c>
      <c r="U610" s="3" t="n">
        <f aca="false">IF(COUNTIF($E$2:$E$801,E610)&gt;1,1,0)</f>
        <v>0</v>
      </c>
      <c r="V610" s="3" t="n">
        <f aca="false">Q610*'Spam Rules'!$H$6+R610*'Spam Rules'!$H$7+S610*'Spam Rules'!$H$8+T610*'Spam Rules'!$H$9+U610*'Spam Rules'!$H$10</f>
        <v>1</v>
      </c>
      <c r="W610" s="3" t="str">
        <f aca="false">IF(V610&gt;='Spam Rules'!$B$3,"Likely Spam","Genuine")</f>
        <v>Likely Spam</v>
      </c>
      <c r="X610" s="3" t="n">
        <f aca="false">IFERROR(INDEX('Scoring Model'!$B$5:$B$11,MATCH(C610,'Scoring Model'!$A$5:$A$11,0)),0)</f>
        <v>0</v>
      </c>
      <c r="Y610" s="3" t="n">
        <f aca="false">IFERROR(INDEX('Scoring Model'!$E$5:$E$7,MATCH(F610,'Scoring Model'!$D$5:$D$7,0)),0)</f>
        <v>0</v>
      </c>
      <c r="Z610" s="3" t="n">
        <f aca="false">IFERROR(INDEX('Scoring Model'!$H$5:$H$13,MATCH(J610,'Scoring Model'!$G$5:$G$13,0)),0)</f>
        <v>15</v>
      </c>
      <c r="AA610" s="3" t="n">
        <f aca="false">IF(L610&gt;='Scoring Model'!$B$14,'Scoring Model'!$B$15,IF(L610&gt;='Scoring Model'!$B$16,'Scoring Model'!$B$17,0))</f>
        <v>0</v>
      </c>
      <c r="AB610" s="3" t="n">
        <f aca="false">IF(SUMPRODUCT(--ISNUMBER(SEARCH('Scoring Model'!$D$16:$D$25,K610)))&gt;0,'Scoring Model'!$B$18,0)</f>
        <v>0</v>
      </c>
      <c r="AC610" s="3" t="n">
        <f aca="false">IF(SUMPRODUCT(--ISNUMBER(SEARCH('Scoring Model'!$G$16:$G$23,K610)))&gt;0,'Scoring Model'!$B$19,0)</f>
        <v>0</v>
      </c>
      <c r="AD610" s="3" t="str">
        <f aca="false">IF(W610="Likely Spam","",SUM(X610:AC610))</f>
        <v/>
      </c>
      <c r="AE610" s="3" t="str">
        <f aca="false">IF(W610="Likely Spam","Spam",IF(AD610&gt;='Scoring Model'!$B$21,"Hot",IF(AD610&gt;='Scoring Model'!$B$22,"Warm","Nurture")))</f>
        <v>Spam</v>
      </c>
      <c r="AF610" s="3" t="str">
        <f aca="false">IF(W610="Likely Spam","Flagged by spam rules",TRIM(IF(X610&gt;=20,"Strong source. ","")&amp;IF(Y610&gt;0,"Company email. ","")&amp;IF(Z610&gt;=15,"High-value product. ","")&amp;IF(AA610&gt;='Scoring Model'!$B$15,"High engagement. ","")&amp;IF(AB610&gt;0,"Buying intent in message. ","")&amp;IF(AC610&lt;0,"Negative intent in message. ","")))</f>
        <v>Flagged by spam rules</v>
      </c>
      <c r="AG610" s="11" t="str">
        <f aca="false">IF(W610="Likely Spam","",1/(1+EXP(-('Conversion Model'!$B$5+IFERROR(INDEX('Conversion Model'!$B$8:$B$14,MATCH(C610,'Conversion Model'!$A$8:$A$14,0)),0)+IFERROR(INDEX('Conversion Model'!$E$8:$E$9,MATCH(F610,'Conversion Model'!$D$8:$D$9,0)),0)+IFERROR(INDEX('Conversion Model'!$H$8:$H$12,MATCH(IF(LEFT(J610,8)="Payments","Payments",IF(LEFT(J610,7)="Lending","Lending",J610)),'Conversion Model'!$G$8:$G$12,0)),0)+MIN(L610,15)*'Conversion Model'!$B$17+IF(SUMPRODUCT(--ISNUMBER(SEARCH('Scoring Model'!$D$16:$D$25,K610)))&gt;0,'Conversion Model'!$B$18,0)+IF(SUMPRODUCT(--ISNUMBER(SEARCH('Scoring Model'!$G$16:$G$23,K610)))&gt;0,'Conversion Model'!$B$19,0)))))</f>
        <v/>
      </c>
      <c r="AH610" s="3" t="str">
        <f aca="false">IF(OR(O610="Qualified",O610="Won",O610="Lost"),1,IF(O610="Unqualified",0,""))</f>
        <v/>
      </c>
    </row>
    <row r="611" customFormat="false" ht="15" hidden="false" customHeight="true" outlineLevel="0" collapsed="false">
      <c r="A611" s="3" t="s">
        <v>2091</v>
      </c>
      <c r="B611" s="9" t="n">
        <v>46205.4965277778</v>
      </c>
      <c r="C611" s="3" t="s">
        <v>51</v>
      </c>
      <c r="D611" s="3" t="s">
        <v>2092</v>
      </c>
      <c r="E611" s="3" t="s">
        <v>2093</v>
      </c>
      <c r="F611" s="3" t="s">
        <v>54</v>
      </c>
      <c r="G611" s="3"/>
      <c r="H611" s="3"/>
      <c r="I611" s="3" t="s">
        <v>56</v>
      </c>
      <c r="J611" s="3" t="s">
        <v>65</v>
      </c>
      <c r="K611" s="3" t="s">
        <v>66</v>
      </c>
      <c r="L611" s="3" t="n">
        <v>1</v>
      </c>
      <c r="M611" s="3" t="n">
        <v>118.1</v>
      </c>
      <c r="N611" s="3" t="s">
        <v>67</v>
      </c>
      <c r="O611" s="3"/>
      <c r="P611" s="10"/>
      <c r="Q611" s="3" t="n">
        <f aca="false">IF(F611="Disposable",1,0)</f>
        <v>0</v>
      </c>
      <c r="R611" s="3" t="n">
        <f aca="false">IF(SUMPRODUCT(--ISNUMBER(SEARCH('Spam Rules'!$A$22:$A$35,K611)))&gt;0,1,0)</f>
        <v>1</v>
      </c>
      <c r="S611" s="3" t="n">
        <f aca="false">IF(AND(F611="Free",G611=""),1,0)</f>
        <v>1</v>
      </c>
      <c r="T611" s="3" t="n">
        <f aca="false">IF(LEN(TRIM(K611))&lt;15,1,0)</f>
        <v>0</v>
      </c>
      <c r="U611" s="3" t="n">
        <f aca="false">IF(COUNTIF($E$2:$E$801,E611)&gt;1,1,0)</f>
        <v>0</v>
      </c>
      <c r="V611" s="3" t="n">
        <f aca="false">Q611*'Spam Rules'!$H$6+R611*'Spam Rules'!$H$7+S611*'Spam Rules'!$H$8+T611*'Spam Rules'!$H$9+U611*'Spam Rules'!$H$10</f>
        <v>1</v>
      </c>
      <c r="W611" s="3" t="str">
        <f aca="false">IF(V611&gt;='Spam Rules'!$B$3,"Likely Spam","Genuine")</f>
        <v>Likely Spam</v>
      </c>
      <c r="X611" s="3" t="n">
        <f aca="false">IFERROR(INDEX('Scoring Model'!$B$5:$B$11,MATCH(C611,'Scoring Model'!$A$5:$A$11,0)),0)</f>
        <v>10</v>
      </c>
      <c r="Y611" s="3" t="n">
        <f aca="false">IFERROR(INDEX('Scoring Model'!$E$5:$E$7,MATCH(F611,'Scoring Model'!$D$5:$D$7,0)),0)</f>
        <v>0</v>
      </c>
      <c r="Z611" s="3" t="n">
        <f aca="false">IFERROR(INDEX('Scoring Model'!$H$5:$H$13,MATCH(J611,'Scoring Model'!$G$5:$G$13,0)),0)</f>
        <v>0</v>
      </c>
      <c r="AA611" s="3" t="n">
        <f aca="false">IF(L611&gt;='Scoring Model'!$B$14,'Scoring Model'!$B$15,IF(L611&gt;='Scoring Model'!$B$16,'Scoring Model'!$B$17,0))</f>
        <v>0</v>
      </c>
      <c r="AB611" s="3" t="n">
        <f aca="false">IF(SUMPRODUCT(--ISNUMBER(SEARCH('Scoring Model'!$D$16:$D$25,K611)))&gt;0,'Scoring Model'!$B$18,0)</f>
        <v>0</v>
      </c>
      <c r="AC611" s="3" t="n">
        <f aca="false">IF(SUMPRODUCT(--ISNUMBER(SEARCH('Scoring Model'!$G$16:$G$23,K611)))&gt;0,'Scoring Model'!$B$19,0)</f>
        <v>0</v>
      </c>
      <c r="AD611" s="3" t="str">
        <f aca="false">IF(W611="Likely Spam","",SUM(X611:AC611))</f>
        <v/>
      </c>
      <c r="AE611" s="3" t="str">
        <f aca="false">IF(W611="Likely Spam","Spam",IF(AD611&gt;='Scoring Model'!$B$21,"Hot",IF(AD611&gt;='Scoring Model'!$B$22,"Warm","Nurture")))</f>
        <v>Spam</v>
      </c>
      <c r="AF611" s="3" t="str">
        <f aca="false">IF(W611="Likely Spam","Flagged by spam rules",TRIM(IF(X611&gt;=20,"Strong source. ","")&amp;IF(Y611&gt;0,"Company email. ","")&amp;IF(Z611&gt;=15,"High-value product. ","")&amp;IF(AA611&gt;='Scoring Model'!$B$15,"High engagement. ","")&amp;IF(AB611&gt;0,"Buying intent in message. ","")&amp;IF(AC611&lt;0,"Negative intent in message. ","")))</f>
        <v>Flagged by spam rules</v>
      </c>
      <c r="AG611" s="11" t="str">
        <f aca="false">IF(W611="Likely Spam","",1/(1+EXP(-('Conversion Model'!$B$5+IFERROR(INDEX('Conversion Model'!$B$8:$B$14,MATCH(C611,'Conversion Model'!$A$8:$A$14,0)),0)+IFERROR(INDEX('Conversion Model'!$E$8:$E$9,MATCH(F611,'Conversion Model'!$D$8:$D$9,0)),0)+IFERROR(INDEX('Conversion Model'!$H$8:$H$12,MATCH(IF(LEFT(J611,8)="Payments","Payments",IF(LEFT(J611,7)="Lending","Lending",J611)),'Conversion Model'!$G$8:$G$12,0)),0)+MIN(L611,15)*'Conversion Model'!$B$17+IF(SUMPRODUCT(--ISNUMBER(SEARCH('Scoring Model'!$D$16:$D$25,K611)))&gt;0,'Conversion Model'!$B$18,0)+IF(SUMPRODUCT(--ISNUMBER(SEARCH('Scoring Model'!$G$16:$G$23,K611)))&gt;0,'Conversion Model'!$B$19,0)))))</f>
        <v/>
      </c>
      <c r="AH611" s="3" t="str">
        <f aca="false">IF(OR(O611="Qualified",O611="Won",O611="Lost"),1,IF(O611="Unqualified",0,""))</f>
        <v/>
      </c>
    </row>
    <row r="612" customFormat="false" ht="15" hidden="false" customHeight="true" outlineLevel="0" collapsed="false">
      <c r="A612" s="3" t="s">
        <v>2094</v>
      </c>
      <c r="B612" s="9" t="n">
        <v>46205.64375</v>
      </c>
      <c r="C612" s="3" t="s">
        <v>135</v>
      </c>
      <c r="D612" s="3" t="s">
        <v>1552</v>
      </c>
      <c r="E612" s="3" t="s">
        <v>2095</v>
      </c>
      <c r="F612" s="3" t="s">
        <v>22</v>
      </c>
      <c r="G612" s="3" t="s">
        <v>264</v>
      </c>
      <c r="H612" s="3" t="s">
        <v>265</v>
      </c>
      <c r="I612" s="3" t="s">
        <v>64</v>
      </c>
      <c r="J612" s="3" t="s">
        <v>245</v>
      </c>
      <c r="K612" s="3" t="s">
        <v>2096</v>
      </c>
      <c r="L612" s="3" t="n">
        <v>12</v>
      </c>
      <c r="M612" s="3" t="n">
        <v>16.8</v>
      </c>
      <c r="N612" s="3" t="s">
        <v>67</v>
      </c>
      <c r="O612" s="3"/>
      <c r="P612" s="10"/>
      <c r="Q612" s="3" t="n">
        <f aca="false">IF(F612="Disposable",1,0)</f>
        <v>0</v>
      </c>
      <c r="R612" s="3" t="n">
        <f aca="false">IF(SUMPRODUCT(--ISNUMBER(SEARCH('Spam Rules'!$A$22:$A$35,K612)))&gt;0,1,0)</f>
        <v>0</v>
      </c>
      <c r="S612" s="3" t="n">
        <f aca="false">IF(AND(F612="Free",G612=""),1,0)</f>
        <v>0</v>
      </c>
      <c r="T612" s="3" t="n">
        <f aca="false">IF(LEN(TRIM(K612))&lt;15,1,0)</f>
        <v>0</v>
      </c>
      <c r="U612" s="3" t="n">
        <f aca="false">IF(COUNTIF($E$2:$E$801,E612)&gt;1,1,0)</f>
        <v>0</v>
      </c>
      <c r="V612" s="3" t="n">
        <f aca="false">Q612*'Spam Rules'!$H$6+R612*'Spam Rules'!$H$7+S612*'Spam Rules'!$H$8+T612*'Spam Rules'!$H$9+U612*'Spam Rules'!$H$10</f>
        <v>0</v>
      </c>
      <c r="W612" s="3" t="str">
        <f aca="false">IF(V612&gt;='Spam Rules'!$B$3,"Likely Spam","Genuine")</f>
        <v>Genuine</v>
      </c>
      <c r="X612" s="3" t="n">
        <f aca="false">IFERROR(INDEX('Scoring Model'!$B$5:$B$11,MATCH(C612,'Scoring Model'!$A$5:$A$11,0)),0)</f>
        <v>20</v>
      </c>
      <c r="Y612" s="3" t="n">
        <f aca="false">IFERROR(INDEX('Scoring Model'!$E$5:$E$7,MATCH(F612,'Scoring Model'!$D$5:$D$7,0)),0)</f>
        <v>20</v>
      </c>
      <c r="Z612" s="3" t="n">
        <f aca="false">IFERROR(INDEX('Scoring Model'!$H$5:$H$13,MATCH(J612,'Scoring Model'!$G$5:$G$13,0)),0)</f>
        <v>15</v>
      </c>
      <c r="AA612" s="3" t="n">
        <f aca="false">IF(L612&gt;='Scoring Model'!$B$14,'Scoring Model'!$B$15,IF(L612&gt;='Scoring Model'!$B$16,'Scoring Model'!$B$17,0))</f>
        <v>15</v>
      </c>
      <c r="AB612" s="3" t="n">
        <f aca="false">IF(SUMPRODUCT(--ISNUMBER(SEARCH('Scoring Model'!$D$16:$D$25,K612)))&gt;0,'Scoring Model'!$B$18,0)</f>
        <v>15</v>
      </c>
      <c r="AC612" s="3" t="n">
        <f aca="false">IF(SUMPRODUCT(--ISNUMBER(SEARCH('Scoring Model'!$G$16:$G$23,K612)))&gt;0,'Scoring Model'!$B$19,0)</f>
        <v>0</v>
      </c>
      <c r="AD612" s="3" t="n">
        <f aca="false">IF(W612="Likely Spam","",SUM(X612:AC612))</f>
        <v>85</v>
      </c>
      <c r="AE612" s="3" t="str">
        <f aca="false">IF(W612="Likely Spam","Spam",IF(AD612&gt;='Scoring Model'!$B$21,"Hot",IF(AD612&gt;='Scoring Model'!$B$22,"Warm","Nurture")))</f>
        <v>Hot</v>
      </c>
      <c r="AF612" s="3" t="str">
        <f aca="false">IF(W612="Likely Spam","Flagged by spam rules",TRIM(IF(X612&gt;=20,"Strong source. ","")&amp;IF(Y612&gt;0,"Company email. ","")&amp;IF(Z612&gt;=15,"High-value product. ","")&amp;IF(AA612&gt;='Scoring Model'!$B$15,"High engagement. ","")&amp;IF(AB612&gt;0,"Buying intent in message. ","")&amp;IF(AC612&lt;0,"Negative intent in message. ","")))</f>
        <v>Strong source. Company email. High-value product. High engagement. Buying intent in message.</v>
      </c>
      <c r="AG612" s="11" t="n">
        <f aca="false">IF(W612="Likely Spam","",1/(1+EXP(-('Conversion Model'!$B$5+IFERROR(INDEX('Conversion Model'!$B$8:$B$14,MATCH(C612,'Conversion Model'!$A$8:$A$14,0)),0)+IFERROR(INDEX('Conversion Model'!$E$8:$E$9,MATCH(F612,'Conversion Model'!$D$8:$D$9,0)),0)+IFERROR(INDEX('Conversion Model'!$H$8:$H$12,MATCH(IF(LEFT(J612,8)="Payments","Payments",IF(LEFT(J612,7)="Lending","Lending",J612)),'Conversion Model'!$G$8:$G$12,0)),0)+MIN(L612,15)*'Conversion Model'!$B$17+IF(SUMPRODUCT(--ISNUMBER(SEARCH('Scoring Model'!$D$16:$D$25,K612)))&gt;0,'Conversion Model'!$B$18,0)+IF(SUMPRODUCT(--ISNUMBER(SEARCH('Scoring Model'!$G$16:$G$23,K612)))&gt;0,'Conversion Model'!$B$19,0)))))</f>
        <v>0.999728153199489</v>
      </c>
      <c r="AH612" s="3" t="str">
        <f aca="false">IF(OR(O612="Qualified",O612="Won",O612="Lost"),1,IF(O612="Unqualified",0,""))</f>
        <v/>
      </c>
    </row>
    <row r="613" customFormat="false" ht="15" hidden="false" customHeight="true" outlineLevel="0" collapsed="false">
      <c r="A613" s="3" t="s">
        <v>2097</v>
      </c>
      <c r="B613" s="9" t="n">
        <v>46207.8055555556</v>
      </c>
      <c r="C613" s="3" t="s">
        <v>91</v>
      </c>
      <c r="D613" s="3" t="s">
        <v>1164</v>
      </c>
      <c r="E613" s="3" t="s">
        <v>2098</v>
      </c>
      <c r="F613" s="3" t="s">
        <v>22</v>
      </c>
      <c r="G613" s="3" t="s">
        <v>2099</v>
      </c>
      <c r="H613" s="3" t="s">
        <v>2100</v>
      </c>
      <c r="I613" s="3" t="s">
        <v>227</v>
      </c>
      <c r="J613" s="3" t="s">
        <v>57</v>
      </c>
      <c r="K613" s="3" t="s">
        <v>228</v>
      </c>
      <c r="L613" s="3" t="n">
        <v>3</v>
      </c>
      <c r="M613" s="3" t="n">
        <v>17</v>
      </c>
      <c r="N613" s="3" t="s">
        <v>96</v>
      </c>
      <c r="O613" s="3" t="s">
        <v>110</v>
      </c>
      <c r="P613" s="10"/>
      <c r="Q613" s="3" t="n">
        <f aca="false">IF(F613="Disposable",1,0)</f>
        <v>0</v>
      </c>
      <c r="R613" s="3" t="n">
        <f aca="false">IF(SUMPRODUCT(--ISNUMBER(SEARCH('Spam Rules'!$A$22:$A$35,K613)))&gt;0,1,0)</f>
        <v>0</v>
      </c>
      <c r="S613" s="3" t="n">
        <f aca="false">IF(AND(F613="Free",G613=""),1,0)</f>
        <v>0</v>
      </c>
      <c r="T613" s="3" t="n">
        <f aca="false">IF(LEN(TRIM(K613))&lt;15,1,0)</f>
        <v>0</v>
      </c>
      <c r="U613" s="3" t="n">
        <f aca="false">IF(COUNTIF($E$2:$E$801,E613)&gt;1,1,0)</f>
        <v>0</v>
      </c>
      <c r="V613" s="3" t="n">
        <f aca="false">Q613*'Spam Rules'!$H$6+R613*'Spam Rules'!$H$7+S613*'Spam Rules'!$H$8+T613*'Spam Rules'!$H$9+U613*'Spam Rules'!$H$10</f>
        <v>0</v>
      </c>
      <c r="W613" s="3" t="str">
        <f aca="false">IF(V613&gt;='Spam Rules'!$B$3,"Likely Spam","Genuine")</f>
        <v>Genuine</v>
      </c>
      <c r="X613" s="3" t="n">
        <f aca="false">IFERROR(INDEX('Scoring Model'!$B$5:$B$11,MATCH(C613,'Scoring Model'!$A$5:$A$11,0)),0)</f>
        <v>5</v>
      </c>
      <c r="Y613" s="3" t="n">
        <f aca="false">IFERROR(INDEX('Scoring Model'!$E$5:$E$7,MATCH(F613,'Scoring Model'!$D$5:$D$7,0)),0)</f>
        <v>20</v>
      </c>
      <c r="Z613" s="3" t="n">
        <f aca="false">IFERROR(INDEX('Scoring Model'!$H$5:$H$13,MATCH(J613,'Scoring Model'!$G$5:$G$13,0)),0)</f>
        <v>15</v>
      </c>
      <c r="AA613" s="3" t="n">
        <f aca="false">IF(L613&gt;='Scoring Model'!$B$14,'Scoring Model'!$B$15,IF(L613&gt;='Scoring Model'!$B$16,'Scoring Model'!$B$17,0))</f>
        <v>0</v>
      </c>
      <c r="AB613" s="3" t="n">
        <f aca="false">IF(SUMPRODUCT(--ISNUMBER(SEARCH('Scoring Model'!$D$16:$D$25,K613)))&gt;0,'Scoring Model'!$B$18,0)</f>
        <v>15</v>
      </c>
      <c r="AC613" s="3" t="n">
        <f aca="false">IF(SUMPRODUCT(--ISNUMBER(SEARCH('Scoring Model'!$G$16:$G$23,K613)))&gt;0,'Scoring Model'!$B$19,0)</f>
        <v>0</v>
      </c>
      <c r="AD613" s="3" t="n">
        <f aca="false">IF(W613="Likely Spam","",SUM(X613:AC613))</f>
        <v>55</v>
      </c>
      <c r="AE613" s="3" t="str">
        <f aca="false">IF(W613="Likely Spam","Spam",IF(AD613&gt;='Scoring Model'!$B$21,"Hot",IF(AD613&gt;='Scoring Model'!$B$22,"Warm","Nurture")))</f>
        <v>Warm</v>
      </c>
      <c r="AF613" s="3" t="str">
        <f aca="false">IF(W613="Likely Spam","Flagged by spam rules",TRIM(IF(X613&gt;=20,"Strong source. ","")&amp;IF(Y613&gt;0,"Company email. ","")&amp;IF(Z613&gt;=15,"High-value product. ","")&amp;IF(AA613&gt;='Scoring Model'!$B$15,"High engagement. ","")&amp;IF(AB613&gt;0,"Buying intent in message. ","")&amp;IF(AC613&lt;0,"Negative intent in message. ","")))</f>
        <v>Company email. High-value product. Buying intent in message.</v>
      </c>
      <c r="AG613" s="11" t="n">
        <f aca="false">IF(W613="Likely Spam","",1/(1+EXP(-('Conversion Model'!$B$5+IFERROR(INDEX('Conversion Model'!$B$8:$B$14,MATCH(C613,'Conversion Model'!$A$8:$A$14,0)),0)+IFERROR(INDEX('Conversion Model'!$E$8:$E$9,MATCH(F613,'Conversion Model'!$D$8:$D$9,0)),0)+IFERROR(INDEX('Conversion Model'!$H$8:$H$12,MATCH(IF(LEFT(J613,8)="Payments","Payments",IF(LEFT(J613,7)="Lending","Lending",J613)),'Conversion Model'!$G$8:$G$12,0)),0)+MIN(L613,15)*'Conversion Model'!$B$17+IF(SUMPRODUCT(--ISNUMBER(SEARCH('Scoring Model'!$D$16:$D$25,K613)))&gt;0,'Conversion Model'!$B$18,0)+IF(SUMPRODUCT(--ISNUMBER(SEARCH('Scoring Model'!$G$16:$G$23,K613)))&gt;0,'Conversion Model'!$B$19,0)))))</f>
        <v>0.24397660166495</v>
      </c>
      <c r="AH613" s="3" t="n">
        <f aca="false">IF(OR(O613="Qualified",O613="Won",O613="Lost"),1,IF(O613="Unqualified",0,""))</f>
        <v>1</v>
      </c>
    </row>
    <row r="614" customFormat="false" ht="15" hidden="false" customHeight="true" outlineLevel="0" collapsed="false">
      <c r="A614" s="3" t="s">
        <v>2101</v>
      </c>
      <c r="B614" s="9" t="n">
        <v>46207.9791666667</v>
      </c>
      <c r="C614" s="3" t="s">
        <v>91</v>
      </c>
      <c r="D614" s="3" t="s">
        <v>248</v>
      </c>
      <c r="E614" s="3" t="s">
        <v>2102</v>
      </c>
      <c r="F614" s="3" t="s">
        <v>54</v>
      </c>
      <c r="G614" s="3"/>
      <c r="H614" s="3"/>
      <c r="I614" s="3" t="s">
        <v>260</v>
      </c>
      <c r="J614" s="3" t="s">
        <v>81</v>
      </c>
      <c r="K614" s="3" t="s">
        <v>74</v>
      </c>
      <c r="L614" s="3" t="n">
        <v>4</v>
      </c>
      <c r="M614" s="3" t="n">
        <v>9</v>
      </c>
      <c r="N614" s="3" t="s">
        <v>59</v>
      </c>
      <c r="O614" s="3" t="s">
        <v>194</v>
      </c>
      <c r="P614" s="10"/>
      <c r="Q614" s="3" t="n">
        <f aca="false">IF(F614="Disposable",1,0)</f>
        <v>0</v>
      </c>
      <c r="R614" s="3" t="n">
        <f aca="false">IF(SUMPRODUCT(--ISNUMBER(SEARCH('Spam Rules'!$A$22:$A$35,K614)))&gt;0,1,0)</f>
        <v>0</v>
      </c>
      <c r="S614" s="3" t="n">
        <f aca="false">IF(AND(F614="Free",G614=""),1,0)</f>
        <v>1</v>
      </c>
      <c r="T614" s="3" t="n">
        <f aca="false">IF(LEN(TRIM(K614))&lt;15,1,0)</f>
        <v>0</v>
      </c>
      <c r="U614" s="3" t="n">
        <f aca="false">IF(COUNTIF($E$2:$E$801,E614)&gt;1,1,0)</f>
        <v>0</v>
      </c>
      <c r="V614" s="3" t="n">
        <f aca="false">Q614*'Spam Rules'!$H$6+R614*'Spam Rules'!$H$7+S614*'Spam Rules'!$H$8+T614*'Spam Rules'!$H$9+U614*'Spam Rules'!$H$10</f>
        <v>0</v>
      </c>
      <c r="W614" s="3" t="str">
        <f aca="false">IF(V614&gt;='Spam Rules'!$B$3,"Likely Spam","Genuine")</f>
        <v>Genuine</v>
      </c>
      <c r="X614" s="3" t="n">
        <f aca="false">IFERROR(INDEX('Scoring Model'!$B$5:$B$11,MATCH(C614,'Scoring Model'!$A$5:$A$11,0)),0)</f>
        <v>5</v>
      </c>
      <c r="Y614" s="3" t="n">
        <f aca="false">IFERROR(INDEX('Scoring Model'!$E$5:$E$7,MATCH(F614,'Scoring Model'!$D$5:$D$7,0)),0)</f>
        <v>0</v>
      </c>
      <c r="Z614" s="3" t="n">
        <f aca="false">IFERROR(INDEX('Scoring Model'!$H$5:$H$13,MATCH(J614,'Scoring Model'!$G$5:$G$13,0)),0)</f>
        <v>5</v>
      </c>
      <c r="AA614" s="3" t="n">
        <f aca="false">IF(L614&gt;='Scoring Model'!$B$14,'Scoring Model'!$B$15,IF(L614&gt;='Scoring Model'!$B$16,'Scoring Model'!$B$17,0))</f>
        <v>8</v>
      </c>
      <c r="AB614" s="3" t="n">
        <f aca="false">IF(SUMPRODUCT(--ISNUMBER(SEARCH('Scoring Model'!$D$16:$D$25,K614)))&gt;0,'Scoring Model'!$B$18,0)</f>
        <v>0</v>
      </c>
      <c r="AC614" s="3" t="n">
        <f aca="false">IF(SUMPRODUCT(--ISNUMBER(SEARCH('Scoring Model'!$G$16:$G$23,K614)))&gt;0,'Scoring Model'!$B$19,0)</f>
        <v>-30</v>
      </c>
      <c r="AD614" s="3" t="n">
        <f aca="false">IF(W614="Likely Spam","",SUM(X614:AC614))</f>
        <v>-12</v>
      </c>
      <c r="AE614" s="3" t="str">
        <f aca="false">IF(W614="Likely Spam","Spam",IF(AD614&gt;='Scoring Model'!$B$21,"Hot",IF(AD614&gt;='Scoring Model'!$B$22,"Warm","Nurture")))</f>
        <v>Nurture</v>
      </c>
      <c r="AF614" s="3" t="str">
        <f aca="false">IF(W614="Likely Spam","Flagged by spam rules",TRIM(IF(X614&gt;=20,"Strong source. ","")&amp;IF(Y614&gt;0,"Company email. ","")&amp;IF(Z614&gt;=15,"High-value product. ","")&amp;IF(AA614&gt;='Scoring Model'!$B$15,"High engagement. ","")&amp;IF(AB614&gt;0,"Buying intent in message. ","")&amp;IF(AC614&lt;0,"Negative intent in message. ","")))</f>
        <v>Negative intent in message.</v>
      </c>
      <c r="AG614" s="11" t="n">
        <f aca="false">IF(W614="Likely Spam","",1/(1+EXP(-('Conversion Model'!$B$5+IFERROR(INDEX('Conversion Model'!$B$8:$B$14,MATCH(C614,'Conversion Model'!$A$8:$A$14,0)),0)+IFERROR(INDEX('Conversion Model'!$E$8:$E$9,MATCH(F614,'Conversion Model'!$D$8:$D$9,0)),0)+IFERROR(INDEX('Conversion Model'!$H$8:$H$12,MATCH(IF(LEFT(J614,8)="Payments","Payments",IF(LEFT(J614,7)="Lending","Lending",J614)),'Conversion Model'!$G$8:$G$12,0)),0)+MIN(L614,15)*'Conversion Model'!$B$17+IF(SUMPRODUCT(--ISNUMBER(SEARCH('Scoring Model'!$D$16:$D$25,K614)))&gt;0,'Conversion Model'!$B$18,0)+IF(SUMPRODUCT(--ISNUMBER(SEARCH('Scoring Model'!$G$16:$G$23,K614)))&gt;0,'Conversion Model'!$B$19,0)))))</f>
        <v>0.00602976034533119</v>
      </c>
      <c r="AH614" s="3" t="n">
        <f aca="false">IF(OR(O614="Qualified",O614="Won",O614="Lost"),1,IF(O614="Unqualified",0,""))</f>
        <v>0</v>
      </c>
    </row>
    <row r="615" customFormat="false" ht="15" hidden="false" customHeight="true" outlineLevel="0" collapsed="false">
      <c r="A615" s="3" t="s">
        <v>2103</v>
      </c>
      <c r="B615" s="9" t="n">
        <v>46208.7972222222</v>
      </c>
      <c r="C615" s="3" t="s">
        <v>135</v>
      </c>
      <c r="D615" s="3" t="s">
        <v>2104</v>
      </c>
      <c r="E615" s="3" t="s">
        <v>2105</v>
      </c>
      <c r="F615" s="3" t="s">
        <v>22</v>
      </c>
      <c r="G615" s="3" t="s">
        <v>2106</v>
      </c>
      <c r="H615" s="3" t="s">
        <v>2107</v>
      </c>
      <c r="I615" s="3" t="s">
        <v>64</v>
      </c>
      <c r="J615" s="3" t="s">
        <v>145</v>
      </c>
      <c r="K615" s="3" t="s">
        <v>378</v>
      </c>
      <c r="L615" s="3" t="n">
        <v>2</v>
      </c>
      <c r="M615" s="3" t="n">
        <v>2</v>
      </c>
      <c r="N615" s="3" t="s">
        <v>171</v>
      </c>
      <c r="O615" s="3" t="s">
        <v>194</v>
      </c>
      <c r="P615" s="10"/>
      <c r="Q615" s="3" t="n">
        <f aca="false">IF(F615="Disposable",1,0)</f>
        <v>0</v>
      </c>
      <c r="R615" s="3" t="n">
        <f aca="false">IF(SUMPRODUCT(--ISNUMBER(SEARCH('Spam Rules'!$A$22:$A$35,K615)))&gt;0,1,0)</f>
        <v>0</v>
      </c>
      <c r="S615" s="3" t="n">
        <f aca="false">IF(AND(F615="Free",G615=""),1,0)</f>
        <v>0</v>
      </c>
      <c r="T615" s="3" t="n">
        <f aca="false">IF(LEN(TRIM(K615))&lt;15,1,0)</f>
        <v>0</v>
      </c>
      <c r="U615" s="3" t="n">
        <f aca="false">IF(COUNTIF($E$2:$E$801,E615)&gt;1,1,0)</f>
        <v>0</v>
      </c>
      <c r="V615" s="3" t="n">
        <f aca="false">Q615*'Spam Rules'!$H$6+R615*'Spam Rules'!$H$7+S615*'Spam Rules'!$H$8+T615*'Spam Rules'!$H$9+U615*'Spam Rules'!$H$10</f>
        <v>0</v>
      </c>
      <c r="W615" s="3" t="str">
        <f aca="false">IF(V615&gt;='Spam Rules'!$B$3,"Likely Spam","Genuine")</f>
        <v>Genuine</v>
      </c>
      <c r="X615" s="3" t="n">
        <f aca="false">IFERROR(INDEX('Scoring Model'!$B$5:$B$11,MATCH(C615,'Scoring Model'!$A$5:$A$11,0)),0)</f>
        <v>20</v>
      </c>
      <c r="Y615" s="3" t="n">
        <f aca="false">IFERROR(INDEX('Scoring Model'!$E$5:$E$7,MATCH(F615,'Scoring Model'!$D$5:$D$7,0)),0)</f>
        <v>20</v>
      </c>
      <c r="Z615" s="3" t="n">
        <f aca="false">IFERROR(INDEX('Scoring Model'!$H$5:$H$13,MATCH(J615,'Scoring Model'!$G$5:$G$13,0)),0)</f>
        <v>5</v>
      </c>
      <c r="AA615" s="3" t="n">
        <f aca="false">IF(L615&gt;='Scoring Model'!$B$14,'Scoring Model'!$B$15,IF(L615&gt;='Scoring Model'!$B$16,'Scoring Model'!$B$17,0))</f>
        <v>0</v>
      </c>
      <c r="AB615" s="3" t="n">
        <f aca="false">IF(SUMPRODUCT(--ISNUMBER(SEARCH('Scoring Model'!$D$16:$D$25,K615)))&gt;0,'Scoring Model'!$B$18,0)</f>
        <v>0</v>
      </c>
      <c r="AC615" s="3" t="n">
        <f aca="false">IF(SUMPRODUCT(--ISNUMBER(SEARCH('Scoring Model'!$G$16:$G$23,K615)))&gt;0,'Scoring Model'!$B$19,0)</f>
        <v>-30</v>
      </c>
      <c r="AD615" s="3" t="n">
        <f aca="false">IF(W615="Likely Spam","",SUM(X615:AC615))</f>
        <v>15</v>
      </c>
      <c r="AE615" s="3" t="str">
        <f aca="false">IF(W615="Likely Spam","Spam",IF(AD615&gt;='Scoring Model'!$B$21,"Hot",IF(AD615&gt;='Scoring Model'!$B$22,"Warm","Nurture")))</f>
        <v>Nurture</v>
      </c>
      <c r="AF615" s="3" t="str">
        <f aca="false">IF(W615="Likely Spam","Flagged by spam rules",TRIM(IF(X615&gt;=20,"Strong source. ","")&amp;IF(Y615&gt;0,"Company email. ","")&amp;IF(Z615&gt;=15,"High-value product. ","")&amp;IF(AA615&gt;='Scoring Model'!$B$15,"High engagement. ","")&amp;IF(AB615&gt;0,"Buying intent in message. ","")&amp;IF(AC615&lt;0,"Negative intent in message. ","")))</f>
        <v>Strong source. Company email. Negative intent in message.</v>
      </c>
      <c r="AG615" s="11" t="n">
        <f aca="false">IF(W615="Likely Spam","",1/(1+EXP(-('Conversion Model'!$B$5+IFERROR(INDEX('Conversion Model'!$B$8:$B$14,MATCH(C615,'Conversion Model'!$A$8:$A$14,0)),0)+IFERROR(INDEX('Conversion Model'!$E$8:$E$9,MATCH(F615,'Conversion Model'!$D$8:$D$9,0)),0)+IFERROR(INDEX('Conversion Model'!$H$8:$H$12,MATCH(IF(LEFT(J615,8)="Payments","Payments",IF(LEFT(J615,7)="Lending","Lending",J615)),'Conversion Model'!$G$8:$G$12,0)),0)+MIN(L615,15)*'Conversion Model'!$B$17+IF(SUMPRODUCT(--ISNUMBER(SEARCH('Scoring Model'!$D$16:$D$25,K615)))&gt;0,'Conversion Model'!$B$18,0)+IF(SUMPRODUCT(--ISNUMBER(SEARCH('Scoring Model'!$G$16:$G$23,K615)))&gt;0,'Conversion Model'!$B$19,0)))))</f>
        <v>0.016447459997763</v>
      </c>
      <c r="AH615" s="3" t="n">
        <f aca="false">IF(OR(O615="Qualified",O615="Won",O615="Lost"),1,IF(O615="Unqualified",0,""))</f>
        <v>0</v>
      </c>
    </row>
    <row r="616" customFormat="false" ht="15" hidden="false" customHeight="true" outlineLevel="0" collapsed="false">
      <c r="A616" s="3" t="s">
        <v>2108</v>
      </c>
      <c r="B616" s="9" t="n">
        <v>46210.5729166667</v>
      </c>
      <c r="C616" s="3" t="s">
        <v>51</v>
      </c>
      <c r="D616" s="3" t="s">
        <v>2109</v>
      </c>
      <c r="E616" s="3" t="s">
        <v>362</v>
      </c>
      <c r="F616" s="3" t="s">
        <v>54</v>
      </c>
      <c r="G616" s="3" t="s">
        <v>79</v>
      </c>
      <c r="H616" s="3"/>
      <c r="I616" s="3" t="s">
        <v>116</v>
      </c>
      <c r="J616" s="3" t="s">
        <v>65</v>
      </c>
      <c r="K616" s="3" t="s">
        <v>363</v>
      </c>
      <c r="L616" s="3" t="n">
        <v>1</v>
      </c>
      <c r="M616" s="3"/>
      <c r="N616" s="3" t="s">
        <v>96</v>
      </c>
      <c r="O616" s="3" t="s">
        <v>68</v>
      </c>
      <c r="P616" s="10"/>
      <c r="Q616" s="3" t="n">
        <f aca="false">IF(F616="Disposable",1,0)</f>
        <v>0</v>
      </c>
      <c r="R616" s="3" t="n">
        <f aca="false">IF(SUMPRODUCT(--ISNUMBER(SEARCH('Spam Rules'!$A$22:$A$35,K616)))&gt;0,1,0)</f>
        <v>1</v>
      </c>
      <c r="S616" s="3" t="n">
        <f aca="false">IF(AND(F616="Free",G616=""),1,0)</f>
        <v>0</v>
      </c>
      <c r="T616" s="3" t="n">
        <f aca="false">IF(LEN(TRIM(K616))&lt;15,1,0)</f>
        <v>0</v>
      </c>
      <c r="U616" s="3" t="n">
        <f aca="false">IF(COUNTIF($E$2:$E$801,E616)&gt;1,1,0)</f>
        <v>1</v>
      </c>
      <c r="V616" s="3" t="n">
        <f aca="false">Q616*'Spam Rules'!$H$6+R616*'Spam Rules'!$H$7+S616*'Spam Rules'!$H$8+T616*'Spam Rules'!$H$9+U616*'Spam Rules'!$H$10</f>
        <v>1</v>
      </c>
      <c r="W616" s="3" t="str">
        <f aca="false">IF(V616&gt;='Spam Rules'!$B$3,"Likely Spam","Genuine")</f>
        <v>Likely Spam</v>
      </c>
      <c r="X616" s="3" t="n">
        <f aca="false">IFERROR(INDEX('Scoring Model'!$B$5:$B$11,MATCH(C616,'Scoring Model'!$A$5:$A$11,0)),0)</f>
        <v>10</v>
      </c>
      <c r="Y616" s="3" t="n">
        <f aca="false">IFERROR(INDEX('Scoring Model'!$E$5:$E$7,MATCH(F616,'Scoring Model'!$D$5:$D$7,0)),0)</f>
        <v>0</v>
      </c>
      <c r="Z616" s="3" t="n">
        <f aca="false">IFERROR(INDEX('Scoring Model'!$H$5:$H$13,MATCH(J616,'Scoring Model'!$G$5:$G$13,0)),0)</f>
        <v>0</v>
      </c>
      <c r="AA616" s="3" t="n">
        <f aca="false">IF(L616&gt;='Scoring Model'!$B$14,'Scoring Model'!$B$15,IF(L616&gt;='Scoring Model'!$B$16,'Scoring Model'!$B$17,0))</f>
        <v>0</v>
      </c>
      <c r="AB616" s="3" t="n">
        <f aca="false">IF(SUMPRODUCT(--ISNUMBER(SEARCH('Scoring Model'!$D$16:$D$25,K616)))&gt;0,'Scoring Model'!$B$18,0)</f>
        <v>0</v>
      </c>
      <c r="AC616" s="3" t="n">
        <f aca="false">IF(SUMPRODUCT(--ISNUMBER(SEARCH('Scoring Model'!$G$16:$G$23,K616)))&gt;0,'Scoring Model'!$B$19,0)</f>
        <v>0</v>
      </c>
      <c r="AD616" s="3" t="str">
        <f aca="false">IF(W616="Likely Spam","",SUM(X616:AC616))</f>
        <v/>
      </c>
      <c r="AE616" s="3" t="str">
        <f aca="false">IF(W616="Likely Spam","Spam",IF(AD616&gt;='Scoring Model'!$B$21,"Hot",IF(AD616&gt;='Scoring Model'!$B$22,"Warm","Nurture")))</f>
        <v>Spam</v>
      </c>
      <c r="AF616" s="3" t="str">
        <f aca="false">IF(W616="Likely Spam","Flagged by spam rules",TRIM(IF(X616&gt;=20,"Strong source. ","")&amp;IF(Y616&gt;0,"Company email. ","")&amp;IF(Z616&gt;=15,"High-value product. ","")&amp;IF(AA616&gt;='Scoring Model'!$B$15,"High engagement. ","")&amp;IF(AB616&gt;0,"Buying intent in message. ","")&amp;IF(AC616&lt;0,"Negative intent in message. ","")))</f>
        <v>Flagged by spam rules</v>
      </c>
      <c r="AG616" s="11" t="str">
        <f aca="false">IF(W616="Likely Spam","",1/(1+EXP(-('Conversion Model'!$B$5+IFERROR(INDEX('Conversion Model'!$B$8:$B$14,MATCH(C616,'Conversion Model'!$A$8:$A$14,0)),0)+IFERROR(INDEX('Conversion Model'!$E$8:$E$9,MATCH(F616,'Conversion Model'!$D$8:$D$9,0)),0)+IFERROR(INDEX('Conversion Model'!$H$8:$H$12,MATCH(IF(LEFT(J616,8)="Payments","Payments",IF(LEFT(J616,7)="Lending","Lending",J616)),'Conversion Model'!$G$8:$G$12,0)),0)+MIN(L616,15)*'Conversion Model'!$B$17+IF(SUMPRODUCT(--ISNUMBER(SEARCH('Scoring Model'!$D$16:$D$25,K616)))&gt;0,'Conversion Model'!$B$18,0)+IF(SUMPRODUCT(--ISNUMBER(SEARCH('Scoring Model'!$G$16:$G$23,K616)))&gt;0,'Conversion Model'!$B$19,0)))))</f>
        <v/>
      </c>
      <c r="AH616" s="3" t="str">
        <f aca="false">IF(OR(O616="Qualified",O616="Won",O616="Lost"),1,IF(O616="Unqualified",0,""))</f>
        <v/>
      </c>
    </row>
    <row r="617" customFormat="false" ht="15" hidden="false" customHeight="true" outlineLevel="0" collapsed="false">
      <c r="A617" s="3" t="s">
        <v>2110</v>
      </c>
      <c r="B617" s="9" t="n">
        <v>46210.8305555556</v>
      </c>
      <c r="C617" s="3" t="s">
        <v>160</v>
      </c>
      <c r="D617" s="3" t="s">
        <v>2111</v>
      </c>
      <c r="E617" s="3" t="s">
        <v>2112</v>
      </c>
      <c r="F617" s="3" t="s">
        <v>54</v>
      </c>
      <c r="G617" s="3" t="s">
        <v>2113</v>
      </c>
      <c r="H617" s="3"/>
      <c r="I617" s="3" t="s">
        <v>334</v>
      </c>
      <c r="J617" s="3" t="s">
        <v>122</v>
      </c>
      <c r="K617" s="3" t="s">
        <v>183</v>
      </c>
      <c r="L617" s="3" t="n">
        <v>6</v>
      </c>
      <c r="M617" s="3" t="n">
        <v>36.8</v>
      </c>
      <c r="N617" s="3" t="s">
        <v>96</v>
      </c>
      <c r="O617" s="3" t="s">
        <v>194</v>
      </c>
      <c r="P617" s="10"/>
      <c r="Q617" s="3" t="n">
        <f aca="false">IF(F617="Disposable",1,0)</f>
        <v>0</v>
      </c>
      <c r="R617" s="3" t="n">
        <f aca="false">IF(SUMPRODUCT(--ISNUMBER(SEARCH('Spam Rules'!$A$22:$A$35,K617)))&gt;0,1,0)</f>
        <v>0</v>
      </c>
      <c r="S617" s="3" t="n">
        <f aca="false">IF(AND(F617="Free",G617=""),1,0)</f>
        <v>0</v>
      </c>
      <c r="T617" s="3" t="n">
        <f aca="false">IF(LEN(TRIM(K617))&lt;15,1,0)</f>
        <v>0</v>
      </c>
      <c r="U617" s="3" t="n">
        <f aca="false">IF(COUNTIF($E$2:$E$801,E617)&gt;1,1,0)</f>
        <v>0</v>
      </c>
      <c r="V617" s="3" t="n">
        <f aca="false">Q617*'Spam Rules'!$H$6+R617*'Spam Rules'!$H$7+S617*'Spam Rules'!$H$8+T617*'Spam Rules'!$H$9+U617*'Spam Rules'!$H$10</f>
        <v>0</v>
      </c>
      <c r="W617" s="3" t="str">
        <f aca="false">IF(V617&gt;='Spam Rules'!$B$3,"Likely Spam","Genuine")</f>
        <v>Genuine</v>
      </c>
      <c r="X617" s="3" t="n">
        <f aca="false">IFERROR(INDEX('Scoring Model'!$B$5:$B$11,MATCH(C617,'Scoring Model'!$A$5:$A$11,0)),0)</f>
        <v>25</v>
      </c>
      <c r="Y617" s="3" t="n">
        <f aca="false">IFERROR(INDEX('Scoring Model'!$E$5:$E$7,MATCH(F617,'Scoring Model'!$D$5:$D$7,0)),0)</f>
        <v>0</v>
      </c>
      <c r="Z617" s="3" t="n">
        <f aca="false">IFERROR(INDEX('Scoring Model'!$H$5:$H$13,MATCH(J617,'Scoring Model'!$G$5:$G$13,0)),0)</f>
        <v>15</v>
      </c>
      <c r="AA617" s="3" t="n">
        <f aca="false">IF(L617&gt;='Scoring Model'!$B$14,'Scoring Model'!$B$15,IF(L617&gt;='Scoring Model'!$B$16,'Scoring Model'!$B$17,0))</f>
        <v>8</v>
      </c>
      <c r="AB617" s="3" t="n">
        <f aca="false">IF(SUMPRODUCT(--ISNUMBER(SEARCH('Scoring Model'!$D$16:$D$25,K617)))&gt;0,'Scoring Model'!$B$18,0)</f>
        <v>15</v>
      </c>
      <c r="AC617" s="3" t="n">
        <f aca="false">IF(SUMPRODUCT(--ISNUMBER(SEARCH('Scoring Model'!$G$16:$G$23,K617)))&gt;0,'Scoring Model'!$B$19,0)</f>
        <v>0</v>
      </c>
      <c r="AD617" s="3" t="n">
        <f aca="false">IF(W617="Likely Spam","",SUM(X617:AC617))</f>
        <v>63</v>
      </c>
      <c r="AE617" s="3" t="str">
        <f aca="false">IF(W617="Likely Spam","Spam",IF(AD617&gt;='Scoring Model'!$B$21,"Hot",IF(AD617&gt;='Scoring Model'!$B$22,"Warm","Nurture")))</f>
        <v>Warm</v>
      </c>
      <c r="AF617" s="3" t="str">
        <f aca="false">IF(W617="Likely Spam","Flagged by spam rules",TRIM(IF(X617&gt;=20,"Strong source. ","")&amp;IF(Y617&gt;0,"Company email. ","")&amp;IF(Z617&gt;=15,"High-value product. ","")&amp;IF(AA617&gt;='Scoring Model'!$B$15,"High engagement. ","")&amp;IF(AB617&gt;0,"Buying intent in message. ","")&amp;IF(AC617&lt;0,"Negative intent in message. ","")))</f>
        <v>Strong source. High-value product. Buying intent in message.</v>
      </c>
      <c r="AG617" s="11" t="n">
        <f aca="false">IF(W617="Likely Spam","",1/(1+EXP(-('Conversion Model'!$B$5+IFERROR(INDEX('Conversion Model'!$B$8:$B$14,MATCH(C617,'Conversion Model'!$A$8:$A$14,0)),0)+IFERROR(INDEX('Conversion Model'!$E$8:$E$9,MATCH(F617,'Conversion Model'!$D$8:$D$9,0)),0)+IFERROR(INDEX('Conversion Model'!$H$8:$H$12,MATCH(IF(LEFT(J617,8)="Payments","Payments",IF(LEFT(J617,7)="Lending","Lending",J617)),'Conversion Model'!$G$8:$G$12,0)),0)+MIN(L617,15)*'Conversion Model'!$B$17+IF(SUMPRODUCT(--ISNUMBER(SEARCH('Scoring Model'!$D$16:$D$25,K617)))&gt;0,'Conversion Model'!$B$18,0)+IF(SUMPRODUCT(--ISNUMBER(SEARCH('Scoring Model'!$G$16:$G$23,K617)))&gt;0,'Conversion Model'!$B$19,0)))))</f>
        <v>0.772591062754923</v>
      </c>
      <c r="AH617" s="3" t="n">
        <f aca="false">IF(OR(O617="Qualified",O617="Won",O617="Lost"),1,IF(O617="Unqualified",0,""))</f>
        <v>0</v>
      </c>
    </row>
    <row r="618" customFormat="false" ht="15" hidden="false" customHeight="true" outlineLevel="0" collapsed="false">
      <c r="A618" s="3" t="s">
        <v>2114</v>
      </c>
      <c r="B618" s="9" t="n">
        <v>46210.9305555556</v>
      </c>
      <c r="C618" s="3" t="s">
        <v>128</v>
      </c>
      <c r="D618" s="3" t="s">
        <v>2115</v>
      </c>
      <c r="E618" s="3" t="s">
        <v>2116</v>
      </c>
      <c r="F618" s="3" t="s">
        <v>54</v>
      </c>
      <c r="G618" s="3" t="s">
        <v>316</v>
      </c>
      <c r="H618" s="3"/>
      <c r="I618" s="3" t="s">
        <v>107</v>
      </c>
      <c r="J618" s="3" t="s">
        <v>108</v>
      </c>
      <c r="K618" s="3" t="s">
        <v>58</v>
      </c>
      <c r="L618" s="3" t="n">
        <v>10</v>
      </c>
      <c r="M618" s="3" t="n">
        <v>5</v>
      </c>
      <c r="N618" s="3" t="s">
        <v>67</v>
      </c>
      <c r="O618" s="3" t="s">
        <v>110</v>
      </c>
      <c r="P618" s="10"/>
      <c r="Q618" s="3" t="n">
        <f aca="false">IF(F618="Disposable",1,0)</f>
        <v>0</v>
      </c>
      <c r="R618" s="3" t="n">
        <f aca="false">IF(SUMPRODUCT(--ISNUMBER(SEARCH('Spam Rules'!$A$22:$A$35,K618)))&gt;0,1,0)</f>
        <v>0</v>
      </c>
      <c r="S618" s="3" t="n">
        <f aca="false">IF(AND(F618="Free",G618=""),1,0)</f>
        <v>0</v>
      </c>
      <c r="T618" s="3" t="n">
        <f aca="false">IF(LEN(TRIM(K618))&lt;15,1,0)</f>
        <v>0</v>
      </c>
      <c r="U618" s="3" t="n">
        <f aca="false">IF(COUNTIF($E$2:$E$801,E618)&gt;1,1,0)</f>
        <v>0</v>
      </c>
      <c r="V618" s="3" t="n">
        <f aca="false">Q618*'Spam Rules'!$H$6+R618*'Spam Rules'!$H$7+S618*'Spam Rules'!$H$8+T618*'Spam Rules'!$H$9+U618*'Spam Rules'!$H$10</f>
        <v>0</v>
      </c>
      <c r="W618" s="3" t="str">
        <f aca="false">IF(V618&gt;='Spam Rules'!$B$3,"Likely Spam","Genuine")</f>
        <v>Genuine</v>
      </c>
      <c r="X618" s="3" t="n">
        <f aca="false">IFERROR(INDEX('Scoring Model'!$B$5:$B$11,MATCH(C618,'Scoring Model'!$A$5:$A$11,0)),0)</f>
        <v>30</v>
      </c>
      <c r="Y618" s="3" t="n">
        <f aca="false">IFERROR(INDEX('Scoring Model'!$E$5:$E$7,MATCH(F618,'Scoring Model'!$D$5:$D$7,0)),0)</f>
        <v>0</v>
      </c>
      <c r="Z618" s="3" t="n">
        <f aca="false">IFERROR(INDEX('Scoring Model'!$H$5:$H$13,MATCH(J618,'Scoring Model'!$G$5:$G$13,0)),0)</f>
        <v>15</v>
      </c>
      <c r="AA618" s="3" t="n">
        <f aca="false">IF(L618&gt;='Scoring Model'!$B$14,'Scoring Model'!$B$15,IF(L618&gt;='Scoring Model'!$B$16,'Scoring Model'!$B$17,0))</f>
        <v>15</v>
      </c>
      <c r="AB618" s="3" t="n">
        <f aca="false">IF(SUMPRODUCT(--ISNUMBER(SEARCH('Scoring Model'!$D$16:$D$25,K618)))&gt;0,'Scoring Model'!$B$18,0)</f>
        <v>15</v>
      </c>
      <c r="AC618" s="3" t="n">
        <f aca="false">IF(SUMPRODUCT(--ISNUMBER(SEARCH('Scoring Model'!$G$16:$G$23,K618)))&gt;0,'Scoring Model'!$B$19,0)</f>
        <v>0</v>
      </c>
      <c r="AD618" s="3" t="n">
        <f aca="false">IF(W618="Likely Spam","",SUM(X618:AC618))</f>
        <v>75</v>
      </c>
      <c r="AE618" s="3" t="str">
        <f aca="false">IF(W618="Likely Spam","Spam",IF(AD618&gt;='Scoring Model'!$B$21,"Hot",IF(AD618&gt;='Scoring Model'!$B$22,"Warm","Nurture")))</f>
        <v>Hot</v>
      </c>
      <c r="AF618" s="3" t="str">
        <f aca="false">IF(W618="Likely Spam","Flagged by spam rules",TRIM(IF(X618&gt;=20,"Strong source. ","")&amp;IF(Y618&gt;0,"Company email. ","")&amp;IF(Z618&gt;=15,"High-value product. ","")&amp;IF(AA618&gt;='Scoring Model'!$B$15,"High engagement. ","")&amp;IF(AB618&gt;0,"Buying intent in message. ","")&amp;IF(AC618&lt;0,"Negative intent in message. ","")))</f>
        <v>Strong source. High-value product. High engagement. Buying intent in message.</v>
      </c>
      <c r="AG618" s="11" t="n">
        <f aca="false">IF(W618="Likely Spam","",1/(1+EXP(-('Conversion Model'!$B$5+IFERROR(INDEX('Conversion Model'!$B$8:$B$14,MATCH(C618,'Conversion Model'!$A$8:$A$14,0)),0)+IFERROR(INDEX('Conversion Model'!$E$8:$E$9,MATCH(F618,'Conversion Model'!$D$8:$D$9,0)),0)+IFERROR(INDEX('Conversion Model'!$H$8:$H$12,MATCH(IF(LEFT(J618,8)="Payments","Payments",IF(LEFT(J618,7)="Lending","Lending",J618)),'Conversion Model'!$G$8:$G$12,0)),0)+MIN(L618,15)*'Conversion Model'!$B$17+IF(SUMPRODUCT(--ISNUMBER(SEARCH('Scoring Model'!$D$16:$D$25,K618)))&gt;0,'Conversion Model'!$B$18,0)+IF(SUMPRODUCT(--ISNUMBER(SEARCH('Scoring Model'!$G$16:$G$23,K618)))&gt;0,'Conversion Model'!$B$19,0)))))</f>
        <v>0.994000132772516</v>
      </c>
      <c r="AH618" s="3" t="n">
        <f aca="false">IF(OR(O618="Qualified",O618="Won",O618="Lost"),1,IF(O618="Unqualified",0,""))</f>
        <v>1</v>
      </c>
    </row>
    <row r="619" customFormat="false" ht="15" hidden="false" customHeight="true" outlineLevel="0" collapsed="false">
      <c r="A619" s="3" t="s">
        <v>2117</v>
      </c>
      <c r="B619" s="9" t="n">
        <v>46212.8618055556</v>
      </c>
      <c r="C619" s="3" t="s">
        <v>160</v>
      </c>
      <c r="D619" s="3" t="s">
        <v>1732</v>
      </c>
      <c r="E619" s="3" t="s">
        <v>2118</v>
      </c>
      <c r="F619" s="3" t="s">
        <v>22</v>
      </c>
      <c r="G619" s="3" t="s">
        <v>1611</v>
      </c>
      <c r="H619" s="3" t="s">
        <v>1677</v>
      </c>
      <c r="I619" s="3" t="s">
        <v>56</v>
      </c>
      <c r="J619" s="3" t="s">
        <v>245</v>
      </c>
      <c r="K619" s="3" t="s">
        <v>2119</v>
      </c>
      <c r="L619" s="3" t="n">
        <v>8</v>
      </c>
      <c r="M619" s="3" t="n">
        <v>5.5</v>
      </c>
      <c r="N619" s="3" t="s">
        <v>96</v>
      </c>
      <c r="O619" s="3" t="s">
        <v>331</v>
      </c>
      <c r="P619" s="10"/>
      <c r="Q619" s="3" t="n">
        <f aca="false">IF(F619="Disposable",1,0)</f>
        <v>0</v>
      </c>
      <c r="R619" s="3" t="n">
        <f aca="false">IF(SUMPRODUCT(--ISNUMBER(SEARCH('Spam Rules'!$A$22:$A$35,K619)))&gt;0,1,0)</f>
        <v>0</v>
      </c>
      <c r="S619" s="3" t="n">
        <f aca="false">IF(AND(F619="Free",G619=""),1,0)</f>
        <v>0</v>
      </c>
      <c r="T619" s="3" t="n">
        <f aca="false">IF(LEN(TRIM(K619))&lt;15,1,0)</f>
        <v>0</v>
      </c>
      <c r="U619" s="3" t="n">
        <f aca="false">IF(COUNTIF($E$2:$E$801,E619)&gt;1,1,0)</f>
        <v>0</v>
      </c>
      <c r="V619" s="3" t="n">
        <f aca="false">Q619*'Spam Rules'!$H$6+R619*'Spam Rules'!$H$7+S619*'Spam Rules'!$H$8+T619*'Spam Rules'!$H$9+U619*'Spam Rules'!$H$10</f>
        <v>0</v>
      </c>
      <c r="W619" s="3" t="str">
        <f aca="false">IF(V619&gt;='Spam Rules'!$B$3,"Likely Spam","Genuine")</f>
        <v>Genuine</v>
      </c>
      <c r="X619" s="3" t="n">
        <f aca="false">IFERROR(INDEX('Scoring Model'!$B$5:$B$11,MATCH(C619,'Scoring Model'!$A$5:$A$11,0)),0)</f>
        <v>25</v>
      </c>
      <c r="Y619" s="3" t="n">
        <f aca="false">IFERROR(INDEX('Scoring Model'!$E$5:$E$7,MATCH(F619,'Scoring Model'!$D$5:$D$7,0)),0)</f>
        <v>20</v>
      </c>
      <c r="Z619" s="3" t="n">
        <f aca="false">IFERROR(INDEX('Scoring Model'!$H$5:$H$13,MATCH(J619,'Scoring Model'!$G$5:$G$13,0)),0)</f>
        <v>15</v>
      </c>
      <c r="AA619" s="3" t="n">
        <f aca="false">IF(L619&gt;='Scoring Model'!$B$14,'Scoring Model'!$B$15,IF(L619&gt;='Scoring Model'!$B$16,'Scoring Model'!$B$17,0))</f>
        <v>15</v>
      </c>
      <c r="AB619" s="3" t="n">
        <f aca="false">IF(SUMPRODUCT(--ISNUMBER(SEARCH('Scoring Model'!$D$16:$D$25,K619)))&gt;0,'Scoring Model'!$B$18,0)</f>
        <v>15</v>
      </c>
      <c r="AC619" s="3" t="n">
        <f aca="false">IF(SUMPRODUCT(--ISNUMBER(SEARCH('Scoring Model'!$G$16:$G$23,K619)))&gt;0,'Scoring Model'!$B$19,0)</f>
        <v>0</v>
      </c>
      <c r="AD619" s="3" t="n">
        <f aca="false">IF(W619="Likely Spam","",SUM(X619:AC619))</f>
        <v>90</v>
      </c>
      <c r="AE619" s="3" t="str">
        <f aca="false">IF(W619="Likely Spam","Spam",IF(AD619&gt;='Scoring Model'!$B$21,"Hot",IF(AD619&gt;='Scoring Model'!$B$22,"Warm","Nurture")))</f>
        <v>Hot</v>
      </c>
      <c r="AF619" s="3" t="str">
        <f aca="false">IF(W619="Likely Spam","Flagged by spam rules",TRIM(IF(X619&gt;=20,"Strong source. ","")&amp;IF(Y619&gt;0,"Company email. ","")&amp;IF(Z619&gt;=15,"High-value product. ","")&amp;IF(AA619&gt;='Scoring Model'!$B$15,"High engagement. ","")&amp;IF(AB619&gt;0,"Buying intent in message. ","")&amp;IF(AC619&lt;0,"Negative intent in message. ","")))</f>
        <v>Strong source. Company email. High-value product. High engagement. Buying intent in message.</v>
      </c>
      <c r="AG619" s="11" t="n">
        <f aca="false">IF(W619="Likely Spam","",1/(1+EXP(-('Conversion Model'!$B$5+IFERROR(INDEX('Conversion Model'!$B$8:$B$14,MATCH(C619,'Conversion Model'!$A$8:$A$14,0)),0)+IFERROR(INDEX('Conversion Model'!$E$8:$E$9,MATCH(F619,'Conversion Model'!$D$8:$D$9,0)),0)+IFERROR(INDEX('Conversion Model'!$H$8:$H$12,MATCH(IF(LEFT(J619,8)="Payments","Payments",IF(LEFT(J619,7)="Lending","Lending",J619)),'Conversion Model'!$G$8:$G$12,0)),0)+MIN(L619,15)*'Conversion Model'!$B$17+IF(SUMPRODUCT(--ISNUMBER(SEARCH('Scoring Model'!$D$16:$D$25,K619)))&gt;0,'Conversion Model'!$B$18,0)+IF(SUMPRODUCT(--ISNUMBER(SEARCH('Scoring Model'!$G$16:$G$23,K619)))&gt;0,'Conversion Model'!$B$19,0)))))</f>
        <v>0.990463061021518</v>
      </c>
      <c r="AH619" s="3" t="n">
        <f aca="false">IF(OR(O619="Qualified",O619="Won",O619="Lost"),1,IF(O619="Unqualified",0,""))</f>
        <v>1</v>
      </c>
    </row>
    <row r="620" customFormat="false" ht="15" hidden="false" customHeight="true" outlineLevel="0" collapsed="false">
      <c r="A620" s="3" t="s">
        <v>2120</v>
      </c>
      <c r="B620" s="9" t="n">
        <v>46212.8791666667</v>
      </c>
      <c r="C620" s="3" t="s">
        <v>51</v>
      </c>
      <c r="D620" s="3" t="s">
        <v>422</v>
      </c>
      <c r="E620" s="3" t="s">
        <v>1665</v>
      </c>
      <c r="F620" s="3" t="s">
        <v>63</v>
      </c>
      <c r="G620" s="3"/>
      <c r="H620" s="3"/>
      <c r="I620" s="3" t="s">
        <v>56</v>
      </c>
      <c r="J620" s="3" t="s">
        <v>122</v>
      </c>
      <c r="K620" s="3" t="s">
        <v>322</v>
      </c>
      <c r="L620" s="3" t="n">
        <v>1</v>
      </c>
      <c r="M620" s="3" t="n">
        <v>10.9</v>
      </c>
      <c r="N620" s="3" t="s">
        <v>96</v>
      </c>
      <c r="O620" s="3" t="s">
        <v>68</v>
      </c>
      <c r="P620" s="10"/>
      <c r="Q620" s="3" t="n">
        <f aca="false">IF(F620="Disposable",1,0)</f>
        <v>1</v>
      </c>
      <c r="R620" s="3" t="n">
        <f aca="false">IF(SUMPRODUCT(--ISNUMBER(SEARCH('Spam Rules'!$A$22:$A$35,K620)))&gt;0,1,0)</f>
        <v>0</v>
      </c>
      <c r="S620" s="3" t="n">
        <f aca="false">IF(AND(F620="Free",G620=""),1,0)</f>
        <v>0</v>
      </c>
      <c r="T620" s="3" t="n">
        <f aca="false">IF(LEN(TRIM(K620))&lt;15,1,0)</f>
        <v>1</v>
      </c>
      <c r="U620" s="3" t="n">
        <f aca="false">IF(COUNTIF($E$2:$E$801,E620)&gt;1,1,0)</f>
        <v>1</v>
      </c>
      <c r="V620" s="3" t="n">
        <f aca="false">Q620*'Spam Rules'!$H$6+R620*'Spam Rules'!$H$7+S620*'Spam Rules'!$H$8+T620*'Spam Rules'!$H$9+U620*'Spam Rules'!$H$10</f>
        <v>2</v>
      </c>
      <c r="W620" s="3" t="str">
        <f aca="false">IF(V620&gt;='Spam Rules'!$B$3,"Likely Spam","Genuine")</f>
        <v>Likely Spam</v>
      </c>
      <c r="X620" s="3" t="n">
        <f aca="false">IFERROR(INDEX('Scoring Model'!$B$5:$B$11,MATCH(C620,'Scoring Model'!$A$5:$A$11,0)),0)</f>
        <v>10</v>
      </c>
      <c r="Y620" s="3" t="n">
        <f aca="false">IFERROR(INDEX('Scoring Model'!$E$5:$E$7,MATCH(F620,'Scoring Model'!$D$5:$D$7,0)),0)</f>
        <v>0</v>
      </c>
      <c r="Z620" s="3" t="n">
        <f aca="false">IFERROR(INDEX('Scoring Model'!$H$5:$H$13,MATCH(J620,'Scoring Model'!$G$5:$G$13,0)),0)</f>
        <v>15</v>
      </c>
      <c r="AA620" s="3" t="n">
        <f aca="false">IF(L620&gt;='Scoring Model'!$B$14,'Scoring Model'!$B$15,IF(L620&gt;='Scoring Model'!$B$16,'Scoring Model'!$B$17,0))</f>
        <v>0</v>
      </c>
      <c r="AB620" s="3" t="n">
        <f aca="false">IF(SUMPRODUCT(--ISNUMBER(SEARCH('Scoring Model'!$D$16:$D$25,K620)))&gt;0,'Scoring Model'!$B$18,0)</f>
        <v>0</v>
      </c>
      <c r="AC620" s="3" t="n">
        <f aca="false">IF(SUMPRODUCT(--ISNUMBER(SEARCH('Scoring Model'!$G$16:$G$23,K620)))&gt;0,'Scoring Model'!$B$19,0)</f>
        <v>0</v>
      </c>
      <c r="AD620" s="3" t="str">
        <f aca="false">IF(W620="Likely Spam","",SUM(X620:AC620))</f>
        <v/>
      </c>
      <c r="AE620" s="3" t="str">
        <f aca="false">IF(W620="Likely Spam","Spam",IF(AD620&gt;='Scoring Model'!$B$21,"Hot",IF(AD620&gt;='Scoring Model'!$B$22,"Warm","Nurture")))</f>
        <v>Spam</v>
      </c>
      <c r="AF620" s="3" t="str">
        <f aca="false">IF(W620="Likely Spam","Flagged by spam rules",TRIM(IF(X620&gt;=20,"Strong source. ","")&amp;IF(Y620&gt;0,"Company email. ","")&amp;IF(Z620&gt;=15,"High-value product. ","")&amp;IF(AA620&gt;='Scoring Model'!$B$15,"High engagement. ","")&amp;IF(AB620&gt;0,"Buying intent in message. ","")&amp;IF(AC620&lt;0,"Negative intent in message. ","")))</f>
        <v>Flagged by spam rules</v>
      </c>
      <c r="AG620" s="11" t="str">
        <f aca="false">IF(W620="Likely Spam","",1/(1+EXP(-('Conversion Model'!$B$5+IFERROR(INDEX('Conversion Model'!$B$8:$B$14,MATCH(C620,'Conversion Model'!$A$8:$A$14,0)),0)+IFERROR(INDEX('Conversion Model'!$E$8:$E$9,MATCH(F620,'Conversion Model'!$D$8:$D$9,0)),0)+IFERROR(INDEX('Conversion Model'!$H$8:$H$12,MATCH(IF(LEFT(J620,8)="Payments","Payments",IF(LEFT(J620,7)="Lending","Lending",J620)),'Conversion Model'!$G$8:$G$12,0)),0)+MIN(L620,15)*'Conversion Model'!$B$17+IF(SUMPRODUCT(--ISNUMBER(SEARCH('Scoring Model'!$D$16:$D$25,K620)))&gt;0,'Conversion Model'!$B$18,0)+IF(SUMPRODUCT(--ISNUMBER(SEARCH('Scoring Model'!$G$16:$G$23,K620)))&gt;0,'Conversion Model'!$B$19,0)))))</f>
        <v/>
      </c>
      <c r="AH620" s="3" t="str">
        <f aca="false">IF(OR(O620="Qualified",O620="Won",O620="Lost"),1,IF(O620="Unqualified",0,""))</f>
        <v/>
      </c>
    </row>
    <row r="621" customFormat="false" ht="15" hidden="false" customHeight="true" outlineLevel="0" collapsed="false">
      <c r="A621" s="3" t="s">
        <v>2121</v>
      </c>
      <c r="B621" s="9" t="n">
        <v>46214.2909722222</v>
      </c>
      <c r="C621" s="3" t="s">
        <v>91</v>
      </c>
      <c r="D621" s="3" t="s">
        <v>612</v>
      </c>
      <c r="E621" s="3" t="s">
        <v>2122</v>
      </c>
      <c r="F621" s="3" t="s">
        <v>54</v>
      </c>
      <c r="G621" s="3"/>
      <c r="H621" s="3"/>
      <c r="I621" s="3" t="s">
        <v>107</v>
      </c>
      <c r="J621" s="3" t="s">
        <v>81</v>
      </c>
      <c r="K621" s="3" t="s">
        <v>213</v>
      </c>
      <c r="L621" s="3" t="n">
        <v>3</v>
      </c>
      <c r="M621" s="3" t="n">
        <v>25.7</v>
      </c>
      <c r="N621" s="3" t="s">
        <v>96</v>
      </c>
      <c r="O621" s="3" t="s">
        <v>194</v>
      </c>
      <c r="P621" s="10"/>
      <c r="Q621" s="3" t="n">
        <f aca="false">IF(F621="Disposable",1,0)</f>
        <v>0</v>
      </c>
      <c r="R621" s="3" t="n">
        <f aca="false">IF(SUMPRODUCT(--ISNUMBER(SEARCH('Spam Rules'!$A$22:$A$35,K621)))&gt;0,1,0)</f>
        <v>0</v>
      </c>
      <c r="S621" s="3" t="n">
        <f aca="false">IF(AND(F621="Free",G621=""),1,0)</f>
        <v>1</v>
      </c>
      <c r="T621" s="3" t="n">
        <f aca="false">IF(LEN(TRIM(K621))&lt;15,1,0)</f>
        <v>0</v>
      </c>
      <c r="U621" s="3" t="n">
        <f aca="false">IF(COUNTIF($E$2:$E$801,E621)&gt;1,1,0)</f>
        <v>0</v>
      </c>
      <c r="V621" s="3" t="n">
        <f aca="false">Q621*'Spam Rules'!$H$6+R621*'Spam Rules'!$H$7+S621*'Spam Rules'!$H$8+T621*'Spam Rules'!$H$9+U621*'Spam Rules'!$H$10</f>
        <v>0</v>
      </c>
      <c r="W621" s="3" t="str">
        <f aca="false">IF(V621&gt;='Spam Rules'!$B$3,"Likely Spam","Genuine")</f>
        <v>Genuine</v>
      </c>
      <c r="X621" s="3" t="n">
        <f aca="false">IFERROR(INDEX('Scoring Model'!$B$5:$B$11,MATCH(C621,'Scoring Model'!$A$5:$A$11,0)),0)</f>
        <v>5</v>
      </c>
      <c r="Y621" s="3" t="n">
        <f aca="false">IFERROR(INDEX('Scoring Model'!$E$5:$E$7,MATCH(F621,'Scoring Model'!$D$5:$D$7,0)),0)</f>
        <v>0</v>
      </c>
      <c r="Z621" s="3" t="n">
        <f aca="false">IFERROR(INDEX('Scoring Model'!$H$5:$H$13,MATCH(J621,'Scoring Model'!$G$5:$G$13,0)),0)</f>
        <v>5</v>
      </c>
      <c r="AA621" s="3" t="n">
        <f aca="false">IF(L621&gt;='Scoring Model'!$B$14,'Scoring Model'!$B$15,IF(L621&gt;='Scoring Model'!$B$16,'Scoring Model'!$B$17,0))</f>
        <v>0</v>
      </c>
      <c r="AB621" s="3" t="n">
        <f aca="false">IF(SUMPRODUCT(--ISNUMBER(SEARCH('Scoring Model'!$D$16:$D$25,K621)))&gt;0,'Scoring Model'!$B$18,0)</f>
        <v>0</v>
      </c>
      <c r="AC621" s="3" t="n">
        <f aca="false">IF(SUMPRODUCT(--ISNUMBER(SEARCH('Scoring Model'!$G$16:$G$23,K621)))&gt;0,'Scoring Model'!$B$19,0)</f>
        <v>-30</v>
      </c>
      <c r="AD621" s="3" t="n">
        <f aca="false">IF(W621="Likely Spam","",SUM(X621:AC621))</f>
        <v>-20</v>
      </c>
      <c r="AE621" s="3" t="str">
        <f aca="false">IF(W621="Likely Spam","Spam",IF(AD621&gt;='Scoring Model'!$B$21,"Hot",IF(AD621&gt;='Scoring Model'!$B$22,"Warm","Nurture")))</f>
        <v>Nurture</v>
      </c>
      <c r="AF621" s="3" t="str">
        <f aca="false">IF(W621="Likely Spam","Flagged by spam rules",TRIM(IF(X621&gt;=20,"Strong source. ","")&amp;IF(Y621&gt;0,"Company email. ","")&amp;IF(Z621&gt;=15,"High-value product. ","")&amp;IF(AA621&gt;='Scoring Model'!$B$15,"High engagement. ","")&amp;IF(AB621&gt;0,"Buying intent in message. ","")&amp;IF(AC621&lt;0,"Negative intent in message. ","")))</f>
        <v>Negative intent in message.</v>
      </c>
      <c r="AG621" s="11" t="n">
        <f aca="false">IF(W621="Likely Spam","",1/(1+EXP(-('Conversion Model'!$B$5+IFERROR(INDEX('Conversion Model'!$B$8:$B$14,MATCH(C621,'Conversion Model'!$A$8:$A$14,0)),0)+IFERROR(INDEX('Conversion Model'!$E$8:$E$9,MATCH(F621,'Conversion Model'!$D$8:$D$9,0)),0)+IFERROR(INDEX('Conversion Model'!$H$8:$H$12,MATCH(IF(LEFT(J621,8)="Payments","Payments",IF(LEFT(J621,7)="Lending","Lending",J621)),'Conversion Model'!$G$8:$G$12,0)),0)+MIN(L621,15)*'Conversion Model'!$B$17+IF(SUMPRODUCT(--ISNUMBER(SEARCH('Scoring Model'!$D$16:$D$25,K621)))&gt;0,'Conversion Model'!$B$18,0)+IF(SUMPRODUCT(--ISNUMBER(SEARCH('Scoring Model'!$G$16:$G$23,K621)))&gt;0,'Conversion Model'!$B$19,0)))))</f>
        <v>0.00271295551545726</v>
      </c>
      <c r="AH621" s="3" t="n">
        <f aca="false">IF(OR(O621="Qualified",O621="Won",O621="Lost"),1,IF(O621="Unqualified",0,""))</f>
        <v>0</v>
      </c>
    </row>
    <row r="622" customFormat="false" ht="15" hidden="false" customHeight="true" outlineLevel="0" collapsed="false">
      <c r="A622" s="3" t="s">
        <v>2123</v>
      </c>
      <c r="B622" s="9" t="n">
        <v>46214.30625</v>
      </c>
      <c r="C622" s="3" t="s">
        <v>160</v>
      </c>
      <c r="D622" s="3" t="s">
        <v>2124</v>
      </c>
      <c r="E622" s="3" t="s">
        <v>2125</v>
      </c>
      <c r="F622" s="3" t="s">
        <v>63</v>
      </c>
      <c r="G622" s="3"/>
      <c r="H622" s="3"/>
      <c r="I622" s="3" t="s">
        <v>56</v>
      </c>
      <c r="J622" s="3" t="s">
        <v>81</v>
      </c>
      <c r="K622" s="3" t="s">
        <v>82</v>
      </c>
      <c r="L622" s="3" t="n">
        <v>1</v>
      </c>
      <c r="M622" s="3" t="n">
        <v>40.7</v>
      </c>
      <c r="N622" s="3" t="s">
        <v>67</v>
      </c>
      <c r="O622" s="3" t="s">
        <v>68</v>
      </c>
      <c r="P622" s="10"/>
      <c r="Q622" s="3" t="n">
        <f aca="false">IF(F622="Disposable",1,0)</f>
        <v>1</v>
      </c>
      <c r="R622" s="3" t="n">
        <f aca="false">IF(SUMPRODUCT(--ISNUMBER(SEARCH('Spam Rules'!$A$22:$A$35,K622)))&gt;0,1,0)</f>
        <v>1</v>
      </c>
      <c r="S622" s="3" t="n">
        <f aca="false">IF(AND(F622="Free",G622=""),1,0)</f>
        <v>0</v>
      </c>
      <c r="T622" s="3" t="n">
        <f aca="false">IF(LEN(TRIM(K622))&lt;15,1,0)</f>
        <v>0</v>
      </c>
      <c r="U622" s="3" t="n">
        <f aca="false">IF(COUNTIF($E$2:$E$801,E622)&gt;1,1,0)</f>
        <v>0</v>
      </c>
      <c r="V622" s="3" t="n">
        <f aca="false">Q622*'Spam Rules'!$H$6+R622*'Spam Rules'!$H$7+S622*'Spam Rules'!$H$8+T622*'Spam Rules'!$H$9+U622*'Spam Rules'!$H$10</f>
        <v>2</v>
      </c>
      <c r="W622" s="3" t="str">
        <f aca="false">IF(V622&gt;='Spam Rules'!$B$3,"Likely Spam","Genuine")</f>
        <v>Likely Spam</v>
      </c>
      <c r="X622" s="3" t="n">
        <f aca="false">IFERROR(INDEX('Scoring Model'!$B$5:$B$11,MATCH(C622,'Scoring Model'!$A$5:$A$11,0)),0)</f>
        <v>25</v>
      </c>
      <c r="Y622" s="3" t="n">
        <f aca="false">IFERROR(INDEX('Scoring Model'!$E$5:$E$7,MATCH(F622,'Scoring Model'!$D$5:$D$7,0)),0)</f>
        <v>0</v>
      </c>
      <c r="Z622" s="3" t="n">
        <f aca="false">IFERROR(INDEX('Scoring Model'!$H$5:$H$13,MATCH(J622,'Scoring Model'!$G$5:$G$13,0)),0)</f>
        <v>5</v>
      </c>
      <c r="AA622" s="3" t="n">
        <f aca="false">IF(L622&gt;='Scoring Model'!$B$14,'Scoring Model'!$B$15,IF(L622&gt;='Scoring Model'!$B$16,'Scoring Model'!$B$17,0))</f>
        <v>0</v>
      </c>
      <c r="AB622" s="3" t="n">
        <f aca="false">IF(SUMPRODUCT(--ISNUMBER(SEARCH('Scoring Model'!$D$16:$D$25,K622)))&gt;0,'Scoring Model'!$B$18,0)</f>
        <v>0</v>
      </c>
      <c r="AC622" s="3" t="n">
        <f aca="false">IF(SUMPRODUCT(--ISNUMBER(SEARCH('Scoring Model'!$G$16:$G$23,K622)))&gt;0,'Scoring Model'!$B$19,0)</f>
        <v>0</v>
      </c>
      <c r="AD622" s="3" t="str">
        <f aca="false">IF(W622="Likely Spam","",SUM(X622:AC622))</f>
        <v/>
      </c>
      <c r="AE622" s="3" t="str">
        <f aca="false">IF(W622="Likely Spam","Spam",IF(AD622&gt;='Scoring Model'!$B$21,"Hot",IF(AD622&gt;='Scoring Model'!$B$22,"Warm","Nurture")))</f>
        <v>Spam</v>
      </c>
      <c r="AF622" s="3" t="str">
        <f aca="false">IF(W622="Likely Spam","Flagged by spam rules",TRIM(IF(X622&gt;=20,"Strong source. ","")&amp;IF(Y622&gt;0,"Company email. ","")&amp;IF(Z622&gt;=15,"High-value product. ","")&amp;IF(AA622&gt;='Scoring Model'!$B$15,"High engagement. ","")&amp;IF(AB622&gt;0,"Buying intent in message. ","")&amp;IF(AC622&lt;0,"Negative intent in message. ","")))</f>
        <v>Flagged by spam rules</v>
      </c>
      <c r="AG622" s="11" t="str">
        <f aca="false">IF(W622="Likely Spam","",1/(1+EXP(-('Conversion Model'!$B$5+IFERROR(INDEX('Conversion Model'!$B$8:$B$14,MATCH(C622,'Conversion Model'!$A$8:$A$14,0)),0)+IFERROR(INDEX('Conversion Model'!$E$8:$E$9,MATCH(F622,'Conversion Model'!$D$8:$D$9,0)),0)+IFERROR(INDEX('Conversion Model'!$H$8:$H$12,MATCH(IF(LEFT(J622,8)="Payments","Payments",IF(LEFT(J622,7)="Lending","Lending",J622)),'Conversion Model'!$G$8:$G$12,0)),0)+MIN(L622,15)*'Conversion Model'!$B$17+IF(SUMPRODUCT(--ISNUMBER(SEARCH('Scoring Model'!$D$16:$D$25,K622)))&gt;0,'Conversion Model'!$B$18,0)+IF(SUMPRODUCT(--ISNUMBER(SEARCH('Scoring Model'!$G$16:$G$23,K622)))&gt;0,'Conversion Model'!$B$19,0)))))</f>
        <v/>
      </c>
      <c r="AH622" s="3" t="str">
        <f aca="false">IF(OR(O622="Qualified",O622="Won",O622="Lost"),1,IF(O622="Unqualified",0,""))</f>
        <v/>
      </c>
    </row>
    <row r="623" customFormat="false" ht="15" hidden="false" customHeight="true" outlineLevel="0" collapsed="false">
      <c r="A623" s="3" t="s">
        <v>2126</v>
      </c>
      <c r="B623" s="9" t="n">
        <v>46214.8201388889</v>
      </c>
      <c r="C623" s="3" t="s">
        <v>76</v>
      </c>
      <c r="D623" s="3" t="s">
        <v>2127</v>
      </c>
      <c r="E623" s="3" t="s">
        <v>888</v>
      </c>
      <c r="F623" s="3" t="s">
        <v>22</v>
      </c>
      <c r="G623" s="3" t="s">
        <v>321</v>
      </c>
      <c r="H623" s="3" t="s">
        <v>388</v>
      </c>
      <c r="I623" s="3" t="s">
        <v>139</v>
      </c>
      <c r="J623" s="3" t="s">
        <v>122</v>
      </c>
      <c r="K623" s="3" t="s">
        <v>363</v>
      </c>
      <c r="L623" s="3" t="n">
        <v>1</v>
      </c>
      <c r="M623" s="3"/>
      <c r="N623" s="3" t="s">
        <v>67</v>
      </c>
      <c r="O623" s="3"/>
      <c r="P623" s="10"/>
      <c r="Q623" s="3" t="n">
        <f aca="false">IF(F623="Disposable",1,0)</f>
        <v>0</v>
      </c>
      <c r="R623" s="3" t="n">
        <f aca="false">IF(SUMPRODUCT(--ISNUMBER(SEARCH('Spam Rules'!$A$22:$A$35,K623)))&gt;0,1,0)</f>
        <v>1</v>
      </c>
      <c r="S623" s="3" t="n">
        <f aca="false">IF(AND(F623="Free",G623=""),1,0)</f>
        <v>0</v>
      </c>
      <c r="T623" s="3" t="n">
        <f aca="false">IF(LEN(TRIM(K623))&lt;15,1,0)</f>
        <v>0</v>
      </c>
      <c r="U623" s="3" t="n">
        <f aca="false">IF(COUNTIF($E$2:$E$801,E623)&gt;1,1,0)</f>
        <v>1</v>
      </c>
      <c r="V623" s="3" t="n">
        <f aca="false">Q623*'Spam Rules'!$H$6+R623*'Spam Rules'!$H$7+S623*'Spam Rules'!$H$8+T623*'Spam Rules'!$H$9+U623*'Spam Rules'!$H$10</f>
        <v>1</v>
      </c>
      <c r="W623" s="3" t="str">
        <f aca="false">IF(V623&gt;='Spam Rules'!$B$3,"Likely Spam","Genuine")</f>
        <v>Likely Spam</v>
      </c>
      <c r="X623" s="3" t="n">
        <f aca="false">IFERROR(INDEX('Scoring Model'!$B$5:$B$11,MATCH(C623,'Scoring Model'!$A$5:$A$11,0)),0)</f>
        <v>0</v>
      </c>
      <c r="Y623" s="3" t="n">
        <f aca="false">IFERROR(INDEX('Scoring Model'!$E$5:$E$7,MATCH(F623,'Scoring Model'!$D$5:$D$7,0)),0)</f>
        <v>20</v>
      </c>
      <c r="Z623" s="3" t="n">
        <f aca="false">IFERROR(INDEX('Scoring Model'!$H$5:$H$13,MATCH(J623,'Scoring Model'!$G$5:$G$13,0)),0)</f>
        <v>15</v>
      </c>
      <c r="AA623" s="3" t="n">
        <f aca="false">IF(L623&gt;='Scoring Model'!$B$14,'Scoring Model'!$B$15,IF(L623&gt;='Scoring Model'!$B$16,'Scoring Model'!$B$17,0))</f>
        <v>0</v>
      </c>
      <c r="AB623" s="3" t="n">
        <f aca="false">IF(SUMPRODUCT(--ISNUMBER(SEARCH('Scoring Model'!$D$16:$D$25,K623)))&gt;0,'Scoring Model'!$B$18,0)</f>
        <v>0</v>
      </c>
      <c r="AC623" s="3" t="n">
        <f aca="false">IF(SUMPRODUCT(--ISNUMBER(SEARCH('Scoring Model'!$G$16:$G$23,K623)))&gt;0,'Scoring Model'!$B$19,0)</f>
        <v>0</v>
      </c>
      <c r="AD623" s="3" t="str">
        <f aca="false">IF(W623="Likely Spam","",SUM(X623:AC623))</f>
        <v/>
      </c>
      <c r="AE623" s="3" t="str">
        <f aca="false">IF(W623="Likely Spam","Spam",IF(AD623&gt;='Scoring Model'!$B$21,"Hot",IF(AD623&gt;='Scoring Model'!$B$22,"Warm","Nurture")))</f>
        <v>Spam</v>
      </c>
      <c r="AF623" s="3" t="str">
        <f aca="false">IF(W623="Likely Spam","Flagged by spam rules",TRIM(IF(X623&gt;=20,"Strong source. ","")&amp;IF(Y623&gt;0,"Company email. ","")&amp;IF(Z623&gt;=15,"High-value product. ","")&amp;IF(AA623&gt;='Scoring Model'!$B$15,"High engagement. ","")&amp;IF(AB623&gt;0,"Buying intent in message. ","")&amp;IF(AC623&lt;0,"Negative intent in message. ","")))</f>
        <v>Flagged by spam rules</v>
      </c>
      <c r="AG623" s="11" t="str">
        <f aca="false">IF(W623="Likely Spam","",1/(1+EXP(-('Conversion Model'!$B$5+IFERROR(INDEX('Conversion Model'!$B$8:$B$14,MATCH(C623,'Conversion Model'!$A$8:$A$14,0)),0)+IFERROR(INDEX('Conversion Model'!$E$8:$E$9,MATCH(F623,'Conversion Model'!$D$8:$D$9,0)),0)+IFERROR(INDEX('Conversion Model'!$H$8:$H$12,MATCH(IF(LEFT(J623,8)="Payments","Payments",IF(LEFT(J623,7)="Lending","Lending",J623)),'Conversion Model'!$G$8:$G$12,0)),0)+MIN(L623,15)*'Conversion Model'!$B$17+IF(SUMPRODUCT(--ISNUMBER(SEARCH('Scoring Model'!$D$16:$D$25,K623)))&gt;0,'Conversion Model'!$B$18,0)+IF(SUMPRODUCT(--ISNUMBER(SEARCH('Scoring Model'!$G$16:$G$23,K623)))&gt;0,'Conversion Model'!$B$19,0)))))</f>
        <v/>
      </c>
      <c r="AH623" s="3" t="str">
        <f aca="false">IF(OR(O623="Qualified",O623="Won",O623="Lost"),1,IF(O623="Unqualified",0,""))</f>
        <v/>
      </c>
    </row>
    <row r="624" customFormat="false" ht="15" hidden="false" customHeight="true" outlineLevel="0" collapsed="false">
      <c r="A624" s="3" t="s">
        <v>2128</v>
      </c>
      <c r="B624" s="9" t="n">
        <v>46215.1083333333</v>
      </c>
      <c r="C624" s="3" t="s">
        <v>128</v>
      </c>
      <c r="D624" s="3" t="s">
        <v>2129</v>
      </c>
      <c r="E624" s="3" t="s">
        <v>2130</v>
      </c>
      <c r="F624" s="3" t="s">
        <v>22</v>
      </c>
      <c r="G624" s="3" t="s">
        <v>2131</v>
      </c>
      <c r="H624" s="3" t="s">
        <v>2132</v>
      </c>
      <c r="I624" s="3" t="s">
        <v>64</v>
      </c>
      <c r="J624" s="3" t="s">
        <v>245</v>
      </c>
      <c r="K624" s="3" t="s">
        <v>183</v>
      </c>
      <c r="L624" s="3" t="n">
        <v>5</v>
      </c>
      <c r="M624" s="3" t="n">
        <v>18.8</v>
      </c>
      <c r="N624" s="3" t="s">
        <v>67</v>
      </c>
      <c r="O624" s="3" t="s">
        <v>331</v>
      </c>
      <c r="P624" s="10"/>
      <c r="Q624" s="3" t="n">
        <f aca="false">IF(F624="Disposable",1,0)</f>
        <v>0</v>
      </c>
      <c r="R624" s="3" t="n">
        <f aca="false">IF(SUMPRODUCT(--ISNUMBER(SEARCH('Spam Rules'!$A$22:$A$35,K624)))&gt;0,1,0)</f>
        <v>0</v>
      </c>
      <c r="S624" s="3" t="n">
        <f aca="false">IF(AND(F624="Free",G624=""),1,0)</f>
        <v>0</v>
      </c>
      <c r="T624" s="3" t="n">
        <f aca="false">IF(LEN(TRIM(K624))&lt;15,1,0)</f>
        <v>0</v>
      </c>
      <c r="U624" s="3" t="n">
        <f aca="false">IF(COUNTIF($E$2:$E$801,E624)&gt;1,1,0)</f>
        <v>0</v>
      </c>
      <c r="V624" s="3" t="n">
        <f aca="false">Q624*'Spam Rules'!$H$6+R624*'Spam Rules'!$H$7+S624*'Spam Rules'!$H$8+T624*'Spam Rules'!$H$9+U624*'Spam Rules'!$H$10</f>
        <v>0</v>
      </c>
      <c r="W624" s="3" t="str">
        <f aca="false">IF(V624&gt;='Spam Rules'!$B$3,"Likely Spam","Genuine")</f>
        <v>Genuine</v>
      </c>
      <c r="X624" s="3" t="n">
        <f aca="false">IFERROR(INDEX('Scoring Model'!$B$5:$B$11,MATCH(C624,'Scoring Model'!$A$5:$A$11,0)),0)</f>
        <v>30</v>
      </c>
      <c r="Y624" s="3" t="n">
        <f aca="false">IFERROR(INDEX('Scoring Model'!$E$5:$E$7,MATCH(F624,'Scoring Model'!$D$5:$D$7,0)),0)</f>
        <v>20</v>
      </c>
      <c r="Z624" s="3" t="n">
        <f aca="false">IFERROR(INDEX('Scoring Model'!$H$5:$H$13,MATCH(J624,'Scoring Model'!$G$5:$G$13,0)),0)</f>
        <v>15</v>
      </c>
      <c r="AA624" s="3" t="n">
        <f aca="false">IF(L624&gt;='Scoring Model'!$B$14,'Scoring Model'!$B$15,IF(L624&gt;='Scoring Model'!$B$16,'Scoring Model'!$B$17,0))</f>
        <v>8</v>
      </c>
      <c r="AB624" s="3" t="n">
        <f aca="false">IF(SUMPRODUCT(--ISNUMBER(SEARCH('Scoring Model'!$D$16:$D$25,K624)))&gt;0,'Scoring Model'!$B$18,0)</f>
        <v>15</v>
      </c>
      <c r="AC624" s="3" t="n">
        <f aca="false">IF(SUMPRODUCT(--ISNUMBER(SEARCH('Scoring Model'!$G$16:$G$23,K624)))&gt;0,'Scoring Model'!$B$19,0)</f>
        <v>0</v>
      </c>
      <c r="AD624" s="3" t="n">
        <f aca="false">IF(W624="Likely Spam","",SUM(X624:AC624))</f>
        <v>88</v>
      </c>
      <c r="AE624" s="3" t="str">
        <f aca="false">IF(W624="Likely Spam","Spam",IF(AD624&gt;='Scoring Model'!$B$21,"Hot",IF(AD624&gt;='Scoring Model'!$B$22,"Warm","Nurture")))</f>
        <v>Hot</v>
      </c>
      <c r="AF624" s="3" t="str">
        <f aca="false">IF(W624="Likely Spam","Flagged by spam rules",TRIM(IF(X624&gt;=20,"Strong source. ","")&amp;IF(Y624&gt;0,"Company email. ","")&amp;IF(Z624&gt;=15,"High-value product. ","")&amp;IF(AA624&gt;='Scoring Model'!$B$15,"High engagement. ","")&amp;IF(AB624&gt;0,"Buying intent in message. ","")&amp;IF(AC624&lt;0,"Negative intent in message. ","")))</f>
        <v>Strong source. Company email. High-value product. Buying intent in message.</v>
      </c>
      <c r="AG624" s="11" t="n">
        <f aca="false">IF(W624="Likely Spam","",1/(1+EXP(-('Conversion Model'!$B$5+IFERROR(INDEX('Conversion Model'!$B$8:$B$14,MATCH(C624,'Conversion Model'!$A$8:$A$14,0)),0)+IFERROR(INDEX('Conversion Model'!$E$8:$E$9,MATCH(F624,'Conversion Model'!$D$8:$D$9,0)),0)+IFERROR(INDEX('Conversion Model'!$H$8:$H$12,MATCH(IF(LEFT(J624,8)="Payments","Payments",IF(LEFT(J624,7)="Lending","Lending",J624)),'Conversion Model'!$G$8:$G$12,0)),0)+MIN(L624,15)*'Conversion Model'!$B$17+IF(SUMPRODUCT(--ISNUMBER(SEARCH('Scoring Model'!$D$16:$D$25,K624)))&gt;0,'Conversion Model'!$B$18,0)+IF(SUMPRODUCT(--ISNUMBER(SEARCH('Scoring Model'!$G$16:$G$23,K624)))&gt;0,'Conversion Model'!$B$19,0)))))</f>
        <v>0.948631730218835</v>
      </c>
      <c r="AH624" s="3" t="n">
        <f aca="false">IF(OR(O624="Qualified",O624="Won",O624="Lost"),1,IF(O624="Unqualified",0,""))</f>
        <v>1</v>
      </c>
    </row>
    <row r="625" customFormat="false" ht="15" hidden="false" customHeight="true" outlineLevel="0" collapsed="false">
      <c r="A625" s="3" t="s">
        <v>2133</v>
      </c>
      <c r="B625" s="9" t="n">
        <v>46216.2326388889</v>
      </c>
      <c r="C625" s="3" t="s">
        <v>91</v>
      </c>
      <c r="D625" s="3" t="s">
        <v>1507</v>
      </c>
      <c r="E625" s="3" t="s">
        <v>2134</v>
      </c>
      <c r="F625" s="3" t="s">
        <v>54</v>
      </c>
      <c r="G625" s="3"/>
      <c r="H625" s="3"/>
      <c r="I625" s="3" t="s">
        <v>204</v>
      </c>
      <c r="J625" s="3" t="s">
        <v>122</v>
      </c>
      <c r="K625" s="3" t="s">
        <v>213</v>
      </c>
      <c r="L625" s="3" t="n">
        <v>4</v>
      </c>
      <c r="M625" s="3" t="n">
        <v>7</v>
      </c>
      <c r="N625" s="3" t="s">
        <v>171</v>
      </c>
      <c r="O625" s="3" t="s">
        <v>194</v>
      </c>
      <c r="P625" s="10"/>
      <c r="Q625" s="3" t="n">
        <f aca="false">IF(F625="Disposable",1,0)</f>
        <v>0</v>
      </c>
      <c r="R625" s="3" t="n">
        <f aca="false">IF(SUMPRODUCT(--ISNUMBER(SEARCH('Spam Rules'!$A$22:$A$35,K625)))&gt;0,1,0)</f>
        <v>0</v>
      </c>
      <c r="S625" s="3" t="n">
        <f aca="false">IF(AND(F625="Free",G625=""),1,0)</f>
        <v>1</v>
      </c>
      <c r="T625" s="3" t="n">
        <f aca="false">IF(LEN(TRIM(K625))&lt;15,1,0)</f>
        <v>0</v>
      </c>
      <c r="U625" s="3" t="n">
        <f aca="false">IF(COUNTIF($E$2:$E$801,E625)&gt;1,1,0)</f>
        <v>0</v>
      </c>
      <c r="V625" s="3" t="n">
        <f aca="false">Q625*'Spam Rules'!$H$6+R625*'Spam Rules'!$H$7+S625*'Spam Rules'!$H$8+T625*'Spam Rules'!$H$9+U625*'Spam Rules'!$H$10</f>
        <v>0</v>
      </c>
      <c r="W625" s="3" t="str">
        <f aca="false">IF(V625&gt;='Spam Rules'!$B$3,"Likely Spam","Genuine")</f>
        <v>Genuine</v>
      </c>
      <c r="X625" s="3" t="n">
        <f aca="false">IFERROR(INDEX('Scoring Model'!$B$5:$B$11,MATCH(C625,'Scoring Model'!$A$5:$A$11,0)),0)</f>
        <v>5</v>
      </c>
      <c r="Y625" s="3" t="n">
        <f aca="false">IFERROR(INDEX('Scoring Model'!$E$5:$E$7,MATCH(F625,'Scoring Model'!$D$5:$D$7,0)),0)</f>
        <v>0</v>
      </c>
      <c r="Z625" s="3" t="n">
        <f aca="false">IFERROR(INDEX('Scoring Model'!$H$5:$H$13,MATCH(J625,'Scoring Model'!$G$5:$G$13,0)),0)</f>
        <v>15</v>
      </c>
      <c r="AA625" s="3" t="n">
        <f aca="false">IF(L625&gt;='Scoring Model'!$B$14,'Scoring Model'!$B$15,IF(L625&gt;='Scoring Model'!$B$16,'Scoring Model'!$B$17,0))</f>
        <v>8</v>
      </c>
      <c r="AB625" s="3" t="n">
        <f aca="false">IF(SUMPRODUCT(--ISNUMBER(SEARCH('Scoring Model'!$D$16:$D$25,K625)))&gt;0,'Scoring Model'!$B$18,0)</f>
        <v>0</v>
      </c>
      <c r="AC625" s="3" t="n">
        <f aca="false">IF(SUMPRODUCT(--ISNUMBER(SEARCH('Scoring Model'!$G$16:$G$23,K625)))&gt;0,'Scoring Model'!$B$19,0)</f>
        <v>-30</v>
      </c>
      <c r="AD625" s="3" t="n">
        <f aca="false">IF(W625="Likely Spam","",SUM(X625:AC625))</f>
        <v>-2</v>
      </c>
      <c r="AE625" s="3" t="str">
        <f aca="false">IF(W625="Likely Spam","Spam",IF(AD625&gt;='Scoring Model'!$B$21,"Hot",IF(AD625&gt;='Scoring Model'!$B$22,"Warm","Nurture")))</f>
        <v>Nurture</v>
      </c>
      <c r="AF625" s="3" t="str">
        <f aca="false">IF(W625="Likely Spam","Flagged by spam rules",TRIM(IF(X625&gt;=20,"Strong source. ","")&amp;IF(Y625&gt;0,"Company email. ","")&amp;IF(Z625&gt;=15,"High-value product. ","")&amp;IF(AA625&gt;='Scoring Model'!$B$15,"High engagement. ","")&amp;IF(AB625&gt;0,"Buying intent in message. ","")&amp;IF(AC625&lt;0,"Negative intent in message. ","")))</f>
        <v>High-value product. Negative intent in message.</v>
      </c>
      <c r="AG625" s="11" t="n">
        <f aca="false">IF(W625="Likely Spam","",1/(1+EXP(-('Conversion Model'!$B$5+IFERROR(INDEX('Conversion Model'!$B$8:$B$14,MATCH(C625,'Conversion Model'!$A$8:$A$14,0)),0)+IFERROR(INDEX('Conversion Model'!$E$8:$E$9,MATCH(F625,'Conversion Model'!$D$8:$D$9,0)),0)+IFERROR(INDEX('Conversion Model'!$H$8:$H$12,MATCH(IF(LEFT(J625,8)="Payments","Payments",IF(LEFT(J625,7)="Lending","Lending",J625)),'Conversion Model'!$G$8:$G$12,0)),0)+MIN(L625,15)*'Conversion Model'!$B$17+IF(SUMPRODUCT(--ISNUMBER(SEARCH('Scoring Model'!$D$16:$D$25,K625)))&gt;0,'Conversion Model'!$B$18,0)+IF(SUMPRODUCT(--ISNUMBER(SEARCH('Scoring Model'!$G$16:$G$23,K625)))&gt;0,'Conversion Model'!$B$19,0)))))</f>
        <v>0.00884516308224579</v>
      </c>
      <c r="AH625" s="3" t="n">
        <f aca="false">IF(OR(O625="Qualified",O625="Won",O625="Lost"),1,IF(O625="Unqualified",0,""))</f>
        <v>0</v>
      </c>
    </row>
    <row r="626" customFormat="false" ht="15" hidden="false" customHeight="true" outlineLevel="0" collapsed="false">
      <c r="A626" s="3" t="s">
        <v>2135</v>
      </c>
      <c r="B626" s="9" t="n">
        <v>46216.7625</v>
      </c>
      <c r="C626" s="3" t="s">
        <v>128</v>
      </c>
      <c r="D626" s="3" t="s">
        <v>1274</v>
      </c>
      <c r="E626" s="3" t="s">
        <v>2136</v>
      </c>
      <c r="F626" s="3" t="s">
        <v>22</v>
      </c>
      <c r="G626" s="3" t="s">
        <v>1135</v>
      </c>
      <c r="H626" s="3" t="s">
        <v>1136</v>
      </c>
      <c r="I626" s="3" t="s">
        <v>227</v>
      </c>
      <c r="J626" s="3" t="s">
        <v>145</v>
      </c>
      <c r="K626" s="3" t="s">
        <v>1537</v>
      </c>
      <c r="L626" s="3" t="n">
        <v>7</v>
      </c>
      <c r="M626" s="3" t="n">
        <v>17.8</v>
      </c>
      <c r="N626" s="3" t="s">
        <v>96</v>
      </c>
      <c r="O626" s="3"/>
      <c r="P626" s="10"/>
      <c r="Q626" s="3" t="n">
        <f aca="false">IF(F626="Disposable",1,0)</f>
        <v>0</v>
      </c>
      <c r="R626" s="3" t="n">
        <f aca="false">IF(SUMPRODUCT(--ISNUMBER(SEARCH('Spam Rules'!$A$22:$A$35,K626)))&gt;0,1,0)</f>
        <v>0</v>
      </c>
      <c r="S626" s="3" t="n">
        <f aca="false">IF(AND(F626="Free",G626=""),1,0)</f>
        <v>0</v>
      </c>
      <c r="T626" s="3" t="n">
        <f aca="false">IF(LEN(TRIM(K626))&lt;15,1,0)</f>
        <v>0</v>
      </c>
      <c r="U626" s="3" t="n">
        <f aca="false">IF(COUNTIF($E$2:$E$801,E626)&gt;1,1,0)</f>
        <v>0</v>
      </c>
      <c r="V626" s="3" t="n">
        <f aca="false">Q626*'Spam Rules'!$H$6+R626*'Spam Rules'!$H$7+S626*'Spam Rules'!$H$8+T626*'Spam Rules'!$H$9+U626*'Spam Rules'!$H$10</f>
        <v>0</v>
      </c>
      <c r="W626" s="3" t="str">
        <f aca="false">IF(V626&gt;='Spam Rules'!$B$3,"Likely Spam","Genuine")</f>
        <v>Genuine</v>
      </c>
      <c r="X626" s="3" t="n">
        <f aca="false">IFERROR(INDEX('Scoring Model'!$B$5:$B$11,MATCH(C626,'Scoring Model'!$A$5:$A$11,0)),0)</f>
        <v>30</v>
      </c>
      <c r="Y626" s="3" t="n">
        <f aca="false">IFERROR(INDEX('Scoring Model'!$E$5:$E$7,MATCH(F626,'Scoring Model'!$D$5:$D$7,0)),0)</f>
        <v>20</v>
      </c>
      <c r="Z626" s="3" t="n">
        <f aca="false">IFERROR(INDEX('Scoring Model'!$H$5:$H$13,MATCH(J626,'Scoring Model'!$G$5:$G$13,0)),0)</f>
        <v>5</v>
      </c>
      <c r="AA626" s="3" t="n">
        <f aca="false">IF(L626&gt;='Scoring Model'!$B$14,'Scoring Model'!$B$15,IF(L626&gt;='Scoring Model'!$B$16,'Scoring Model'!$B$17,0))</f>
        <v>8</v>
      </c>
      <c r="AB626" s="3" t="n">
        <f aca="false">IF(SUMPRODUCT(--ISNUMBER(SEARCH('Scoring Model'!$D$16:$D$25,K626)))&gt;0,'Scoring Model'!$B$18,0)</f>
        <v>15</v>
      </c>
      <c r="AC626" s="3" t="n">
        <f aca="false">IF(SUMPRODUCT(--ISNUMBER(SEARCH('Scoring Model'!$G$16:$G$23,K626)))&gt;0,'Scoring Model'!$B$19,0)</f>
        <v>0</v>
      </c>
      <c r="AD626" s="3" t="n">
        <f aca="false">IF(W626="Likely Spam","",SUM(X626:AC626))</f>
        <v>78</v>
      </c>
      <c r="AE626" s="3" t="str">
        <f aca="false">IF(W626="Likely Spam","Spam",IF(AD626&gt;='Scoring Model'!$B$21,"Hot",IF(AD626&gt;='Scoring Model'!$B$22,"Warm","Nurture")))</f>
        <v>Hot</v>
      </c>
      <c r="AF626" s="3" t="str">
        <f aca="false">IF(W626="Likely Spam","Flagged by spam rules",TRIM(IF(X626&gt;=20,"Strong source. ","")&amp;IF(Y626&gt;0,"Company email. ","")&amp;IF(Z626&gt;=15,"High-value product. ","")&amp;IF(AA626&gt;='Scoring Model'!$B$15,"High engagement. ","")&amp;IF(AB626&gt;0,"Buying intent in message. ","")&amp;IF(AC626&lt;0,"Negative intent in message. ","")))</f>
        <v>Strong source. Company email. Buying intent in message.</v>
      </c>
      <c r="AG626" s="11" t="n">
        <f aca="false">IF(W626="Likely Spam","",1/(1+EXP(-('Conversion Model'!$B$5+IFERROR(INDEX('Conversion Model'!$B$8:$B$14,MATCH(C626,'Conversion Model'!$A$8:$A$14,0)),0)+IFERROR(INDEX('Conversion Model'!$E$8:$E$9,MATCH(F626,'Conversion Model'!$D$8:$D$9,0)),0)+IFERROR(INDEX('Conversion Model'!$H$8:$H$12,MATCH(IF(LEFT(J626,8)="Payments","Payments",IF(LEFT(J626,7)="Lending","Lending",J626)),'Conversion Model'!$G$8:$G$12,0)),0)+MIN(L626,15)*'Conversion Model'!$B$17+IF(SUMPRODUCT(--ISNUMBER(SEARCH('Scoring Model'!$D$16:$D$25,K626)))&gt;0,'Conversion Model'!$B$18,0)+IF(SUMPRODUCT(--ISNUMBER(SEARCH('Scoring Model'!$G$16:$G$23,K626)))&gt;0,'Conversion Model'!$B$19,0)))))</f>
        <v>0.976977688407792</v>
      </c>
      <c r="AH626" s="3" t="str">
        <f aca="false">IF(OR(O626="Qualified",O626="Won",O626="Lost"),1,IF(O626="Unqualified",0,""))</f>
        <v/>
      </c>
    </row>
    <row r="627" customFormat="false" ht="15" hidden="false" customHeight="true" outlineLevel="0" collapsed="false">
      <c r="A627" s="3" t="s">
        <v>2137</v>
      </c>
      <c r="B627" s="9" t="n">
        <v>46217.4020833333</v>
      </c>
      <c r="C627" s="3" t="s">
        <v>160</v>
      </c>
      <c r="D627" s="3" t="s">
        <v>2138</v>
      </c>
      <c r="E627" s="3" t="s">
        <v>2139</v>
      </c>
      <c r="F627" s="3" t="s">
        <v>54</v>
      </c>
      <c r="G627" s="3" t="s">
        <v>2140</v>
      </c>
      <c r="H627" s="3"/>
      <c r="I627" s="3" t="s">
        <v>227</v>
      </c>
      <c r="J627" s="3" t="s">
        <v>108</v>
      </c>
      <c r="K627" s="3" t="s">
        <v>118</v>
      </c>
      <c r="L627" s="3" t="n">
        <v>7</v>
      </c>
      <c r="M627" s="3" t="n">
        <v>114.9</v>
      </c>
      <c r="N627" s="3" t="s">
        <v>96</v>
      </c>
      <c r="O627" s="3"/>
      <c r="P627" s="10"/>
      <c r="Q627" s="3" t="n">
        <f aca="false">IF(F627="Disposable",1,0)</f>
        <v>0</v>
      </c>
      <c r="R627" s="3" t="n">
        <f aca="false">IF(SUMPRODUCT(--ISNUMBER(SEARCH('Spam Rules'!$A$22:$A$35,K627)))&gt;0,1,0)</f>
        <v>0</v>
      </c>
      <c r="S627" s="3" t="n">
        <f aca="false">IF(AND(F627="Free",G627=""),1,0)</f>
        <v>0</v>
      </c>
      <c r="T627" s="3" t="n">
        <f aca="false">IF(LEN(TRIM(K627))&lt;15,1,0)</f>
        <v>0</v>
      </c>
      <c r="U627" s="3" t="n">
        <f aca="false">IF(COUNTIF($E$2:$E$801,E627)&gt;1,1,0)</f>
        <v>0</v>
      </c>
      <c r="V627" s="3" t="n">
        <f aca="false">Q627*'Spam Rules'!$H$6+R627*'Spam Rules'!$H$7+S627*'Spam Rules'!$H$8+T627*'Spam Rules'!$H$9+U627*'Spam Rules'!$H$10</f>
        <v>0</v>
      </c>
      <c r="W627" s="3" t="str">
        <f aca="false">IF(V627&gt;='Spam Rules'!$B$3,"Likely Spam","Genuine")</f>
        <v>Genuine</v>
      </c>
      <c r="X627" s="3" t="n">
        <f aca="false">IFERROR(INDEX('Scoring Model'!$B$5:$B$11,MATCH(C627,'Scoring Model'!$A$5:$A$11,0)),0)</f>
        <v>25</v>
      </c>
      <c r="Y627" s="3" t="n">
        <f aca="false">IFERROR(INDEX('Scoring Model'!$E$5:$E$7,MATCH(F627,'Scoring Model'!$D$5:$D$7,0)),0)</f>
        <v>0</v>
      </c>
      <c r="Z627" s="3" t="n">
        <f aca="false">IFERROR(INDEX('Scoring Model'!$H$5:$H$13,MATCH(J627,'Scoring Model'!$G$5:$G$13,0)),0)</f>
        <v>15</v>
      </c>
      <c r="AA627" s="3" t="n">
        <f aca="false">IF(L627&gt;='Scoring Model'!$B$14,'Scoring Model'!$B$15,IF(L627&gt;='Scoring Model'!$B$16,'Scoring Model'!$B$17,0))</f>
        <v>8</v>
      </c>
      <c r="AB627" s="3" t="n">
        <f aca="false">IF(SUMPRODUCT(--ISNUMBER(SEARCH('Scoring Model'!$D$16:$D$25,K627)))&gt;0,'Scoring Model'!$B$18,0)</f>
        <v>15</v>
      </c>
      <c r="AC627" s="3" t="n">
        <f aca="false">IF(SUMPRODUCT(--ISNUMBER(SEARCH('Scoring Model'!$G$16:$G$23,K627)))&gt;0,'Scoring Model'!$B$19,0)</f>
        <v>0</v>
      </c>
      <c r="AD627" s="3" t="n">
        <f aca="false">IF(W627="Likely Spam","",SUM(X627:AC627))</f>
        <v>63</v>
      </c>
      <c r="AE627" s="3" t="str">
        <f aca="false">IF(W627="Likely Spam","Spam",IF(AD627&gt;='Scoring Model'!$B$21,"Hot",IF(AD627&gt;='Scoring Model'!$B$22,"Warm","Nurture")))</f>
        <v>Warm</v>
      </c>
      <c r="AF627" s="3" t="str">
        <f aca="false">IF(W627="Likely Spam","Flagged by spam rules",TRIM(IF(X627&gt;=20,"Strong source. ","")&amp;IF(Y627&gt;0,"Company email. ","")&amp;IF(Z627&gt;=15,"High-value product. ","")&amp;IF(AA627&gt;='Scoring Model'!$B$15,"High engagement. ","")&amp;IF(AB627&gt;0,"Buying intent in message. ","")&amp;IF(AC627&lt;0,"Negative intent in message. ","")))</f>
        <v>Strong source. High-value product. Buying intent in message.</v>
      </c>
      <c r="AG627" s="11" t="n">
        <f aca="false">IF(W627="Likely Spam","",1/(1+EXP(-('Conversion Model'!$B$5+IFERROR(INDEX('Conversion Model'!$B$8:$B$14,MATCH(C627,'Conversion Model'!$A$8:$A$14,0)),0)+IFERROR(INDEX('Conversion Model'!$E$8:$E$9,MATCH(F627,'Conversion Model'!$D$8:$D$9,0)),0)+IFERROR(INDEX('Conversion Model'!$H$8:$H$12,MATCH(IF(LEFT(J627,8)="Payments","Payments",IF(LEFT(J627,7)="Lending","Lending",J627)),'Conversion Model'!$G$8:$G$12,0)),0)+MIN(L627,15)*'Conversion Model'!$B$17+IF(SUMPRODUCT(--ISNUMBER(SEARCH('Scoring Model'!$D$16:$D$25,K627)))&gt;0,'Conversion Model'!$B$18,0)+IF(SUMPRODUCT(--ISNUMBER(SEARCH('Scoring Model'!$G$16:$G$23,K627)))&gt;0,'Conversion Model'!$B$19,0)))))</f>
        <v>0.883397030838861</v>
      </c>
      <c r="AH627" s="3" t="str">
        <f aca="false">IF(OR(O627="Qualified",O627="Won",O627="Lost"),1,IF(O627="Unqualified",0,""))</f>
        <v/>
      </c>
    </row>
    <row r="628" customFormat="false" ht="15" hidden="false" customHeight="true" outlineLevel="0" collapsed="false">
      <c r="A628" s="3" t="s">
        <v>2141</v>
      </c>
      <c r="B628" s="9" t="n">
        <v>46218.9180555556</v>
      </c>
      <c r="C628" s="3" t="s">
        <v>51</v>
      </c>
      <c r="D628" s="3" t="s">
        <v>2142</v>
      </c>
      <c r="E628" s="3" t="s">
        <v>2143</v>
      </c>
      <c r="F628" s="3" t="s">
        <v>54</v>
      </c>
      <c r="G628" s="3" t="s">
        <v>607</v>
      </c>
      <c r="H628" s="3"/>
      <c r="I628" s="3" t="s">
        <v>260</v>
      </c>
      <c r="J628" s="3" t="s">
        <v>145</v>
      </c>
      <c r="K628" s="3" t="s">
        <v>378</v>
      </c>
      <c r="L628" s="3" t="n">
        <v>2</v>
      </c>
      <c r="M628" s="3" t="n">
        <v>22.7</v>
      </c>
      <c r="N628" s="3" t="s">
        <v>171</v>
      </c>
      <c r="O628" s="3" t="s">
        <v>194</v>
      </c>
      <c r="P628" s="10"/>
      <c r="Q628" s="3" t="n">
        <f aca="false">IF(F628="Disposable",1,0)</f>
        <v>0</v>
      </c>
      <c r="R628" s="3" t="n">
        <f aca="false">IF(SUMPRODUCT(--ISNUMBER(SEARCH('Spam Rules'!$A$22:$A$35,K628)))&gt;0,1,0)</f>
        <v>0</v>
      </c>
      <c r="S628" s="3" t="n">
        <f aca="false">IF(AND(F628="Free",G628=""),1,0)</f>
        <v>0</v>
      </c>
      <c r="T628" s="3" t="n">
        <f aca="false">IF(LEN(TRIM(K628))&lt;15,1,0)</f>
        <v>0</v>
      </c>
      <c r="U628" s="3" t="n">
        <f aca="false">IF(COUNTIF($E$2:$E$801,E628)&gt;1,1,0)</f>
        <v>0</v>
      </c>
      <c r="V628" s="3" t="n">
        <f aca="false">Q628*'Spam Rules'!$H$6+R628*'Spam Rules'!$H$7+S628*'Spam Rules'!$H$8+T628*'Spam Rules'!$H$9+U628*'Spam Rules'!$H$10</f>
        <v>0</v>
      </c>
      <c r="W628" s="3" t="str">
        <f aca="false">IF(V628&gt;='Spam Rules'!$B$3,"Likely Spam","Genuine")</f>
        <v>Genuine</v>
      </c>
      <c r="X628" s="3" t="n">
        <f aca="false">IFERROR(INDEX('Scoring Model'!$B$5:$B$11,MATCH(C628,'Scoring Model'!$A$5:$A$11,0)),0)</f>
        <v>10</v>
      </c>
      <c r="Y628" s="3" t="n">
        <f aca="false">IFERROR(INDEX('Scoring Model'!$E$5:$E$7,MATCH(F628,'Scoring Model'!$D$5:$D$7,0)),0)</f>
        <v>0</v>
      </c>
      <c r="Z628" s="3" t="n">
        <f aca="false">IFERROR(INDEX('Scoring Model'!$H$5:$H$13,MATCH(J628,'Scoring Model'!$G$5:$G$13,0)),0)</f>
        <v>5</v>
      </c>
      <c r="AA628" s="3" t="n">
        <f aca="false">IF(L628&gt;='Scoring Model'!$B$14,'Scoring Model'!$B$15,IF(L628&gt;='Scoring Model'!$B$16,'Scoring Model'!$B$17,0))</f>
        <v>0</v>
      </c>
      <c r="AB628" s="3" t="n">
        <f aca="false">IF(SUMPRODUCT(--ISNUMBER(SEARCH('Scoring Model'!$D$16:$D$25,K628)))&gt;0,'Scoring Model'!$B$18,0)</f>
        <v>0</v>
      </c>
      <c r="AC628" s="3" t="n">
        <f aca="false">IF(SUMPRODUCT(--ISNUMBER(SEARCH('Scoring Model'!$G$16:$G$23,K628)))&gt;0,'Scoring Model'!$B$19,0)</f>
        <v>-30</v>
      </c>
      <c r="AD628" s="3" t="n">
        <f aca="false">IF(W628="Likely Spam","",SUM(X628:AC628))</f>
        <v>-15</v>
      </c>
      <c r="AE628" s="3" t="str">
        <f aca="false">IF(W628="Likely Spam","Spam",IF(AD628&gt;='Scoring Model'!$B$21,"Hot",IF(AD628&gt;='Scoring Model'!$B$22,"Warm","Nurture")))</f>
        <v>Nurture</v>
      </c>
      <c r="AF628" s="3" t="str">
        <f aca="false">IF(W628="Likely Spam","Flagged by spam rules",TRIM(IF(X628&gt;=20,"Strong source. ","")&amp;IF(Y628&gt;0,"Company email. ","")&amp;IF(Z628&gt;=15,"High-value product. ","")&amp;IF(AA628&gt;='Scoring Model'!$B$15,"High engagement. ","")&amp;IF(AB628&gt;0,"Buying intent in message. ","")&amp;IF(AC628&lt;0,"Negative intent in message. ","")))</f>
        <v>Negative intent in message.</v>
      </c>
      <c r="AG628" s="11" t="n">
        <f aca="false">IF(W628="Likely Spam","",1/(1+EXP(-('Conversion Model'!$B$5+IFERROR(INDEX('Conversion Model'!$B$8:$B$14,MATCH(C628,'Conversion Model'!$A$8:$A$14,0)),0)+IFERROR(INDEX('Conversion Model'!$E$8:$E$9,MATCH(F628,'Conversion Model'!$D$8:$D$9,0)),0)+IFERROR(INDEX('Conversion Model'!$H$8:$H$12,MATCH(IF(LEFT(J628,8)="Payments","Payments",IF(LEFT(J628,7)="Lending","Lending",J628)),'Conversion Model'!$G$8:$G$12,0)),0)+MIN(L628,15)*'Conversion Model'!$B$17+IF(SUMPRODUCT(--ISNUMBER(SEARCH('Scoring Model'!$D$16:$D$25,K628)))&gt;0,'Conversion Model'!$B$18,0)+IF(SUMPRODUCT(--ISNUMBER(SEARCH('Scoring Model'!$G$16:$G$23,K628)))&gt;0,'Conversion Model'!$B$19,0)))))</f>
        <v>0.00287736161913338</v>
      </c>
      <c r="AH628" s="3" t="n">
        <f aca="false">IF(OR(O628="Qualified",O628="Won",O628="Lost"),1,IF(O628="Unqualified",0,""))</f>
        <v>0</v>
      </c>
    </row>
    <row r="629" customFormat="false" ht="15" hidden="false" customHeight="true" outlineLevel="0" collapsed="false">
      <c r="A629" s="3" t="s">
        <v>2144</v>
      </c>
      <c r="B629" s="9" t="n">
        <v>46219.5291666667</v>
      </c>
      <c r="C629" s="3" t="s">
        <v>160</v>
      </c>
      <c r="D629" s="3" t="s">
        <v>2145</v>
      </c>
      <c r="E629" s="3" t="s">
        <v>2146</v>
      </c>
      <c r="F629" s="3" t="s">
        <v>54</v>
      </c>
      <c r="G629" s="3" t="s">
        <v>1006</v>
      </c>
      <c r="H629" s="3"/>
      <c r="I629" s="3" t="s">
        <v>188</v>
      </c>
      <c r="J629" s="3" t="s">
        <v>165</v>
      </c>
      <c r="K629" s="3" t="s">
        <v>228</v>
      </c>
      <c r="L629" s="3" t="n">
        <v>8</v>
      </c>
      <c r="M629" s="3" t="n">
        <v>23.1</v>
      </c>
      <c r="N629" s="3" t="s">
        <v>59</v>
      </c>
      <c r="O629" s="3" t="s">
        <v>110</v>
      </c>
      <c r="P629" s="10"/>
      <c r="Q629" s="3" t="n">
        <f aca="false">IF(F629="Disposable",1,0)</f>
        <v>0</v>
      </c>
      <c r="R629" s="3" t="n">
        <f aca="false">IF(SUMPRODUCT(--ISNUMBER(SEARCH('Spam Rules'!$A$22:$A$35,K629)))&gt;0,1,0)</f>
        <v>0</v>
      </c>
      <c r="S629" s="3" t="n">
        <f aca="false">IF(AND(F629="Free",G629=""),1,0)</f>
        <v>0</v>
      </c>
      <c r="T629" s="3" t="n">
        <f aca="false">IF(LEN(TRIM(K629))&lt;15,1,0)</f>
        <v>0</v>
      </c>
      <c r="U629" s="3" t="n">
        <f aca="false">IF(COUNTIF($E$2:$E$801,E629)&gt;1,1,0)</f>
        <v>0</v>
      </c>
      <c r="V629" s="3" t="n">
        <f aca="false">Q629*'Spam Rules'!$H$6+R629*'Spam Rules'!$H$7+S629*'Spam Rules'!$H$8+T629*'Spam Rules'!$H$9+U629*'Spam Rules'!$H$10</f>
        <v>0</v>
      </c>
      <c r="W629" s="3" t="str">
        <f aca="false">IF(V629&gt;='Spam Rules'!$B$3,"Likely Spam","Genuine")</f>
        <v>Genuine</v>
      </c>
      <c r="X629" s="3" t="n">
        <f aca="false">IFERROR(INDEX('Scoring Model'!$B$5:$B$11,MATCH(C629,'Scoring Model'!$A$5:$A$11,0)),0)</f>
        <v>25</v>
      </c>
      <c r="Y629" s="3" t="n">
        <f aca="false">IFERROR(INDEX('Scoring Model'!$E$5:$E$7,MATCH(F629,'Scoring Model'!$D$5:$D$7,0)),0)</f>
        <v>0</v>
      </c>
      <c r="Z629" s="3" t="n">
        <f aca="false">IFERROR(INDEX('Scoring Model'!$H$5:$H$13,MATCH(J629,'Scoring Model'!$G$5:$G$13,0)),0)</f>
        <v>15</v>
      </c>
      <c r="AA629" s="3" t="n">
        <f aca="false">IF(L629&gt;='Scoring Model'!$B$14,'Scoring Model'!$B$15,IF(L629&gt;='Scoring Model'!$B$16,'Scoring Model'!$B$17,0))</f>
        <v>15</v>
      </c>
      <c r="AB629" s="3" t="n">
        <f aca="false">IF(SUMPRODUCT(--ISNUMBER(SEARCH('Scoring Model'!$D$16:$D$25,K629)))&gt;0,'Scoring Model'!$B$18,0)</f>
        <v>15</v>
      </c>
      <c r="AC629" s="3" t="n">
        <f aca="false">IF(SUMPRODUCT(--ISNUMBER(SEARCH('Scoring Model'!$G$16:$G$23,K629)))&gt;0,'Scoring Model'!$B$19,0)</f>
        <v>0</v>
      </c>
      <c r="AD629" s="3" t="n">
        <f aca="false">IF(W629="Likely Spam","",SUM(X629:AC629))</f>
        <v>70</v>
      </c>
      <c r="AE629" s="3" t="str">
        <f aca="false">IF(W629="Likely Spam","Spam",IF(AD629&gt;='Scoring Model'!$B$21,"Hot",IF(AD629&gt;='Scoring Model'!$B$22,"Warm","Nurture")))</f>
        <v>Hot</v>
      </c>
      <c r="AF629" s="3" t="str">
        <f aca="false">IF(W629="Likely Spam","Flagged by spam rules",TRIM(IF(X629&gt;=20,"Strong source. ","")&amp;IF(Y629&gt;0,"Company email. ","")&amp;IF(Z629&gt;=15,"High-value product. ","")&amp;IF(AA629&gt;='Scoring Model'!$B$15,"High engagement. ","")&amp;IF(AB629&gt;0,"Buying intent in message. ","")&amp;IF(AC629&lt;0,"Negative intent in message. ","")))</f>
        <v>Strong source. High-value product. High engagement. Buying intent in message.</v>
      </c>
      <c r="AG629" s="11" t="n">
        <f aca="false">IF(W629="Likely Spam","",1/(1+EXP(-('Conversion Model'!$B$5+IFERROR(INDEX('Conversion Model'!$B$8:$B$14,MATCH(C629,'Conversion Model'!$A$8:$A$14,0)),0)+IFERROR(INDEX('Conversion Model'!$E$8:$E$9,MATCH(F629,'Conversion Model'!$D$8:$D$9,0)),0)+IFERROR(INDEX('Conversion Model'!$H$8:$H$12,MATCH(IF(LEFT(J629,8)="Payments","Payments",IF(LEFT(J629,7)="Lending","Lending",J629)),'Conversion Model'!$G$8:$G$12,0)),0)+MIN(L629,15)*'Conversion Model'!$B$17+IF(SUMPRODUCT(--ISNUMBER(SEARCH('Scoring Model'!$D$16:$D$25,K629)))&gt;0,'Conversion Model'!$B$18,0)+IF(SUMPRODUCT(--ISNUMBER(SEARCH('Scoring Model'!$G$16:$G$23,K629)))&gt;0,'Conversion Model'!$B$19,0)))))</f>
        <v>0.944117533944236</v>
      </c>
      <c r="AH629" s="3" t="n">
        <f aca="false">IF(OR(O629="Qualified",O629="Won",O629="Lost"),1,IF(O629="Unqualified",0,""))</f>
        <v>1</v>
      </c>
    </row>
    <row r="630" customFormat="false" ht="15" hidden="false" customHeight="true" outlineLevel="0" collapsed="false">
      <c r="A630" s="3" t="s">
        <v>2147</v>
      </c>
      <c r="B630" s="9" t="n">
        <v>46219.9486111111</v>
      </c>
      <c r="C630" s="3" t="s">
        <v>91</v>
      </c>
      <c r="D630" s="3" t="s">
        <v>173</v>
      </c>
      <c r="E630" s="3" t="s">
        <v>2148</v>
      </c>
      <c r="F630" s="3" t="s">
        <v>54</v>
      </c>
      <c r="G630" s="3"/>
      <c r="H630" s="3"/>
      <c r="I630" s="3" t="s">
        <v>73</v>
      </c>
      <c r="J630" s="3" t="s">
        <v>145</v>
      </c>
      <c r="K630" s="3" t="s">
        <v>213</v>
      </c>
      <c r="L630" s="3" t="n">
        <v>2</v>
      </c>
      <c r="M630" s="3" t="n">
        <v>25.7</v>
      </c>
      <c r="N630" s="3" t="s">
        <v>59</v>
      </c>
      <c r="O630" s="3" t="s">
        <v>194</v>
      </c>
      <c r="P630" s="10"/>
      <c r="Q630" s="3" t="n">
        <f aca="false">IF(F630="Disposable",1,0)</f>
        <v>0</v>
      </c>
      <c r="R630" s="3" t="n">
        <f aca="false">IF(SUMPRODUCT(--ISNUMBER(SEARCH('Spam Rules'!$A$22:$A$35,K630)))&gt;0,1,0)</f>
        <v>0</v>
      </c>
      <c r="S630" s="3" t="n">
        <f aca="false">IF(AND(F630="Free",G630=""),1,0)</f>
        <v>1</v>
      </c>
      <c r="T630" s="3" t="n">
        <f aca="false">IF(LEN(TRIM(K630))&lt;15,1,0)</f>
        <v>0</v>
      </c>
      <c r="U630" s="3" t="n">
        <f aca="false">IF(COUNTIF($E$2:$E$801,E630)&gt;1,1,0)</f>
        <v>0</v>
      </c>
      <c r="V630" s="3" t="n">
        <f aca="false">Q630*'Spam Rules'!$H$6+R630*'Spam Rules'!$H$7+S630*'Spam Rules'!$H$8+T630*'Spam Rules'!$H$9+U630*'Spam Rules'!$H$10</f>
        <v>0</v>
      </c>
      <c r="W630" s="3" t="str">
        <f aca="false">IF(V630&gt;='Spam Rules'!$B$3,"Likely Spam","Genuine")</f>
        <v>Genuine</v>
      </c>
      <c r="X630" s="3" t="n">
        <f aca="false">IFERROR(INDEX('Scoring Model'!$B$5:$B$11,MATCH(C630,'Scoring Model'!$A$5:$A$11,0)),0)</f>
        <v>5</v>
      </c>
      <c r="Y630" s="3" t="n">
        <f aca="false">IFERROR(INDEX('Scoring Model'!$E$5:$E$7,MATCH(F630,'Scoring Model'!$D$5:$D$7,0)),0)</f>
        <v>0</v>
      </c>
      <c r="Z630" s="3" t="n">
        <f aca="false">IFERROR(INDEX('Scoring Model'!$H$5:$H$13,MATCH(J630,'Scoring Model'!$G$5:$G$13,0)),0)</f>
        <v>5</v>
      </c>
      <c r="AA630" s="3" t="n">
        <f aca="false">IF(L630&gt;='Scoring Model'!$B$14,'Scoring Model'!$B$15,IF(L630&gt;='Scoring Model'!$B$16,'Scoring Model'!$B$17,0))</f>
        <v>0</v>
      </c>
      <c r="AB630" s="3" t="n">
        <f aca="false">IF(SUMPRODUCT(--ISNUMBER(SEARCH('Scoring Model'!$D$16:$D$25,K630)))&gt;0,'Scoring Model'!$B$18,0)</f>
        <v>0</v>
      </c>
      <c r="AC630" s="3" t="n">
        <f aca="false">IF(SUMPRODUCT(--ISNUMBER(SEARCH('Scoring Model'!$G$16:$G$23,K630)))&gt;0,'Scoring Model'!$B$19,0)</f>
        <v>-30</v>
      </c>
      <c r="AD630" s="3" t="n">
        <f aca="false">IF(W630="Likely Spam","",SUM(X630:AC630))</f>
        <v>-20</v>
      </c>
      <c r="AE630" s="3" t="str">
        <f aca="false">IF(W630="Likely Spam","Spam",IF(AD630&gt;='Scoring Model'!$B$21,"Hot",IF(AD630&gt;='Scoring Model'!$B$22,"Warm","Nurture")))</f>
        <v>Nurture</v>
      </c>
      <c r="AF630" s="3" t="str">
        <f aca="false">IF(W630="Likely Spam","Flagged by spam rules",TRIM(IF(X630&gt;=20,"Strong source. ","")&amp;IF(Y630&gt;0,"Company email. ","")&amp;IF(Z630&gt;=15,"High-value product. ","")&amp;IF(AA630&gt;='Scoring Model'!$B$15,"High engagement. ","")&amp;IF(AB630&gt;0,"Buying intent in message. ","")&amp;IF(AC630&lt;0,"Negative intent in message. ","")))</f>
        <v>Negative intent in message.</v>
      </c>
      <c r="AG630" s="11" t="n">
        <f aca="false">IF(W630="Likely Spam","",1/(1+EXP(-('Conversion Model'!$B$5+IFERROR(INDEX('Conversion Model'!$B$8:$B$14,MATCH(C630,'Conversion Model'!$A$8:$A$14,0)),0)+IFERROR(INDEX('Conversion Model'!$E$8:$E$9,MATCH(F630,'Conversion Model'!$D$8:$D$9,0)),0)+IFERROR(INDEX('Conversion Model'!$H$8:$H$12,MATCH(IF(LEFT(J630,8)="Payments","Payments",IF(LEFT(J630,7)="Lending","Lending",J630)),'Conversion Model'!$G$8:$G$12,0)),0)+MIN(L630,15)*'Conversion Model'!$B$17+IF(SUMPRODUCT(--ISNUMBER(SEARCH('Scoring Model'!$D$16:$D$25,K630)))&gt;0,'Conversion Model'!$B$18,0)+IF(SUMPRODUCT(--ISNUMBER(SEARCH('Scoring Model'!$G$16:$G$23,K630)))&gt;0,'Conversion Model'!$B$19,0)))))</f>
        <v>0.00210780106204325</v>
      </c>
      <c r="AH630" s="3" t="n">
        <f aca="false">IF(OR(O630="Qualified",O630="Won",O630="Lost"),1,IF(O630="Unqualified",0,""))</f>
        <v>0</v>
      </c>
    </row>
    <row r="631" customFormat="false" ht="15" hidden="false" customHeight="true" outlineLevel="0" collapsed="false">
      <c r="A631" s="3" t="s">
        <v>2149</v>
      </c>
      <c r="B631" s="9" t="n">
        <v>46220.55625</v>
      </c>
      <c r="C631" s="3" t="s">
        <v>51</v>
      </c>
      <c r="D631" s="3" t="s">
        <v>2150</v>
      </c>
      <c r="E631" s="3" t="s">
        <v>2151</v>
      </c>
      <c r="F631" s="3" t="s">
        <v>54</v>
      </c>
      <c r="G631" s="3" t="s">
        <v>321</v>
      </c>
      <c r="H631" s="3"/>
      <c r="I631" s="3" t="s">
        <v>116</v>
      </c>
      <c r="J631" s="3" t="s">
        <v>65</v>
      </c>
      <c r="K631" s="3" t="s">
        <v>89</v>
      </c>
      <c r="L631" s="3" t="n">
        <v>1</v>
      </c>
      <c r="M631" s="3" t="n">
        <v>18.6</v>
      </c>
      <c r="N631" s="3" t="s">
        <v>96</v>
      </c>
      <c r="O631" s="3" t="s">
        <v>68</v>
      </c>
      <c r="P631" s="10"/>
      <c r="Q631" s="3" t="n">
        <f aca="false">IF(F631="Disposable",1,0)</f>
        <v>0</v>
      </c>
      <c r="R631" s="3" t="n">
        <f aca="false">IF(SUMPRODUCT(--ISNUMBER(SEARCH('Spam Rules'!$A$22:$A$35,K631)))&gt;0,1,0)</f>
        <v>1</v>
      </c>
      <c r="S631" s="3" t="n">
        <f aca="false">IF(AND(F631="Free",G631=""),1,0)</f>
        <v>0</v>
      </c>
      <c r="T631" s="3" t="n">
        <f aca="false">IF(LEN(TRIM(K631))&lt;15,1,0)</f>
        <v>0</v>
      </c>
      <c r="U631" s="3" t="n">
        <f aca="false">IF(COUNTIF($E$2:$E$801,E631)&gt;1,1,0)</f>
        <v>0</v>
      </c>
      <c r="V631" s="3" t="n">
        <f aca="false">Q631*'Spam Rules'!$H$6+R631*'Spam Rules'!$H$7+S631*'Spam Rules'!$H$8+T631*'Spam Rules'!$H$9+U631*'Spam Rules'!$H$10</f>
        <v>1</v>
      </c>
      <c r="W631" s="3" t="str">
        <f aca="false">IF(V631&gt;='Spam Rules'!$B$3,"Likely Spam","Genuine")</f>
        <v>Likely Spam</v>
      </c>
      <c r="X631" s="3" t="n">
        <f aca="false">IFERROR(INDEX('Scoring Model'!$B$5:$B$11,MATCH(C631,'Scoring Model'!$A$5:$A$11,0)),0)</f>
        <v>10</v>
      </c>
      <c r="Y631" s="3" t="n">
        <f aca="false">IFERROR(INDEX('Scoring Model'!$E$5:$E$7,MATCH(F631,'Scoring Model'!$D$5:$D$7,0)),0)</f>
        <v>0</v>
      </c>
      <c r="Z631" s="3" t="n">
        <f aca="false">IFERROR(INDEX('Scoring Model'!$H$5:$H$13,MATCH(J631,'Scoring Model'!$G$5:$G$13,0)),0)</f>
        <v>0</v>
      </c>
      <c r="AA631" s="3" t="n">
        <f aca="false">IF(L631&gt;='Scoring Model'!$B$14,'Scoring Model'!$B$15,IF(L631&gt;='Scoring Model'!$B$16,'Scoring Model'!$B$17,0))</f>
        <v>0</v>
      </c>
      <c r="AB631" s="3" t="n">
        <f aca="false">IF(SUMPRODUCT(--ISNUMBER(SEARCH('Scoring Model'!$D$16:$D$25,K631)))&gt;0,'Scoring Model'!$B$18,0)</f>
        <v>0</v>
      </c>
      <c r="AC631" s="3" t="n">
        <f aca="false">IF(SUMPRODUCT(--ISNUMBER(SEARCH('Scoring Model'!$G$16:$G$23,K631)))&gt;0,'Scoring Model'!$B$19,0)</f>
        <v>0</v>
      </c>
      <c r="AD631" s="3" t="str">
        <f aca="false">IF(W631="Likely Spam","",SUM(X631:AC631))</f>
        <v/>
      </c>
      <c r="AE631" s="3" t="str">
        <f aca="false">IF(W631="Likely Spam","Spam",IF(AD631&gt;='Scoring Model'!$B$21,"Hot",IF(AD631&gt;='Scoring Model'!$B$22,"Warm","Nurture")))</f>
        <v>Spam</v>
      </c>
      <c r="AF631" s="3" t="str">
        <f aca="false">IF(W631="Likely Spam","Flagged by spam rules",TRIM(IF(X631&gt;=20,"Strong source. ","")&amp;IF(Y631&gt;0,"Company email. ","")&amp;IF(Z631&gt;=15,"High-value product. ","")&amp;IF(AA631&gt;='Scoring Model'!$B$15,"High engagement. ","")&amp;IF(AB631&gt;0,"Buying intent in message. ","")&amp;IF(AC631&lt;0,"Negative intent in message. ","")))</f>
        <v>Flagged by spam rules</v>
      </c>
      <c r="AG631" s="11" t="str">
        <f aca="false">IF(W631="Likely Spam","",1/(1+EXP(-('Conversion Model'!$B$5+IFERROR(INDEX('Conversion Model'!$B$8:$B$14,MATCH(C631,'Conversion Model'!$A$8:$A$14,0)),0)+IFERROR(INDEX('Conversion Model'!$E$8:$E$9,MATCH(F631,'Conversion Model'!$D$8:$D$9,0)),0)+IFERROR(INDEX('Conversion Model'!$H$8:$H$12,MATCH(IF(LEFT(J631,8)="Payments","Payments",IF(LEFT(J631,7)="Lending","Lending",J631)),'Conversion Model'!$G$8:$G$12,0)),0)+MIN(L631,15)*'Conversion Model'!$B$17+IF(SUMPRODUCT(--ISNUMBER(SEARCH('Scoring Model'!$D$16:$D$25,K631)))&gt;0,'Conversion Model'!$B$18,0)+IF(SUMPRODUCT(--ISNUMBER(SEARCH('Scoring Model'!$G$16:$G$23,K631)))&gt;0,'Conversion Model'!$B$19,0)))))</f>
        <v/>
      </c>
      <c r="AH631" s="3" t="str">
        <f aca="false">IF(OR(O631="Qualified",O631="Won",O631="Lost"),1,IF(O631="Unqualified",0,""))</f>
        <v/>
      </c>
    </row>
    <row r="632" customFormat="false" ht="15" hidden="false" customHeight="true" outlineLevel="0" collapsed="false">
      <c r="A632" s="3" t="s">
        <v>2152</v>
      </c>
      <c r="B632" s="9" t="n">
        <v>46220.64375</v>
      </c>
      <c r="C632" s="3" t="s">
        <v>76</v>
      </c>
      <c r="D632" s="3" t="s">
        <v>336</v>
      </c>
      <c r="E632" s="3" t="s">
        <v>2153</v>
      </c>
      <c r="F632" s="3" t="s">
        <v>63</v>
      </c>
      <c r="G632" s="3"/>
      <c r="H632" s="3"/>
      <c r="I632" s="3" t="s">
        <v>227</v>
      </c>
      <c r="J632" s="3" t="s">
        <v>65</v>
      </c>
      <c r="K632" s="3" t="s">
        <v>322</v>
      </c>
      <c r="L632" s="3" t="n">
        <v>2</v>
      </c>
      <c r="M632" s="3"/>
      <c r="N632" s="3" t="s">
        <v>67</v>
      </c>
      <c r="O632" s="3" t="s">
        <v>68</v>
      </c>
      <c r="P632" s="10"/>
      <c r="Q632" s="3" t="n">
        <f aca="false">IF(F632="Disposable",1,0)</f>
        <v>1</v>
      </c>
      <c r="R632" s="3" t="n">
        <f aca="false">IF(SUMPRODUCT(--ISNUMBER(SEARCH('Spam Rules'!$A$22:$A$35,K632)))&gt;0,1,0)</f>
        <v>0</v>
      </c>
      <c r="S632" s="3" t="n">
        <f aca="false">IF(AND(F632="Free",G632=""),1,0)</f>
        <v>0</v>
      </c>
      <c r="T632" s="3" t="n">
        <f aca="false">IF(LEN(TRIM(K632))&lt;15,1,0)</f>
        <v>1</v>
      </c>
      <c r="U632" s="3" t="n">
        <f aca="false">IF(COUNTIF($E$2:$E$801,E632)&gt;1,1,0)</f>
        <v>0</v>
      </c>
      <c r="V632" s="3" t="n">
        <f aca="false">Q632*'Spam Rules'!$H$6+R632*'Spam Rules'!$H$7+S632*'Spam Rules'!$H$8+T632*'Spam Rules'!$H$9+U632*'Spam Rules'!$H$10</f>
        <v>2</v>
      </c>
      <c r="W632" s="3" t="str">
        <f aca="false">IF(V632&gt;='Spam Rules'!$B$3,"Likely Spam","Genuine")</f>
        <v>Likely Spam</v>
      </c>
      <c r="X632" s="3" t="n">
        <f aca="false">IFERROR(INDEX('Scoring Model'!$B$5:$B$11,MATCH(C632,'Scoring Model'!$A$5:$A$11,0)),0)</f>
        <v>0</v>
      </c>
      <c r="Y632" s="3" t="n">
        <f aca="false">IFERROR(INDEX('Scoring Model'!$E$5:$E$7,MATCH(F632,'Scoring Model'!$D$5:$D$7,0)),0)</f>
        <v>0</v>
      </c>
      <c r="Z632" s="3" t="n">
        <f aca="false">IFERROR(INDEX('Scoring Model'!$H$5:$H$13,MATCH(J632,'Scoring Model'!$G$5:$G$13,0)),0)</f>
        <v>0</v>
      </c>
      <c r="AA632" s="3" t="n">
        <f aca="false">IF(L632&gt;='Scoring Model'!$B$14,'Scoring Model'!$B$15,IF(L632&gt;='Scoring Model'!$B$16,'Scoring Model'!$B$17,0))</f>
        <v>0</v>
      </c>
      <c r="AB632" s="3" t="n">
        <f aca="false">IF(SUMPRODUCT(--ISNUMBER(SEARCH('Scoring Model'!$D$16:$D$25,K632)))&gt;0,'Scoring Model'!$B$18,0)</f>
        <v>0</v>
      </c>
      <c r="AC632" s="3" t="n">
        <f aca="false">IF(SUMPRODUCT(--ISNUMBER(SEARCH('Scoring Model'!$G$16:$G$23,K632)))&gt;0,'Scoring Model'!$B$19,0)</f>
        <v>0</v>
      </c>
      <c r="AD632" s="3" t="str">
        <f aca="false">IF(W632="Likely Spam","",SUM(X632:AC632))</f>
        <v/>
      </c>
      <c r="AE632" s="3" t="str">
        <f aca="false">IF(W632="Likely Spam","Spam",IF(AD632&gt;='Scoring Model'!$B$21,"Hot",IF(AD632&gt;='Scoring Model'!$B$22,"Warm","Nurture")))</f>
        <v>Spam</v>
      </c>
      <c r="AF632" s="3" t="str">
        <f aca="false">IF(W632="Likely Spam","Flagged by spam rules",TRIM(IF(X632&gt;=20,"Strong source. ","")&amp;IF(Y632&gt;0,"Company email. ","")&amp;IF(Z632&gt;=15,"High-value product. ","")&amp;IF(AA632&gt;='Scoring Model'!$B$15,"High engagement. ","")&amp;IF(AB632&gt;0,"Buying intent in message. ","")&amp;IF(AC632&lt;0,"Negative intent in message. ","")))</f>
        <v>Flagged by spam rules</v>
      </c>
      <c r="AG632" s="11" t="str">
        <f aca="false">IF(W632="Likely Spam","",1/(1+EXP(-('Conversion Model'!$B$5+IFERROR(INDEX('Conversion Model'!$B$8:$B$14,MATCH(C632,'Conversion Model'!$A$8:$A$14,0)),0)+IFERROR(INDEX('Conversion Model'!$E$8:$E$9,MATCH(F632,'Conversion Model'!$D$8:$D$9,0)),0)+IFERROR(INDEX('Conversion Model'!$H$8:$H$12,MATCH(IF(LEFT(J632,8)="Payments","Payments",IF(LEFT(J632,7)="Lending","Lending",J632)),'Conversion Model'!$G$8:$G$12,0)),0)+MIN(L632,15)*'Conversion Model'!$B$17+IF(SUMPRODUCT(--ISNUMBER(SEARCH('Scoring Model'!$D$16:$D$25,K632)))&gt;0,'Conversion Model'!$B$18,0)+IF(SUMPRODUCT(--ISNUMBER(SEARCH('Scoring Model'!$G$16:$G$23,K632)))&gt;0,'Conversion Model'!$B$19,0)))))</f>
        <v/>
      </c>
      <c r="AH632" s="3" t="str">
        <f aca="false">IF(OR(O632="Qualified",O632="Won",O632="Lost"),1,IF(O632="Unqualified",0,""))</f>
        <v/>
      </c>
    </row>
    <row r="633" customFormat="false" ht="15" hidden="false" customHeight="true" outlineLevel="0" collapsed="false">
      <c r="A633" s="3" t="s">
        <v>2154</v>
      </c>
      <c r="B633" s="9" t="n">
        <v>46220.9034722222</v>
      </c>
      <c r="C633" s="3" t="s">
        <v>160</v>
      </c>
      <c r="D633" s="3" t="s">
        <v>2155</v>
      </c>
      <c r="E633" s="3" t="s">
        <v>2156</v>
      </c>
      <c r="F633" s="3" t="s">
        <v>22</v>
      </c>
      <c r="G633" s="3" t="s">
        <v>1154</v>
      </c>
      <c r="H633" s="3" t="s">
        <v>1155</v>
      </c>
      <c r="I633" s="3" t="s">
        <v>227</v>
      </c>
      <c r="J633" s="3" t="s">
        <v>245</v>
      </c>
      <c r="K633" s="3" t="s">
        <v>58</v>
      </c>
      <c r="L633" s="3" t="n">
        <v>10</v>
      </c>
      <c r="M633" s="3" t="n">
        <v>19.3</v>
      </c>
      <c r="N633" s="3" t="s">
        <v>59</v>
      </c>
      <c r="O633" s="3" t="s">
        <v>110</v>
      </c>
      <c r="P633" s="10"/>
      <c r="Q633" s="3" t="n">
        <f aca="false">IF(F633="Disposable",1,0)</f>
        <v>0</v>
      </c>
      <c r="R633" s="3" t="n">
        <f aca="false">IF(SUMPRODUCT(--ISNUMBER(SEARCH('Spam Rules'!$A$22:$A$35,K633)))&gt;0,1,0)</f>
        <v>0</v>
      </c>
      <c r="S633" s="3" t="n">
        <f aca="false">IF(AND(F633="Free",G633=""),1,0)</f>
        <v>0</v>
      </c>
      <c r="T633" s="3" t="n">
        <f aca="false">IF(LEN(TRIM(K633))&lt;15,1,0)</f>
        <v>0</v>
      </c>
      <c r="U633" s="3" t="n">
        <f aca="false">IF(COUNTIF($E$2:$E$801,E633)&gt;1,1,0)</f>
        <v>0</v>
      </c>
      <c r="V633" s="3" t="n">
        <f aca="false">Q633*'Spam Rules'!$H$6+R633*'Spam Rules'!$H$7+S633*'Spam Rules'!$H$8+T633*'Spam Rules'!$H$9+U633*'Spam Rules'!$H$10</f>
        <v>0</v>
      </c>
      <c r="W633" s="3" t="str">
        <f aca="false">IF(V633&gt;='Spam Rules'!$B$3,"Likely Spam","Genuine")</f>
        <v>Genuine</v>
      </c>
      <c r="X633" s="3" t="n">
        <f aca="false">IFERROR(INDEX('Scoring Model'!$B$5:$B$11,MATCH(C633,'Scoring Model'!$A$5:$A$11,0)),0)</f>
        <v>25</v>
      </c>
      <c r="Y633" s="3" t="n">
        <f aca="false">IFERROR(INDEX('Scoring Model'!$E$5:$E$7,MATCH(F633,'Scoring Model'!$D$5:$D$7,0)),0)</f>
        <v>20</v>
      </c>
      <c r="Z633" s="3" t="n">
        <f aca="false">IFERROR(INDEX('Scoring Model'!$H$5:$H$13,MATCH(J633,'Scoring Model'!$G$5:$G$13,0)),0)</f>
        <v>15</v>
      </c>
      <c r="AA633" s="3" t="n">
        <f aca="false">IF(L633&gt;='Scoring Model'!$B$14,'Scoring Model'!$B$15,IF(L633&gt;='Scoring Model'!$B$16,'Scoring Model'!$B$17,0))</f>
        <v>15</v>
      </c>
      <c r="AB633" s="3" t="n">
        <f aca="false">IF(SUMPRODUCT(--ISNUMBER(SEARCH('Scoring Model'!$D$16:$D$25,K633)))&gt;0,'Scoring Model'!$B$18,0)</f>
        <v>15</v>
      </c>
      <c r="AC633" s="3" t="n">
        <f aca="false">IF(SUMPRODUCT(--ISNUMBER(SEARCH('Scoring Model'!$G$16:$G$23,K633)))&gt;0,'Scoring Model'!$B$19,0)</f>
        <v>0</v>
      </c>
      <c r="AD633" s="3" t="n">
        <f aca="false">IF(W633="Likely Spam","",SUM(X633:AC633))</f>
        <v>90</v>
      </c>
      <c r="AE633" s="3" t="str">
        <f aca="false">IF(W633="Likely Spam","Spam",IF(AD633&gt;='Scoring Model'!$B$21,"Hot",IF(AD633&gt;='Scoring Model'!$B$22,"Warm","Nurture")))</f>
        <v>Hot</v>
      </c>
      <c r="AF633" s="3" t="str">
        <f aca="false">IF(W633="Likely Spam","Flagged by spam rules",TRIM(IF(X633&gt;=20,"Strong source. ","")&amp;IF(Y633&gt;0,"Company email. ","")&amp;IF(Z633&gt;=15,"High-value product. ","")&amp;IF(AA633&gt;='Scoring Model'!$B$15,"High engagement. ","")&amp;IF(AB633&gt;0,"Buying intent in message. ","")&amp;IF(AC633&lt;0,"Negative intent in message. ","")))</f>
        <v>Strong source. Company email. High-value product. High engagement. Buying intent in message.</v>
      </c>
      <c r="AG633" s="11" t="n">
        <f aca="false">IF(W633="Likely Spam","",1/(1+EXP(-('Conversion Model'!$B$5+IFERROR(INDEX('Conversion Model'!$B$8:$B$14,MATCH(C633,'Conversion Model'!$A$8:$A$14,0)),0)+IFERROR(INDEX('Conversion Model'!$E$8:$E$9,MATCH(F633,'Conversion Model'!$D$8:$D$9,0)),0)+IFERROR(INDEX('Conversion Model'!$H$8:$H$12,MATCH(IF(LEFT(J633,8)="Payments","Payments",IF(LEFT(J633,7)="Lending","Lending",J633)),'Conversion Model'!$G$8:$G$12,0)),0)+MIN(L633,15)*'Conversion Model'!$B$17+IF(SUMPRODUCT(--ISNUMBER(SEARCH('Scoring Model'!$D$16:$D$25,K633)))&gt;0,'Conversion Model'!$B$18,0)+IF(SUMPRODUCT(--ISNUMBER(SEARCH('Scoring Model'!$G$16:$G$23,K633)))&gt;0,'Conversion Model'!$B$19,0)))))</f>
        <v>0.998067487640788</v>
      </c>
      <c r="AH633" s="3" t="n">
        <f aca="false">IF(OR(O633="Qualified",O633="Won",O633="Lost"),1,IF(O633="Unqualified",0,""))</f>
        <v>1</v>
      </c>
    </row>
    <row r="634" customFormat="false" ht="15" hidden="false" customHeight="true" outlineLevel="0" collapsed="false">
      <c r="A634" s="3" t="s">
        <v>2157</v>
      </c>
      <c r="B634" s="9" t="n">
        <v>46221.50625</v>
      </c>
      <c r="C634" s="3" t="s">
        <v>160</v>
      </c>
      <c r="D634" s="3" t="s">
        <v>1029</v>
      </c>
      <c r="E634" s="3" t="s">
        <v>2158</v>
      </c>
      <c r="F634" s="3" t="s">
        <v>22</v>
      </c>
      <c r="G634" s="3" t="s">
        <v>86</v>
      </c>
      <c r="H634" s="3" t="s">
        <v>87</v>
      </c>
      <c r="I634" s="3" t="s">
        <v>334</v>
      </c>
      <c r="J634" s="3" t="s">
        <v>81</v>
      </c>
      <c r="K634" s="3" t="s">
        <v>66</v>
      </c>
      <c r="L634" s="3" t="n">
        <v>1</v>
      </c>
      <c r="M634" s="3"/>
      <c r="N634" s="3" t="s">
        <v>96</v>
      </c>
      <c r="O634" s="3" t="s">
        <v>68</v>
      </c>
      <c r="P634" s="10"/>
      <c r="Q634" s="3" t="n">
        <f aca="false">IF(F634="Disposable",1,0)</f>
        <v>0</v>
      </c>
      <c r="R634" s="3" t="n">
        <f aca="false">IF(SUMPRODUCT(--ISNUMBER(SEARCH('Spam Rules'!$A$22:$A$35,K634)))&gt;0,1,0)</f>
        <v>1</v>
      </c>
      <c r="S634" s="3" t="n">
        <f aca="false">IF(AND(F634="Free",G634=""),1,0)</f>
        <v>0</v>
      </c>
      <c r="T634" s="3" t="n">
        <f aca="false">IF(LEN(TRIM(K634))&lt;15,1,0)</f>
        <v>0</v>
      </c>
      <c r="U634" s="3" t="n">
        <f aca="false">IF(COUNTIF($E$2:$E$801,E634)&gt;1,1,0)</f>
        <v>0</v>
      </c>
      <c r="V634" s="3" t="n">
        <f aca="false">Q634*'Spam Rules'!$H$6+R634*'Spam Rules'!$H$7+S634*'Spam Rules'!$H$8+T634*'Spam Rules'!$H$9+U634*'Spam Rules'!$H$10</f>
        <v>1</v>
      </c>
      <c r="W634" s="3" t="str">
        <f aca="false">IF(V634&gt;='Spam Rules'!$B$3,"Likely Spam","Genuine")</f>
        <v>Likely Spam</v>
      </c>
      <c r="X634" s="3" t="n">
        <f aca="false">IFERROR(INDEX('Scoring Model'!$B$5:$B$11,MATCH(C634,'Scoring Model'!$A$5:$A$11,0)),0)</f>
        <v>25</v>
      </c>
      <c r="Y634" s="3" t="n">
        <f aca="false">IFERROR(INDEX('Scoring Model'!$E$5:$E$7,MATCH(F634,'Scoring Model'!$D$5:$D$7,0)),0)</f>
        <v>20</v>
      </c>
      <c r="Z634" s="3" t="n">
        <f aca="false">IFERROR(INDEX('Scoring Model'!$H$5:$H$13,MATCH(J634,'Scoring Model'!$G$5:$G$13,0)),0)</f>
        <v>5</v>
      </c>
      <c r="AA634" s="3" t="n">
        <f aca="false">IF(L634&gt;='Scoring Model'!$B$14,'Scoring Model'!$B$15,IF(L634&gt;='Scoring Model'!$B$16,'Scoring Model'!$B$17,0))</f>
        <v>0</v>
      </c>
      <c r="AB634" s="3" t="n">
        <f aca="false">IF(SUMPRODUCT(--ISNUMBER(SEARCH('Scoring Model'!$D$16:$D$25,K634)))&gt;0,'Scoring Model'!$B$18,0)</f>
        <v>0</v>
      </c>
      <c r="AC634" s="3" t="n">
        <f aca="false">IF(SUMPRODUCT(--ISNUMBER(SEARCH('Scoring Model'!$G$16:$G$23,K634)))&gt;0,'Scoring Model'!$B$19,0)</f>
        <v>0</v>
      </c>
      <c r="AD634" s="3" t="str">
        <f aca="false">IF(W634="Likely Spam","",SUM(X634:AC634))</f>
        <v/>
      </c>
      <c r="AE634" s="3" t="str">
        <f aca="false">IF(W634="Likely Spam","Spam",IF(AD634&gt;='Scoring Model'!$B$21,"Hot",IF(AD634&gt;='Scoring Model'!$B$22,"Warm","Nurture")))</f>
        <v>Spam</v>
      </c>
      <c r="AF634" s="3" t="str">
        <f aca="false">IF(W634="Likely Spam","Flagged by spam rules",TRIM(IF(X634&gt;=20,"Strong source. ","")&amp;IF(Y634&gt;0,"Company email. ","")&amp;IF(Z634&gt;=15,"High-value product. ","")&amp;IF(AA634&gt;='Scoring Model'!$B$15,"High engagement. ","")&amp;IF(AB634&gt;0,"Buying intent in message. ","")&amp;IF(AC634&lt;0,"Negative intent in message. ","")))</f>
        <v>Flagged by spam rules</v>
      </c>
      <c r="AG634" s="11" t="str">
        <f aca="false">IF(W634="Likely Spam","",1/(1+EXP(-('Conversion Model'!$B$5+IFERROR(INDEX('Conversion Model'!$B$8:$B$14,MATCH(C634,'Conversion Model'!$A$8:$A$14,0)),0)+IFERROR(INDEX('Conversion Model'!$E$8:$E$9,MATCH(F634,'Conversion Model'!$D$8:$D$9,0)),0)+IFERROR(INDEX('Conversion Model'!$H$8:$H$12,MATCH(IF(LEFT(J634,8)="Payments","Payments",IF(LEFT(J634,7)="Lending","Lending",J634)),'Conversion Model'!$G$8:$G$12,0)),0)+MIN(L634,15)*'Conversion Model'!$B$17+IF(SUMPRODUCT(--ISNUMBER(SEARCH('Scoring Model'!$D$16:$D$25,K634)))&gt;0,'Conversion Model'!$B$18,0)+IF(SUMPRODUCT(--ISNUMBER(SEARCH('Scoring Model'!$G$16:$G$23,K634)))&gt;0,'Conversion Model'!$B$19,0)))))</f>
        <v/>
      </c>
      <c r="AH634" s="3" t="str">
        <f aca="false">IF(OR(O634="Qualified",O634="Won",O634="Lost"),1,IF(O634="Unqualified",0,""))</f>
        <v/>
      </c>
    </row>
    <row r="635" customFormat="false" ht="15" hidden="false" customHeight="true" outlineLevel="0" collapsed="false">
      <c r="A635" s="3" t="s">
        <v>2159</v>
      </c>
      <c r="B635" s="9" t="n">
        <v>46221.8180555556</v>
      </c>
      <c r="C635" s="3" t="s">
        <v>91</v>
      </c>
      <c r="D635" s="3" t="s">
        <v>1974</v>
      </c>
      <c r="E635" s="3" t="s">
        <v>2160</v>
      </c>
      <c r="F635" s="3" t="s">
        <v>54</v>
      </c>
      <c r="G635" s="3" t="s">
        <v>563</v>
      </c>
      <c r="H635" s="3"/>
      <c r="I635" s="3" t="s">
        <v>204</v>
      </c>
      <c r="J635" s="3" t="s">
        <v>65</v>
      </c>
      <c r="K635" s="3" t="s">
        <v>101</v>
      </c>
      <c r="L635" s="3" t="n">
        <v>4</v>
      </c>
      <c r="M635" s="3" t="n">
        <v>14.9</v>
      </c>
      <c r="N635" s="3" t="s">
        <v>59</v>
      </c>
      <c r="O635" s="3"/>
      <c r="P635" s="10"/>
      <c r="Q635" s="3" t="n">
        <f aca="false">IF(F635="Disposable",1,0)</f>
        <v>0</v>
      </c>
      <c r="R635" s="3" t="n">
        <f aca="false">IF(SUMPRODUCT(--ISNUMBER(SEARCH('Spam Rules'!$A$22:$A$35,K635)))&gt;0,1,0)</f>
        <v>0</v>
      </c>
      <c r="S635" s="3" t="n">
        <f aca="false">IF(AND(F635="Free",G635=""),1,0)</f>
        <v>0</v>
      </c>
      <c r="T635" s="3" t="n">
        <f aca="false">IF(LEN(TRIM(K635))&lt;15,1,0)</f>
        <v>0</v>
      </c>
      <c r="U635" s="3" t="n">
        <f aca="false">IF(COUNTIF($E$2:$E$801,E635)&gt;1,1,0)</f>
        <v>0</v>
      </c>
      <c r="V635" s="3" t="n">
        <f aca="false">Q635*'Spam Rules'!$H$6+R635*'Spam Rules'!$H$7+S635*'Spam Rules'!$H$8+T635*'Spam Rules'!$H$9+U635*'Spam Rules'!$H$10</f>
        <v>0</v>
      </c>
      <c r="W635" s="3" t="str">
        <f aca="false">IF(V635&gt;='Spam Rules'!$B$3,"Likely Spam","Genuine")</f>
        <v>Genuine</v>
      </c>
      <c r="X635" s="3" t="n">
        <f aca="false">IFERROR(INDEX('Scoring Model'!$B$5:$B$11,MATCH(C635,'Scoring Model'!$A$5:$A$11,0)),0)</f>
        <v>5</v>
      </c>
      <c r="Y635" s="3" t="n">
        <f aca="false">IFERROR(INDEX('Scoring Model'!$E$5:$E$7,MATCH(F635,'Scoring Model'!$D$5:$D$7,0)),0)</f>
        <v>0</v>
      </c>
      <c r="Z635" s="3" t="n">
        <f aca="false">IFERROR(INDEX('Scoring Model'!$H$5:$H$13,MATCH(J635,'Scoring Model'!$G$5:$G$13,0)),0)</f>
        <v>0</v>
      </c>
      <c r="AA635" s="3" t="n">
        <f aca="false">IF(L635&gt;='Scoring Model'!$B$14,'Scoring Model'!$B$15,IF(L635&gt;='Scoring Model'!$B$16,'Scoring Model'!$B$17,0))</f>
        <v>8</v>
      </c>
      <c r="AB635" s="3" t="n">
        <f aca="false">IF(SUMPRODUCT(--ISNUMBER(SEARCH('Scoring Model'!$D$16:$D$25,K635)))&gt;0,'Scoring Model'!$B$18,0)</f>
        <v>0</v>
      </c>
      <c r="AC635" s="3" t="n">
        <f aca="false">IF(SUMPRODUCT(--ISNUMBER(SEARCH('Scoring Model'!$G$16:$G$23,K635)))&gt;0,'Scoring Model'!$B$19,0)</f>
        <v>-30</v>
      </c>
      <c r="AD635" s="3" t="n">
        <f aca="false">IF(W635="Likely Spam","",SUM(X635:AC635))</f>
        <v>-17</v>
      </c>
      <c r="AE635" s="3" t="str">
        <f aca="false">IF(W635="Likely Spam","Spam",IF(AD635&gt;='Scoring Model'!$B$21,"Hot",IF(AD635&gt;='Scoring Model'!$B$22,"Warm","Nurture")))</f>
        <v>Nurture</v>
      </c>
      <c r="AF635" s="3" t="str">
        <f aca="false">IF(W635="Likely Spam","Flagged by spam rules",TRIM(IF(X635&gt;=20,"Strong source. ","")&amp;IF(Y635&gt;0,"Company email. ","")&amp;IF(Z635&gt;=15,"High-value product. ","")&amp;IF(AA635&gt;='Scoring Model'!$B$15,"High engagement. ","")&amp;IF(AB635&gt;0,"Buying intent in message. ","")&amp;IF(AC635&lt;0,"Negative intent in message. ","")))</f>
        <v>Negative intent in message.</v>
      </c>
      <c r="AG635" s="11" t="n">
        <f aca="false">IF(W635="Likely Spam","",1/(1+EXP(-('Conversion Model'!$B$5+IFERROR(INDEX('Conversion Model'!$B$8:$B$14,MATCH(C635,'Conversion Model'!$A$8:$A$14,0)),0)+IFERROR(INDEX('Conversion Model'!$E$8:$E$9,MATCH(F635,'Conversion Model'!$D$8:$D$9,0)),0)+IFERROR(INDEX('Conversion Model'!$H$8:$H$12,MATCH(IF(LEFT(J635,8)="Payments","Payments",IF(LEFT(J635,7)="Lending","Lending",J635)),'Conversion Model'!$G$8:$G$12,0)),0)+MIN(L635,15)*'Conversion Model'!$B$17+IF(SUMPRODUCT(--ISNUMBER(SEARCH('Scoring Model'!$D$16:$D$25,K635)))&gt;0,'Conversion Model'!$B$18,0)+IF(SUMPRODUCT(--ISNUMBER(SEARCH('Scoring Model'!$G$16:$G$23,K635)))&gt;0,'Conversion Model'!$B$19,0)))))</f>
        <v>0.00748010669552435</v>
      </c>
      <c r="AH635" s="3" t="str">
        <f aca="false">IF(OR(O635="Qualified",O635="Won",O635="Lost"),1,IF(O635="Unqualified",0,""))</f>
        <v/>
      </c>
    </row>
    <row r="636" customFormat="false" ht="15" hidden="false" customHeight="true" outlineLevel="0" collapsed="false">
      <c r="A636" s="3" t="s">
        <v>2161</v>
      </c>
      <c r="B636" s="9" t="n">
        <v>46221.9534722222</v>
      </c>
      <c r="C636" s="3" t="s">
        <v>51</v>
      </c>
      <c r="D636" s="3" t="s">
        <v>500</v>
      </c>
      <c r="E636" s="3" t="s">
        <v>2162</v>
      </c>
      <c r="F636" s="3" t="s">
        <v>22</v>
      </c>
      <c r="G636" s="3" t="s">
        <v>2163</v>
      </c>
      <c r="H636" s="3" t="s">
        <v>2164</v>
      </c>
      <c r="I636" s="3" t="s">
        <v>116</v>
      </c>
      <c r="J636" s="3" t="s">
        <v>117</v>
      </c>
      <c r="K636" s="3" t="s">
        <v>228</v>
      </c>
      <c r="L636" s="3" t="n">
        <v>11</v>
      </c>
      <c r="M636" s="3" t="n">
        <v>87.9</v>
      </c>
      <c r="N636" s="3" t="s">
        <v>96</v>
      </c>
      <c r="O636" s="3"/>
      <c r="P636" s="10"/>
      <c r="Q636" s="3" t="n">
        <f aca="false">IF(F636="Disposable",1,0)</f>
        <v>0</v>
      </c>
      <c r="R636" s="3" t="n">
        <f aca="false">IF(SUMPRODUCT(--ISNUMBER(SEARCH('Spam Rules'!$A$22:$A$35,K636)))&gt;0,1,0)</f>
        <v>0</v>
      </c>
      <c r="S636" s="3" t="n">
        <f aca="false">IF(AND(F636="Free",G636=""),1,0)</f>
        <v>0</v>
      </c>
      <c r="T636" s="3" t="n">
        <f aca="false">IF(LEN(TRIM(K636))&lt;15,1,0)</f>
        <v>0</v>
      </c>
      <c r="U636" s="3" t="n">
        <f aca="false">IF(COUNTIF($E$2:$E$801,E636)&gt;1,1,0)</f>
        <v>0</v>
      </c>
      <c r="V636" s="3" t="n">
        <f aca="false">Q636*'Spam Rules'!$H$6+R636*'Spam Rules'!$H$7+S636*'Spam Rules'!$H$8+T636*'Spam Rules'!$H$9+U636*'Spam Rules'!$H$10</f>
        <v>0</v>
      </c>
      <c r="W636" s="3" t="str">
        <f aca="false">IF(V636&gt;='Spam Rules'!$B$3,"Likely Spam","Genuine")</f>
        <v>Genuine</v>
      </c>
      <c r="X636" s="3" t="n">
        <f aca="false">IFERROR(INDEX('Scoring Model'!$B$5:$B$11,MATCH(C636,'Scoring Model'!$A$5:$A$11,0)),0)</f>
        <v>10</v>
      </c>
      <c r="Y636" s="3" t="n">
        <f aca="false">IFERROR(INDEX('Scoring Model'!$E$5:$E$7,MATCH(F636,'Scoring Model'!$D$5:$D$7,0)),0)</f>
        <v>20</v>
      </c>
      <c r="Z636" s="3" t="n">
        <f aca="false">IFERROR(INDEX('Scoring Model'!$H$5:$H$13,MATCH(J636,'Scoring Model'!$G$5:$G$13,0)),0)</f>
        <v>15</v>
      </c>
      <c r="AA636" s="3" t="n">
        <f aca="false">IF(L636&gt;='Scoring Model'!$B$14,'Scoring Model'!$B$15,IF(L636&gt;='Scoring Model'!$B$16,'Scoring Model'!$B$17,0))</f>
        <v>15</v>
      </c>
      <c r="AB636" s="3" t="n">
        <f aca="false">IF(SUMPRODUCT(--ISNUMBER(SEARCH('Scoring Model'!$D$16:$D$25,K636)))&gt;0,'Scoring Model'!$B$18,0)</f>
        <v>15</v>
      </c>
      <c r="AC636" s="3" t="n">
        <f aca="false">IF(SUMPRODUCT(--ISNUMBER(SEARCH('Scoring Model'!$G$16:$G$23,K636)))&gt;0,'Scoring Model'!$B$19,0)</f>
        <v>0</v>
      </c>
      <c r="AD636" s="3" t="n">
        <f aca="false">IF(W636="Likely Spam","",SUM(X636:AC636))</f>
        <v>75</v>
      </c>
      <c r="AE636" s="3" t="str">
        <f aca="false">IF(W636="Likely Spam","Spam",IF(AD636&gt;='Scoring Model'!$B$21,"Hot",IF(AD636&gt;='Scoring Model'!$B$22,"Warm","Nurture")))</f>
        <v>Hot</v>
      </c>
      <c r="AF636" s="3" t="str">
        <f aca="false">IF(W636="Likely Spam","Flagged by spam rules",TRIM(IF(X636&gt;=20,"Strong source. ","")&amp;IF(Y636&gt;0,"Company email. ","")&amp;IF(Z636&gt;=15,"High-value product. ","")&amp;IF(AA636&gt;='Scoring Model'!$B$15,"High engagement. ","")&amp;IF(AB636&gt;0,"Buying intent in message. ","")&amp;IF(AC636&lt;0,"Negative intent in message. ","")))</f>
        <v>Company email. High-value product. High engagement. Buying intent in message.</v>
      </c>
      <c r="AG636" s="11" t="n">
        <f aca="false">IF(W636="Likely Spam","",1/(1+EXP(-('Conversion Model'!$B$5+IFERROR(INDEX('Conversion Model'!$B$8:$B$14,MATCH(C636,'Conversion Model'!$A$8:$A$14,0)),0)+IFERROR(INDEX('Conversion Model'!$E$8:$E$9,MATCH(F636,'Conversion Model'!$D$8:$D$9,0)),0)+IFERROR(INDEX('Conversion Model'!$H$8:$H$12,MATCH(IF(LEFT(J636,8)="Payments","Payments",IF(LEFT(J636,7)="Lending","Lending",J636)),'Conversion Model'!$G$8:$G$12,0)),0)+MIN(L636,15)*'Conversion Model'!$B$17+IF(SUMPRODUCT(--ISNUMBER(SEARCH('Scoring Model'!$D$16:$D$25,K636)))&gt;0,'Conversion Model'!$B$18,0)+IF(SUMPRODUCT(--ISNUMBER(SEARCH('Scoring Model'!$G$16:$G$23,K636)))&gt;0,'Conversion Model'!$B$19,0)))))</f>
        <v>0.998546026363415</v>
      </c>
      <c r="AH636" s="3" t="str">
        <f aca="false">IF(OR(O636="Qualified",O636="Won",O636="Lost"),1,IF(O636="Unqualified",0,""))</f>
        <v/>
      </c>
    </row>
    <row r="637" customFormat="false" ht="15" hidden="false" customHeight="true" outlineLevel="0" collapsed="false">
      <c r="A637" s="3" t="s">
        <v>2165</v>
      </c>
      <c r="B637" s="9" t="n">
        <v>46222.9548611111</v>
      </c>
      <c r="C637" s="3" t="s">
        <v>76</v>
      </c>
      <c r="D637" s="3" t="s">
        <v>1283</v>
      </c>
      <c r="E637" s="3" t="s">
        <v>2166</v>
      </c>
      <c r="F637" s="3" t="s">
        <v>54</v>
      </c>
      <c r="G637" s="3" t="s">
        <v>637</v>
      </c>
      <c r="H637" s="3"/>
      <c r="I637" s="3" t="s">
        <v>64</v>
      </c>
      <c r="J637" s="3" t="s">
        <v>145</v>
      </c>
      <c r="K637" s="3" t="s">
        <v>213</v>
      </c>
      <c r="L637" s="3" t="n">
        <v>2</v>
      </c>
      <c r="M637" s="3" t="n">
        <v>120.4</v>
      </c>
      <c r="N637" s="3" t="s">
        <v>67</v>
      </c>
      <c r="O637" s="3" t="s">
        <v>194</v>
      </c>
      <c r="P637" s="10"/>
      <c r="Q637" s="3" t="n">
        <f aca="false">IF(F637="Disposable",1,0)</f>
        <v>0</v>
      </c>
      <c r="R637" s="3" t="n">
        <f aca="false">IF(SUMPRODUCT(--ISNUMBER(SEARCH('Spam Rules'!$A$22:$A$35,K637)))&gt;0,1,0)</f>
        <v>0</v>
      </c>
      <c r="S637" s="3" t="n">
        <f aca="false">IF(AND(F637="Free",G637=""),1,0)</f>
        <v>0</v>
      </c>
      <c r="T637" s="3" t="n">
        <f aca="false">IF(LEN(TRIM(K637))&lt;15,1,0)</f>
        <v>0</v>
      </c>
      <c r="U637" s="3" t="n">
        <f aca="false">IF(COUNTIF($E$2:$E$801,E637)&gt;1,1,0)</f>
        <v>0</v>
      </c>
      <c r="V637" s="3" t="n">
        <f aca="false">Q637*'Spam Rules'!$H$6+R637*'Spam Rules'!$H$7+S637*'Spam Rules'!$H$8+T637*'Spam Rules'!$H$9+U637*'Spam Rules'!$H$10</f>
        <v>0</v>
      </c>
      <c r="W637" s="3" t="str">
        <f aca="false">IF(V637&gt;='Spam Rules'!$B$3,"Likely Spam","Genuine")</f>
        <v>Genuine</v>
      </c>
      <c r="X637" s="3" t="n">
        <f aca="false">IFERROR(INDEX('Scoring Model'!$B$5:$B$11,MATCH(C637,'Scoring Model'!$A$5:$A$11,0)),0)</f>
        <v>0</v>
      </c>
      <c r="Y637" s="3" t="n">
        <f aca="false">IFERROR(INDEX('Scoring Model'!$E$5:$E$7,MATCH(F637,'Scoring Model'!$D$5:$D$7,0)),0)</f>
        <v>0</v>
      </c>
      <c r="Z637" s="3" t="n">
        <f aca="false">IFERROR(INDEX('Scoring Model'!$H$5:$H$13,MATCH(J637,'Scoring Model'!$G$5:$G$13,0)),0)</f>
        <v>5</v>
      </c>
      <c r="AA637" s="3" t="n">
        <f aca="false">IF(L637&gt;='Scoring Model'!$B$14,'Scoring Model'!$B$15,IF(L637&gt;='Scoring Model'!$B$16,'Scoring Model'!$B$17,0))</f>
        <v>0</v>
      </c>
      <c r="AB637" s="3" t="n">
        <f aca="false">IF(SUMPRODUCT(--ISNUMBER(SEARCH('Scoring Model'!$D$16:$D$25,K637)))&gt;0,'Scoring Model'!$B$18,0)</f>
        <v>0</v>
      </c>
      <c r="AC637" s="3" t="n">
        <f aca="false">IF(SUMPRODUCT(--ISNUMBER(SEARCH('Scoring Model'!$G$16:$G$23,K637)))&gt;0,'Scoring Model'!$B$19,0)</f>
        <v>-30</v>
      </c>
      <c r="AD637" s="3" t="n">
        <f aca="false">IF(W637="Likely Spam","",SUM(X637:AC637))</f>
        <v>-25</v>
      </c>
      <c r="AE637" s="3" t="str">
        <f aca="false">IF(W637="Likely Spam","Spam",IF(AD637&gt;='Scoring Model'!$B$21,"Hot",IF(AD637&gt;='Scoring Model'!$B$22,"Warm","Nurture")))</f>
        <v>Nurture</v>
      </c>
      <c r="AF637" s="3" t="str">
        <f aca="false">IF(W637="Likely Spam","Flagged by spam rules",TRIM(IF(X637&gt;=20,"Strong source. ","")&amp;IF(Y637&gt;0,"Company email. ","")&amp;IF(Z637&gt;=15,"High-value product. ","")&amp;IF(AA637&gt;='Scoring Model'!$B$15,"High engagement. ","")&amp;IF(AB637&gt;0,"Buying intent in message. ","")&amp;IF(AC637&lt;0,"Negative intent in message. ","")))</f>
        <v>Negative intent in message.</v>
      </c>
      <c r="AG637" s="11" t="n">
        <f aca="false">IF(W637="Likely Spam","",1/(1+EXP(-('Conversion Model'!$B$5+IFERROR(INDEX('Conversion Model'!$B$8:$B$14,MATCH(C637,'Conversion Model'!$A$8:$A$14,0)),0)+IFERROR(INDEX('Conversion Model'!$E$8:$E$9,MATCH(F637,'Conversion Model'!$D$8:$D$9,0)),0)+IFERROR(INDEX('Conversion Model'!$H$8:$H$12,MATCH(IF(LEFT(J637,8)="Payments","Payments",IF(LEFT(J637,7)="Lending","Lending",J637)),'Conversion Model'!$G$8:$G$12,0)),0)+MIN(L637,15)*'Conversion Model'!$B$17+IF(SUMPRODUCT(--ISNUMBER(SEARCH('Scoring Model'!$D$16:$D$25,K637)))&gt;0,'Conversion Model'!$B$18,0)+IF(SUMPRODUCT(--ISNUMBER(SEARCH('Scoring Model'!$G$16:$G$23,K637)))&gt;0,'Conversion Model'!$B$19,0)))))</f>
        <v>0.00210990546787186</v>
      </c>
      <c r="AH637" s="3" t="n">
        <f aca="false">IF(OR(O637="Qualified",O637="Won",O637="Lost"),1,IF(O637="Unqualified",0,""))</f>
        <v>0</v>
      </c>
    </row>
    <row r="638" customFormat="false" ht="15" hidden="false" customHeight="true" outlineLevel="0" collapsed="false">
      <c r="A638" s="3" t="s">
        <v>2167</v>
      </c>
      <c r="B638" s="9" t="n">
        <v>46222.9659722222</v>
      </c>
      <c r="C638" s="3" t="s">
        <v>160</v>
      </c>
      <c r="D638" s="3" t="s">
        <v>1880</v>
      </c>
      <c r="E638" s="3" t="s">
        <v>2168</v>
      </c>
      <c r="F638" s="3" t="s">
        <v>22</v>
      </c>
      <c r="G638" s="3" t="s">
        <v>1232</v>
      </c>
      <c r="H638" s="3" t="s">
        <v>2169</v>
      </c>
      <c r="I638" s="3" t="s">
        <v>204</v>
      </c>
      <c r="J638" s="3" t="s">
        <v>122</v>
      </c>
      <c r="K638" s="3" t="s">
        <v>193</v>
      </c>
      <c r="L638" s="3" t="n">
        <v>2</v>
      </c>
      <c r="M638" s="3" t="n">
        <v>7.6</v>
      </c>
      <c r="N638" s="3" t="s">
        <v>67</v>
      </c>
      <c r="O638" s="3"/>
      <c r="P638" s="10"/>
      <c r="Q638" s="3" t="n">
        <f aca="false">IF(F638="Disposable",1,0)</f>
        <v>0</v>
      </c>
      <c r="R638" s="3" t="n">
        <f aca="false">IF(SUMPRODUCT(--ISNUMBER(SEARCH('Spam Rules'!$A$22:$A$35,K638)))&gt;0,1,0)</f>
        <v>0</v>
      </c>
      <c r="S638" s="3" t="n">
        <f aca="false">IF(AND(F638="Free",G638=""),1,0)</f>
        <v>0</v>
      </c>
      <c r="T638" s="3" t="n">
        <f aca="false">IF(LEN(TRIM(K638))&lt;15,1,0)</f>
        <v>0</v>
      </c>
      <c r="U638" s="3" t="n">
        <f aca="false">IF(COUNTIF($E$2:$E$801,E638)&gt;1,1,0)</f>
        <v>0</v>
      </c>
      <c r="V638" s="3" t="n">
        <f aca="false">Q638*'Spam Rules'!$H$6+R638*'Spam Rules'!$H$7+S638*'Spam Rules'!$H$8+T638*'Spam Rules'!$H$9+U638*'Spam Rules'!$H$10</f>
        <v>0</v>
      </c>
      <c r="W638" s="3" t="str">
        <f aca="false">IF(V638&gt;='Spam Rules'!$B$3,"Likely Spam","Genuine")</f>
        <v>Genuine</v>
      </c>
      <c r="X638" s="3" t="n">
        <f aca="false">IFERROR(INDEX('Scoring Model'!$B$5:$B$11,MATCH(C638,'Scoring Model'!$A$5:$A$11,0)),0)</f>
        <v>25</v>
      </c>
      <c r="Y638" s="3" t="n">
        <f aca="false">IFERROR(INDEX('Scoring Model'!$E$5:$E$7,MATCH(F638,'Scoring Model'!$D$5:$D$7,0)),0)</f>
        <v>20</v>
      </c>
      <c r="Z638" s="3" t="n">
        <f aca="false">IFERROR(INDEX('Scoring Model'!$H$5:$H$13,MATCH(J638,'Scoring Model'!$G$5:$G$13,0)),0)</f>
        <v>15</v>
      </c>
      <c r="AA638" s="3" t="n">
        <f aca="false">IF(L638&gt;='Scoring Model'!$B$14,'Scoring Model'!$B$15,IF(L638&gt;='Scoring Model'!$B$16,'Scoring Model'!$B$17,0))</f>
        <v>0</v>
      </c>
      <c r="AB638" s="3" t="n">
        <f aca="false">IF(SUMPRODUCT(--ISNUMBER(SEARCH('Scoring Model'!$D$16:$D$25,K638)))&gt;0,'Scoring Model'!$B$18,0)</f>
        <v>0</v>
      </c>
      <c r="AC638" s="3" t="n">
        <f aca="false">IF(SUMPRODUCT(--ISNUMBER(SEARCH('Scoring Model'!$G$16:$G$23,K638)))&gt;0,'Scoring Model'!$B$19,0)</f>
        <v>-30</v>
      </c>
      <c r="AD638" s="3" t="n">
        <f aca="false">IF(W638="Likely Spam","",SUM(X638:AC638))</f>
        <v>30</v>
      </c>
      <c r="AE638" s="3" t="str">
        <f aca="false">IF(W638="Likely Spam","Spam",IF(AD638&gt;='Scoring Model'!$B$21,"Hot",IF(AD638&gt;='Scoring Model'!$B$22,"Warm","Nurture")))</f>
        <v>Nurture</v>
      </c>
      <c r="AF638" s="3" t="str">
        <f aca="false">IF(W638="Likely Spam","Flagged by spam rules",TRIM(IF(X638&gt;=20,"Strong source. ","")&amp;IF(Y638&gt;0,"Company email. ","")&amp;IF(Z638&gt;=15,"High-value product. ","")&amp;IF(AA638&gt;='Scoring Model'!$B$15,"High engagement. ","")&amp;IF(AB638&gt;0,"Buying intent in message. ","")&amp;IF(AC638&lt;0,"Negative intent in message. ","")))</f>
        <v>Strong source. Company email. High-value product. Negative intent in message.</v>
      </c>
      <c r="AG638" s="11" t="n">
        <f aca="false">IF(W638="Likely Spam","",1/(1+EXP(-('Conversion Model'!$B$5+IFERROR(INDEX('Conversion Model'!$B$8:$B$14,MATCH(C638,'Conversion Model'!$A$8:$A$14,0)),0)+IFERROR(INDEX('Conversion Model'!$E$8:$E$9,MATCH(F638,'Conversion Model'!$D$8:$D$9,0)),0)+IFERROR(INDEX('Conversion Model'!$H$8:$H$12,MATCH(IF(LEFT(J638,8)="Payments","Payments",IF(LEFT(J638,7)="Lending","Lending",J638)),'Conversion Model'!$G$8:$G$12,0)),0)+MIN(L638,15)*'Conversion Model'!$B$17+IF(SUMPRODUCT(--ISNUMBER(SEARCH('Scoring Model'!$D$16:$D$25,K638)))&gt;0,'Conversion Model'!$B$18,0)+IF(SUMPRODUCT(--ISNUMBER(SEARCH('Scoring Model'!$G$16:$G$23,K638)))&gt;0,'Conversion Model'!$B$19,0)))))</f>
        <v>0.00982452854455704</v>
      </c>
      <c r="AH638" s="3" t="str">
        <f aca="false">IF(OR(O638="Qualified",O638="Won",O638="Lost"),1,IF(O638="Unqualified",0,""))</f>
        <v/>
      </c>
    </row>
    <row r="639" customFormat="false" ht="15" hidden="false" customHeight="true" outlineLevel="0" collapsed="false">
      <c r="A639" s="3" t="s">
        <v>2170</v>
      </c>
      <c r="B639" s="9" t="n">
        <v>46223.4520833333</v>
      </c>
      <c r="C639" s="3" t="s">
        <v>128</v>
      </c>
      <c r="D639" s="3" t="s">
        <v>2171</v>
      </c>
      <c r="E639" s="3" t="s">
        <v>2172</v>
      </c>
      <c r="F639" s="3" t="s">
        <v>22</v>
      </c>
      <c r="G639" s="3" t="s">
        <v>1399</v>
      </c>
      <c r="H639" s="3" t="s">
        <v>2173</v>
      </c>
      <c r="I639" s="3" t="s">
        <v>80</v>
      </c>
      <c r="J639" s="3" t="s">
        <v>165</v>
      </c>
      <c r="K639" s="3" t="s">
        <v>228</v>
      </c>
      <c r="L639" s="3" t="n">
        <v>11</v>
      </c>
      <c r="M639" s="3" t="n">
        <v>30.6</v>
      </c>
      <c r="N639" s="3" t="s">
        <v>171</v>
      </c>
      <c r="O639" s="3" t="s">
        <v>331</v>
      </c>
      <c r="P639" s="10"/>
      <c r="Q639" s="3" t="n">
        <f aca="false">IF(F639="Disposable",1,0)</f>
        <v>0</v>
      </c>
      <c r="R639" s="3" t="n">
        <f aca="false">IF(SUMPRODUCT(--ISNUMBER(SEARCH('Spam Rules'!$A$22:$A$35,K639)))&gt;0,1,0)</f>
        <v>0</v>
      </c>
      <c r="S639" s="3" t="n">
        <f aca="false">IF(AND(F639="Free",G639=""),1,0)</f>
        <v>0</v>
      </c>
      <c r="T639" s="3" t="n">
        <f aca="false">IF(LEN(TRIM(K639))&lt;15,1,0)</f>
        <v>0</v>
      </c>
      <c r="U639" s="3" t="n">
        <f aca="false">IF(COUNTIF($E$2:$E$801,E639)&gt;1,1,0)</f>
        <v>0</v>
      </c>
      <c r="V639" s="3" t="n">
        <f aca="false">Q639*'Spam Rules'!$H$6+R639*'Spam Rules'!$H$7+S639*'Spam Rules'!$H$8+T639*'Spam Rules'!$H$9+U639*'Spam Rules'!$H$10</f>
        <v>0</v>
      </c>
      <c r="W639" s="3" t="str">
        <f aca="false">IF(V639&gt;='Spam Rules'!$B$3,"Likely Spam","Genuine")</f>
        <v>Genuine</v>
      </c>
      <c r="X639" s="3" t="n">
        <f aca="false">IFERROR(INDEX('Scoring Model'!$B$5:$B$11,MATCH(C639,'Scoring Model'!$A$5:$A$11,0)),0)</f>
        <v>30</v>
      </c>
      <c r="Y639" s="3" t="n">
        <f aca="false">IFERROR(INDEX('Scoring Model'!$E$5:$E$7,MATCH(F639,'Scoring Model'!$D$5:$D$7,0)),0)</f>
        <v>20</v>
      </c>
      <c r="Z639" s="3" t="n">
        <f aca="false">IFERROR(INDEX('Scoring Model'!$H$5:$H$13,MATCH(J639,'Scoring Model'!$G$5:$G$13,0)),0)</f>
        <v>15</v>
      </c>
      <c r="AA639" s="3" t="n">
        <f aca="false">IF(L639&gt;='Scoring Model'!$B$14,'Scoring Model'!$B$15,IF(L639&gt;='Scoring Model'!$B$16,'Scoring Model'!$B$17,0))</f>
        <v>15</v>
      </c>
      <c r="AB639" s="3" t="n">
        <f aca="false">IF(SUMPRODUCT(--ISNUMBER(SEARCH('Scoring Model'!$D$16:$D$25,K639)))&gt;0,'Scoring Model'!$B$18,0)</f>
        <v>15</v>
      </c>
      <c r="AC639" s="3" t="n">
        <f aca="false">IF(SUMPRODUCT(--ISNUMBER(SEARCH('Scoring Model'!$G$16:$G$23,K639)))&gt;0,'Scoring Model'!$B$19,0)</f>
        <v>0</v>
      </c>
      <c r="AD639" s="3" t="n">
        <f aca="false">IF(W639="Likely Spam","",SUM(X639:AC639))</f>
        <v>95</v>
      </c>
      <c r="AE639" s="3" t="str">
        <f aca="false">IF(W639="Likely Spam","Spam",IF(AD639&gt;='Scoring Model'!$B$21,"Hot",IF(AD639&gt;='Scoring Model'!$B$22,"Warm","Nurture")))</f>
        <v>Hot</v>
      </c>
      <c r="AF639" s="3" t="str">
        <f aca="false">IF(W639="Likely Spam","Flagged by spam rules",TRIM(IF(X639&gt;=20,"Strong source. ","")&amp;IF(Y639&gt;0,"Company email. ","")&amp;IF(Z639&gt;=15,"High-value product. ","")&amp;IF(AA639&gt;='Scoring Model'!$B$15,"High engagement. ","")&amp;IF(AB639&gt;0,"Buying intent in message. ","")&amp;IF(AC639&lt;0,"Negative intent in message. ","")))</f>
        <v>Strong source. Company email. High-value product. High engagement. Buying intent in message.</v>
      </c>
      <c r="AG639" s="11" t="n">
        <f aca="false">IF(W639="Likely Spam","",1/(1+EXP(-('Conversion Model'!$B$5+IFERROR(INDEX('Conversion Model'!$B$8:$B$14,MATCH(C639,'Conversion Model'!$A$8:$A$14,0)),0)+IFERROR(INDEX('Conversion Model'!$E$8:$E$9,MATCH(F639,'Conversion Model'!$D$8:$D$9,0)),0)+IFERROR(INDEX('Conversion Model'!$H$8:$H$12,MATCH(IF(LEFT(J639,8)="Payments","Payments",IF(LEFT(J639,7)="Lending","Lending",J639)),'Conversion Model'!$G$8:$G$12,0)),0)+MIN(L639,15)*'Conversion Model'!$B$17+IF(SUMPRODUCT(--ISNUMBER(SEARCH('Scoring Model'!$D$16:$D$25,K639)))&gt;0,'Conversion Model'!$B$18,0)+IF(SUMPRODUCT(--ISNUMBER(SEARCH('Scoring Model'!$G$16:$G$23,K639)))&gt;0,'Conversion Model'!$B$19,0)))))</f>
        <v>0.998879657649623</v>
      </c>
      <c r="AH639" s="3" t="n">
        <f aca="false">IF(OR(O639="Qualified",O639="Won",O639="Lost"),1,IF(O639="Unqualified",0,""))</f>
        <v>1</v>
      </c>
    </row>
    <row r="640" customFormat="false" ht="15" hidden="false" customHeight="true" outlineLevel="0" collapsed="false">
      <c r="A640" s="3" t="s">
        <v>2174</v>
      </c>
      <c r="B640" s="9" t="n">
        <v>46223.6138888889</v>
      </c>
      <c r="C640" s="3" t="s">
        <v>160</v>
      </c>
      <c r="D640" s="3" t="s">
        <v>869</v>
      </c>
      <c r="E640" s="3" t="s">
        <v>2175</v>
      </c>
      <c r="F640" s="3" t="s">
        <v>22</v>
      </c>
      <c r="G640" s="3" t="s">
        <v>237</v>
      </c>
      <c r="H640" s="3" t="s">
        <v>238</v>
      </c>
      <c r="I640" s="3" t="s">
        <v>80</v>
      </c>
      <c r="J640" s="3" t="s">
        <v>81</v>
      </c>
      <c r="K640" s="3" t="s">
        <v>322</v>
      </c>
      <c r="L640" s="3" t="n">
        <v>1</v>
      </c>
      <c r="M640" s="3"/>
      <c r="N640" s="3" t="s">
        <v>96</v>
      </c>
      <c r="O640" s="3" t="s">
        <v>68</v>
      </c>
      <c r="P640" s="10"/>
      <c r="Q640" s="3" t="n">
        <f aca="false">IF(F640="Disposable",1,0)</f>
        <v>0</v>
      </c>
      <c r="R640" s="3" t="n">
        <f aca="false">IF(SUMPRODUCT(--ISNUMBER(SEARCH('Spam Rules'!$A$22:$A$35,K640)))&gt;0,1,0)</f>
        <v>0</v>
      </c>
      <c r="S640" s="3" t="n">
        <f aca="false">IF(AND(F640="Free",G640=""),1,0)</f>
        <v>0</v>
      </c>
      <c r="T640" s="3" t="n">
        <f aca="false">IF(LEN(TRIM(K640))&lt;15,1,0)</f>
        <v>1</v>
      </c>
      <c r="U640" s="3" t="n">
        <f aca="false">IF(COUNTIF($E$2:$E$801,E640)&gt;1,1,0)</f>
        <v>0</v>
      </c>
      <c r="V640" s="3" t="n">
        <f aca="false">Q640*'Spam Rules'!$H$6+R640*'Spam Rules'!$H$7+S640*'Spam Rules'!$H$8+T640*'Spam Rules'!$H$9+U640*'Spam Rules'!$H$10</f>
        <v>1</v>
      </c>
      <c r="W640" s="3" t="str">
        <f aca="false">IF(V640&gt;='Spam Rules'!$B$3,"Likely Spam","Genuine")</f>
        <v>Likely Spam</v>
      </c>
      <c r="X640" s="3" t="n">
        <f aca="false">IFERROR(INDEX('Scoring Model'!$B$5:$B$11,MATCH(C640,'Scoring Model'!$A$5:$A$11,0)),0)</f>
        <v>25</v>
      </c>
      <c r="Y640" s="3" t="n">
        <f aca="false">IFERROR(INDEX('Scoring Model'!$E$5:$E$7,MATCH(F640,'Scoring Model'!$D$5:$D$7,0)),0)</f>
        <v>20</v>
      </c>
      <c r="Z640" s="3" t="n">
        <f aca="false">IFERROR(INDEX('Scoring Model'!$H$5:$H$13,MATCH(J640,'Scoring Model'!$G$5:$G$13,0)),0)</f>
        <v>5</v>
      </c>
      <c r="AA640" s="3" t="n">
        <f aca="false">IF(L640&gt;='Scoring Model'!$B$14,'Scoring Model'!$B$15,IF(L640&gt;='Scoring Model'!$B$16,'Scoring Model'!$B$17,0))</f>
        <v>0</v>
      </c>
      <c r="AB640" s="3" t="n">
        <f aca="false">IF(SUMPRODUCT(--ISNUMBER(SEARCH('Scoring Model'!$D$16:$D$25,K640)))&gt;0,'Scoring Model'!$B$18,0)</f>
        <v>0</v>
      </c>
      <c r="AC640" s="3" t="n">
        <f aca="false">IF(SUMPRODUCT(--ISNUMBER(SEARCH('Scoring Model'!$G$16:$G$23,K640)))&gt;0,'Scoring Model'!$B$19,0)</f>
        <v>0</v>
      </c>
      <c r="AD640" s="3" t="str">
        <f aca="false">IF(W640="Likely Spam","",SUM(X640:AC640))</f>
        <v/>
      </c>
      <c r="AE640" s="3" t="str">
        <f aca="false">IF(W640="Likely Spam","Spam",IF(AD640&gt;='Scoring Model'!$B$21,"Hot",IF(AD640&gt;='Scoring Model'!$B$22,"Warm","Nurture")))</f>
        <v>Spam</v>
      </c>
      <c r="AF640" s="3" t="str">
        <f aca="false">IF(W640="Likely Spam","Flagged by spam rules",TRIM(IF(X640&gt;=20,"Strong source. ","")&amp;IF(Y640&gt;0,"Company email. ","")&amp;IF(Z640&gt;=15,"High-value product. ","")&amp;IF(AA640&gt;='Scoring Model'!$B$15,"High engagement. ","")&amp;IF(AB640&gt;0,"Buying intent in message. ","")&amp;IF(AC640&lt;0,"Negative intent in message. ","")))</f>
        <v>Flagged by spam rules</v>
      </c>
      <c r="AG640" s="11" t="str">
        <f aca="false">IF(W640="Likely Spam","",1/(1+EXP(-('Conversion Model'!$B$5+IFERROR(INDEX('Conversion Model'!$B$8:$B$14,MATCH(C640,'Conversion Model'!$A$8:$A$14,0)),0)+IFERROR(INDEX('Conversion Model'!$E$8:$E$9,MATCH(F640,'Conversion Model'!$D$8:$D$9,0)),0)+IFERROR(INDEX('Conversion Model'!$H$8:$H$12,MATCH(IF(LEFT(J640,8)="Payments","Payments",IF(LEFT(J640,7)="Lending","Lending",J640)),'Conversion Model'!$G$8:$G$12,0)),0)+MIN(L640,15)*'Conversion Model'!$B$17+IF(SUMPRODUCT(--ISNUMBER(SEARCH('Scoring Model'!$D$16:$D$25,K640)))&gt;0,'Conversion Model'!$B$18,0)+IF(SUMPRODUCT(--ISNUMBER(SEARCH('Scoring Model'!$G$16:$G$23,K640)))&gt;0,'Conversion Model'!$B$19,0)))))</f>
        <v/>
      </c>
      <c r="AH640" s="3" t="str">
        <f aca="false">IF(OR(O640="Qualified",O640="Won",O640="Lost"),1,IF(O640="Unqualified",0,""))</f>
        <v/>
      </c>
    </row>
    <row r="641" customFormat="false" ht="15" hidden="false" customHeight="true" outlineLevel="0" collapsed="false">
      <c r="A641" s="3" t="s">
        <v>2176</v>
      </c>
      <c r="B641" s="9" t="n">
        <v>46225.2805555556</v>
      </c>
      <c r="C641" s="3" t="s">
        <v>51</v>
      </c>
      <c r="D641" s="3" t="s">
        <v>2177</v>
      </c>
      <c r="E641" s="3" t="s">
        <v>2178</v>
      </c>
      <c r="F641" s="3" t="s">
        <v>22</v>
      </c>
      <c r="G641" s="3" t="s">
        <v>2131</v>
      </c>
      <c r="H641" s="3" t="s">
        <v>2132</v>
      </c>
      <c r="I641" s="3" t="s">
        <v>56</v>
      </c>
      <c r="J641" s="3" t="s">
        <v>145</v>
      </c>
      <c r="K641" s="3" t="s">
        <v>228</v>
      </c>
      <c r="L641" s="3" t="n">
        <v>5</v>
      </c>
      <c r="M641" s="3" t="n">
        <v>7</v>
      </c>
      <c r="N641" s="3" t="s">
        <v>96</v>
      </c>
      <c r="O641" s="3" t="s">
        <v>133</v>
      </c>
      <c r="P641" s="10"/>
      <c r="Q641" s="3" t="n">
        <f aca="false">IF(F641="Disposable",1,0)</f>
        <v>0</v>
      </c>
      <c r="R641" s="3" t="n">
        <f aca="false">IF(SUMPRODUCT(--ISNUMBER(SEARCH('Spam Rules'!$A$22:$A$35,K641)))&gt;0,1,0)</f>
        <v>0</v>
      </c>
      <c r="S641" s="3" t="n">
        <f aca="false">IF(AND(F641="Free",G641=""),1,0)</f>
        <v>0</v>
      </c>
      <c r="T641" s="3" t="n">
        <f aca="false">IF(LEN(TRIM(K641))&lt;15,1,0)</f>
        <v>0</v>
      </c>
      <c r="U641" s="3" t="n">
        <f aca="false">IF(COUNTIF($E$2:$E$801,E641)&gt;1,1,0)</f>
        <v>0</v>
      </c>
      <c r="V641" s="3" t="n">
        <f aca="false">Q641*'Spam Rules'!$H$6+R641*'Spam Rules'!$H$7+S641*'Spam Rules'!$H$8+T641*'Spam Rules'!$H$9+U641*'Spam Rules'!$H$10</f>
        <v>0</v>
      </c>
      <c r="W641" s="3" t="str">
        <f aca="false">IF(V641&gt;='Spam Rules'!$B$3,"Likely Spam","Genuine")</f>
        <v>Genuine</v>
      </c>
      <c r="X641" s="3" t="n">
        <f aca="false">IFERROR(INDEX('Scoring Model'!$B$5:$B$11,MATCH(C641,'Scoring Model'!$A$5:$A$11,0)),0)</f>
        <v>10</v>
      </c>
      <c r="Y641" s="3" t="n">
        <f aca="false">IFERROR(INDEX('Scoring Model'!$E$5:$E$7,MATCH(F641,'Scoring Model'!$D$5:$D$7,0)),0)</f>
        <v>20</v>
      </c>
      <c r="Z641" s="3" t="n">
        <f aca="false">IFERROR(INDEX('Scoring Model'!$H$5:$H$13,MATCH(J641,'Scoring Model'!$G$5:$G$13,0)),0)</f>
        <v>5</v>
      </c>
      <c r="AA641" s="3" t="n">
        <f aca="false">IF(L641&gt;='Scoring Model'!$B$14,'Scoring Model'!$B$15,IF(L641&gt;='Scoring Model'!$B$16,'Scoring Model'!$B$17,0))</f>
        <v>8</v>
      </c>
      <c r="AB641" s="3" t="n">
        <f aca="false">IF(SUMPRODUCT(--ISNUMBER(SEARCH('Scoring Model'!$D$16:$D$25,K641)))&gt;0,'Scoring Model'!$B$18,0)</f>
        <v>15</v>
      </c>
      <c r="AC641" s="3" t="n">
        <f aca="false">IF(SUMPRODUCT(--ISNUMBER(SEARCH('Scoring Model'!$G$16:$G$23,K641)))&gt;0,'Scoring Model'!$B$19,0)</f>
        <v>0</v>
      </c>
      <c r="AD641" s="3" t="n">
        <f aca="false">IF(W641="Likely Spam","",SUM(X641:AC641))</f>
        <v>58</v>
      </c>
      <c r="AE641" s="3" t="str">
        <f aca="false">IF(W641="Likely Spam","Spam",IF(AD641&gt;='Scoring Model'!$B$21,"Hot",IF(AD641&gt;='Scoring Model'!$B$22,"Warm","Nurture")))</f>
        <v>Warm</v>
      </c>
      <c r="AF641" s="3" t="str">
        <f aca="false">IF(W641="Likely Spam","Flagged by spam rules",TRIM(IF(X641&gt;=20,"Strong source. ","")&amp;IF(Y641&gt;0,"Company email. ","")&amp;IF(Z641&gt;=15,"High-value product. ","")&amp;IF(AA641&gt;='Scoring Model'!$B$15,"High engagement. ","")&amp;IF(AB641&gt;0,"Buying intent in message. ","")&amp;IF(AC641&lt;0,"Negative intent in message. ","")))</f>
        <v>Company email. Buying intent in message.</v>
      </c>
      <c r="AG641" s="11" t="n">
        <f aca="false">IF(W641="Likely Spam","",1/(1+EXP(-('Conversion Model'!$B$5+IFERROR(INDEX('Conversion Model'!$B$8:$B$14,MATCH(C641,'Conversion Model'!$A$8:$A$14,0)),0)+IFERROR(INDEX('Conversion Model'!$E$8:$E$9,MATCH(F641,'Conversion Model'!$D$8:$D$9,0)),0)+IFERROR(INDEX('Conversion Model'!$H$8:$H$12,MATCH(IF(LEFT(J641,8)="Payments","Payments",IF(LEFT(J641,7)="Lending","Lending",J641)),'Conversion Model'!$G$8:$G$12,0)),0)+MIN(L641,15)*'Conversion Model'!$B$17+IF(SUMPRODUCT(--ISNUMBER(SEARCH('Scoring Model'!$D$16:$D$25,K641)))&gt;0,'Conversion Model'!$B$18,0)+IF(SUMPRODUCT(--ISNUMBER(SEARCH('Scoring Model'!$G$16:$G$23,K641)))&gt;0,'Conversion Model'!$B$19,0)))))</f>
        <v>0.720712784050069</v>
      </c>
      <c r="AH641" s="3" t="str">
        <f aca="false">IF(OR(O641="Qualified",O641="Won",O641="Lost"),1,IF(O641="Unqualified",0,""))</f>
        <v/>
      </c>
    </row>
    <row r="642" customFormat="false" ht="15" hidden="false" customHeight="true" outlineLevel="0" collapsed="false">
      <c r="A642" s="3" t="s">
        <v>2179</v>
      </c>
      <c r="B642" s="9" t="n">
        <v>46225.3076388889</v>
      </c>
      <c r="C642" s="3" t="s">
        <v>112</v>
      </c>
      <c r="D642" s="3" t="s">
        <v>2180</v>
      </c>
      <c r="E642" s="3" t="s">
        <v>2181</v>
      </c>
      <c r="F642" s="3" t="s">
        <v>54</v>
      </c>
      <c r="G642" s="3"/>
      <c r="H642" s="3"/>
      <c r="I642" s="3" t="s">
        <v>188</v>
      </c>
      <c r="J642" s="3" t="s">
        <v>65</v>
      </c>
      <c r="K642" s="3" t="s">
        <v>213</v>
      </c>
      <c r="L642" s="3" t="n">
        <v>1</v>
      </c>
      <c r="M642" s="3" t="n">
        <v>14.3</v>
      </c>
      <c r="N642" s="3" t="s">
        <v>96</v>
      </c>
      <c r="O642" s="3"/>
      <c r="P642" s="10"/>
      <c r="Q642" s="3" t="n">
        <f aca="false">IF(F642="Disposable",1,0)</f>
        <v>0</v>
      </c>
      <c r="R642" s="3" t="n">
        <f aca="false">IF(SUMPRODUCT(--ISNUMBER(SEARCH('Spam Rules'!$A$22:$A$35,K642)))&gt;0,1,0)</f>
        <v>0</v>
      </c>
      <c r="S642" s="3" t="n">
        <f aca="false">IF(AND(F642="Free",G642=""),1,0)</f>
        <v>1</v>
      </c>
      <c r="T642" s="3" t="n">
        <f aca="false">IF(LEN(TRIM(K642))&lt;15,1,0)</f>
        <v>0</v>
      </c>
      <c r="U642" s="3" t="n">
        <f aca="false">IF(COUNTIF($E$2:$E$801,E642)&gt;1,1,0)</f>
        <v>0</v>
      </c>
      <c r="V642" s="3" t="n">
        <f aca="false">Q642*'Spam Rules'!$H$6+R642*'Spam Rules'!$H$7+S642*'Spam Rules'!$H$8+T642*'Spam Rules'!$H$9+U642*'Spam Rules'!$H$10</f>
        <v>0</v>
      </c>
      <c r="W642" s="3" t="str">
        <f aca="false">IF(V642&gt;='Spam Rules'!$B$3,"Likely Spam","Genuine")</f>
        <v>Genuine</v>
      </c>
      <c r="X642" s="3" t="n">
        <f aca="false">IFERROR(INDEX('Scoring Model'!$B$5:$B$11,MATCH(C642,'Scoring Model'!$A$5:$A$11,0)),0)</f>
        <v>15</v>
      </c>
      <c r="Y642" s="3" t="n">
        <f aca="false">IFERROR(INDEX('Scoring Model'!$E$5:$E$7,MATCH(F642,'Scoring Model'!$D$5:$D$7,0)),0)</f>
        <v>0</v>
      </c>
      <c r="Z642" s="3" t="n">
        <f aca="false">IFERROR(INDEX('Scoring Model'!$H$5:$H$13,MATCH(J642,'Scoring Model'!$G$5:$G$13,0)),0)</f>
        <v>0</v>
      </c>
      <c r="AA642" s="3" t="n">
        <f aca="false">IF(L642&gt;='Scoring Model'!$B$14,'Scoring Model'!$B$15,IF(L642&gt;='Scoring Model'!$B$16,'Scoring Model'!$B$17,0))</f>
        <v>0</v>
      </c>
      <c r="AB642" s="3" t="n">
        <f aca="false">IF(SUMPRODUCT(--ISNUMBER(SEARCH('Scoring Model'!$D$16:$D$25,K642)))&gt;0,'Scoring Model'!$B$18,0)</f>
        <v>0</v>
      </c>
      <c r="AC642" s="3" t="n">
        <f aca="false">IF(SUMPRODUCT(--ISNUMBER(SEARCH('Scoring Model'!$G$16:$G$23,K642)))&gt;0,'Scoring Model'!$B$19,0)</f>
        <v>-30</v>
      </c>
      <c r="AD642" s="3" t="n">
        <f aca="false">IF(W642="Likely Spam","",SUM(X642:AC642))</f>
        <v>-15</v>
      </c>
      <c r="AE642" s="3" t="str">
        <f aca="false">IF(W642="Likely Spam","Spam",IF(AD642&gt;='Scoring Model'!$B$21,"Hot",IF(AD642&gt;='Scoring Model'!$B$22,"Warm","Nurture")))</f>
        <v>Nurture</v>
      </c>
      <c r="AF642" s="3" t="str">
        <f aca="false">IF(W642="Likely Spam","Flagged by spam rules",TRIM(IF(X642&gt;=20,"Strong source. ","")&amp;IF(Y642&gt;0,"Company email. ","")&amp;IF(Z642&gt;=15,"High-value product. ","")&amp;IF(AA642&gt;='Scoring Model'!$B$15,"High engagement. ","")&amp;IF(AB642&gt;0,"Buying intent in message. ","")&amp;IF(AC642&lt;0,"Negative intent in message. ","")))</f>
        <v>Negative intent in message.</v>
      </c>
      <c r="AG642" s="11" t="n">
        <f aca="false">IF(W642="Likely Spam","",1/(1+EXP(-('Conversion Model'!$B$5+IFERROR(INDEX('Conversion Model'!$B$8:$B$14,MATCH(C642,'Conversion Model'!$A$8:$A$14,0)),0)+IFERROR(INDEX('Conversion Model'!$E$8:$E$9,MATCH(F642,'Conversion Model'!$D$8:$D$9,0)),0)+IFERROR(INDEX('Conversion Model'!$H$8:$H$12,MATCH(IF(LEFT(J642,8)="Payments","Payments",IF(LEFT(J642,7)="Lending","Lending",J642)),'Conversion Model'!$G$8:$G$12,0)),0)+MIN(L642,15)*'Conversion Model'!$B$17+IF(SUMPRODUCT(--ISNUMBER(SEARCH('Scoring Model'!$D$16:$D$25,K642)))&gt;0,'Conversion Model'!$B$18,0)+IF(SUMPRODUCT(--ISNUMBER(SEARCH('Scoring Model'!$G$16:$G$23,K642)))&gt;0,'Conversion Model'!$B$19,0)))))</f>
        <v>0.000956760729954791</v>
      </c>
      <c r="AH642" s="3" t="str">
        <f aca="false">IF(OR(O642="Qualified",O642="Won",O642="Lost"),1,IF(O642="Unqualified",0,""))</f>
        <v/>
      </c>
    </row>
    <row r="643" customFormat="false" ht="15" hidden="false" customHeight="true" outlineLevel="0" collapsed="false">
      <c r="A643" s="3" t="s">
        <v>2182</v>
      </c>
      <c r="B643" s="9" t="n">
        <v>46225.9034722222</v>
      </c>
      <c r="C643" s="3" t="s">
        <v>128</v>
      </c>
      <c r="D643" s="3" t="s">
        <v>2183</v>
      </c>
      <c r="E643" s="3" t="s">
        <v>2184</v>
      </c>
      <c r="F643" s="3" t="s">
        <v>54</v>
      </c>
      <c r="G643" s="3" t="s">
        <v>237</v>
      </c>
      <c r="H643" s="3"/>
      <c r="I643" s="3" t="s">
        <v>334</v>
      </c>
      <c r="J643" s="3" t="s">
        <v>65</v>
      </c>
      <c r="K643" s="3" t="s">
        <v>657</v>
      </c>
      <c r="L643" s="3" t="n">
        <v>2</v>
      </c>
      <c r="M643" s="3"/>
      <c r="N643" s="3" t="s">
        <v>96</v>
      </c>
      <c r="O643" s="3"/>
      <c r="P643" s="10"/>
      <c r="Q643" s="3" t="n">
        <f aca="false">IF(F643="Disposable",1,0)</f>
        <v>0</v>
      </c>
      <c r="R643" s="3" t="n">
        <f aca="false">IF(SUMPRODUCT(--ISNUMBER(SEARCH('Spam Rules'!$A$22:$A$35,K643)))&gt;0,1,0)</f>
        <v>1</v>
      </c>
      <c r="S643" s="3" t="n">
        <f aca="false">IF(AND(F643="Free",G643=""),1,0)</f>
        <v>0</v>
      </c>
      <c r="T643" s="3" t="n">
        <f aca="false">IF(LEN(TRIM(K643))&lt;15,1,0)</f>
        <v>0</v>
      </c>
      <c r="U643" s="3" t="n">
        <f aca="false">IF(COUNTIF($E$2:$E$801,E643)&gt;1,1,0)</f>
        <v>0</v>
      </c>
      <c r="V643" s="3" t="n">
        <f aca="false">Q643*'Spam Rules'!$H$6+R643*'Spam Rules'!$H$7+S643*'Spam Rules'!$H$8+T643*'Spam Rules'!$H$9+U643*'Spam Rules'!$H$10</f>
        <v>1</v>
      </c>
      <c r="W643" s="3" t="str">
        <f aca="false">IF(V643&gt;='Spam Rules'!$B$3,"Likely Spam","Genuine")</f>
        <v>Likely Spam</v>
      </c>
      <c r="X643" s="3" t="n">
        <f aca="false">IFERROR(INDEX('Scoring Model'!$B$5:$B$11,MATCH(C643,'Scoring Model'!$A$5:$A$11,0)),0)</f>
        <v>30</v>
      </c>
      <c r="Y643" s="3" t="n">
        <f aca="false">IFERROR(INDEX('Scoring Model'!$E$5:$E$7,MATCH(F643,'Scoring Model'!$D$5:$D$7,0)),0)</f>
        <v>0</v>
      </c>
      <c r="Z643" s="3" t="n">
        <f aca="false">IFERROR(INDEX('Scoring Model'!$H$5:$H$13,MATCH(J643,'Scoring Model'!$G$5:$G$13,0)),0)</f>
        <v>0</v>
      </c>
      <c r="AA643" s="3" t="n">
        <f aca="false">IF(L643&gt;='Scoring Model'!$B$14,'Scoring Model'!$B$15,IF(L643&gt;='Scoring Model'!$B$16,'Scoring Model'!$B$17,0))</f>
        <v>0</v>
      </c>
      <c r="AB643" s="3" t="n">
        <f aca="false">IF(SUMPRODUCT(--ISNUMBER(SEARCH('Scoring Model'!$D$16:$D$25,K643)))&gt;0,'Scoring Model'!$B$18,0)</f>
        <v>0</v>
      </c>
      <c r="AC643" s="3" t="n">
        <f aca="false">IF(SUMPRODUCT(--ISNUMBER(SEARCH('Scoring Model'!$G$16:$G$23,K643)))&gt;0,'Scoring Model'!$B$19,0)</f>
        <v>0</v>
      </c>
      <c r="AD643" s="3" t="str">
        <f aca="false">IF(W643="Likely Spam","",SUM(X643:AC643))</f>
        <v/>
      </c>
      <c r="AE643" s="3" t="str">
        <f aca="false">IF(W643="Likely Spam","Spam",IF(AD643&gt;='Scoring Model'!$B$21,"Hot",IF(AD643&gt;='Scoring Model'!$B$22,"Warm","Nurture")))</f>
        <v>Spam</v>
      </c>
      <c r="AF643" s="3" t="str">
        <f aca="false">IF(W643="Likely Spam","Flagged by spam rules",TRIM(IF(X643&gt;=20,"Strong source. ","")&amp;IF(Y643&gt;0,"Company email. ","")&amp;IF(Z643&gt;=15,"High-value product. ","")&amp;IF(AA643&gt;='Scoring Model'!$B$15,"High engagement. ","")&amp;IF(AB643&gt;0,"Buying intent in message. ","")&amp;IF(AC643&lt;0,"Negative intent in message. ","")))</f>
        <v>Flagged by spam rules</v>
      </c>
      <c r="AG643" s="11" t="str">
        <f aca="false">IF(W643="Likely Spam","",1/(1+EXP(-('Conversion Model'!$B$5+IFERROR(INDEX('Conversion Model'!$B$8:$B$14,MATCH(C643,'Conversion Model'!$A$8:$A$14,0)),0)+IFERROR(INDEX('Conversion Model'!$E$8:$E$9,MATCH(F643,'Conversion Model'!$D$8:$D$9,0)),0)+IFERROR(INDEX('Conversion Model'!$H$8:$H$12,MATCH(IF(LEFT(J643,8)="Payments","Payments",IF(LEFT(J643,7)="Lending","Lending",J643)),'Conversion Model'!$G$8:$G$12,0)),0)+MIN(L643,15)*'Conversion Model'!$B$17+IF(SUMPRODUCT(--ISNUMBER(SEARCH('Scoring Model'!$D$16:$D$25,K643)))&gt;0,'Conversion Model'!$B$18,0)+IF(SUMPRODUCT(--ISNUMBER(SEARCH('Scoring Model'!$G$16:$G$23,K643)))&gt;0,'Conversion Model'!$B$19,0)))))</f>
        <v/>
      </c>
      <c r="AH643" s="3" t="str">
        <f aca="false">IF(OR(O643="Qualified",O643="Won",O643="Lost"),1,IF(O643="Unqualified",0,""))</f>
        <v/>
      </c>
    </row>
    <row r="644" customFormat="false" ht="15" hidden="false" customHeight="true" outlineLevel="0" collapsed="false">
      <c r="A644" s="3" t="s">
        <v>2185</v>
      </c>
      <c r="B644" s="9" t="n">
        <v>46226.2916666667</v>
      </c>
      <c r="C644" s="3" t="s">
        <v>112</v>
      </c>
      <c r="D644" s="3" t="s">
        <v>2127</v>
      </c>
      <c r="E644" s="3" t="s">
        <v>2186</v>
      </c>
      <c r="F644" s="3" t="s">
        <v>54</v>
      </c>
      <c r="G644" s="3"/>
      <c r="H644" s="3"/>
      <c r="I644" s="3" t="s">
        <v>64</v>
      </c>
      <c r="J644" s="3" t="s">
        <v>122</v>
      </c>
      <c r="K644" s="3" t="s">
        <v>101</v>
      </c>
      <c r="L644" s="3" t="n">
        <v>4</v>
      </c>
      <c r="M644" s="3" t="n">
        <v>12</v>
      </c>
      <c r="N644" s="3" t="s">
        <v>59</v>
      </c>
      <c r="O644" s="3" t="s">
        <v>194</v>
      </c>
      <c r="P644" s="10"/>
      <c r="Q644" s="3" t="n">
        <f aca="false">IF(F644="Disposable",1,0)</f>
        <v>0</v>
      </c>
      <c r="R644" s="3" t="n">
        <f aca="false">IF(SUMPRODUCT(--ISNUMBER(SEARCH('Spam Rules'!$A$22:$A$35,K644)))&gt;0,1,0)</f>
        <v>0</v>
      </c>
      <c r="S644" s="3" t="n">
        <f aca="false">IF(AND(F644="Free",G644=""),1,0)</f>
        <v>1</v>
      </c>
      <c r="T644" s="3" t="n">
        <f aca="false">IF(LEN(TRIM(K644))&lt;15,1,0)</f>
        <v>0</v>
      </c>
      <c r="U644" s="3" t="n">
        <f aca="false">IF(COUNTIF($E$2:$E$801,E644)&gt;1,1,0)</f>
        <v>0</v>
      </c>
      <c r="V644" s="3" t="n">
        <f aca="false">Q644*'Spam Rules'!$H$6+R644*'Spam Rules'!$H$7+S644*'Spam Rules'!$H$8+T644*'Spam Rules'!$H$9+U644*'Spam Rules'!$H$10</f>
        <v>0</v>
      </c>
      <c r="W644" s="3" t="str">
        <f aca="false">IF(V644&gt;='Spam Rules'!$B$3,"Likely Spam","Genuine")</f>
        <v>Genuine</v>
      </c>
      <c r="X644" s="3" t="n">
        <f aca="false">IFERROR(INDEX('Scoring Model'!$B$5:$B$11,MATCH(C644,'Scoring Model'!$A$5:$A$11,0)),0)</f>
        <v>15</v>
      </c>
      <c r="Y644" s="3" t="n">
        <f aca="false">IFERROR(INDEX('Scoring Model'!$E$5:$E$7,MATCH(F644,'Scoring Model'!$D$5:$D$7,0)),0)</f>
        <v>0</v>
      </c>
      <c r="Z644" s="3" t="n">
        <f aca="false">IFERROR(INDEX('Scoring Model'!$H$5:$H$13,MATCH(J644,'Scoring Model'!$G$5:$G$13,0)),0)</f>
        <v>15</v>
      </c>
      <c r="AA644" s="3" t="n">
        <f aca="false">IF(L644&gt;='Scoring Model'!$B$14,'Scoring Model'!$B$15,IF(L644&gt;='Scoring Model'!$B$16,'Scoring Model'!$B$17,0))</f>
        <v>8</v>
      </c>
      <c r="AB644" s="3" t="n">
        <f aca="false">IF(SUMPRODUCT(--ISNUMBER(SEARCH('Scoring Model'!$D$16:$D$25,K644)))&gt;0,'Scoring Model'!$B$18,0)</f>
        <v>0</v>
      </c>
      <c r="AC644" s="3" t="n">
        <f aca="false">IF(SUMPRODUCT(--ISNUMBER(SEARCH('Scoring Model'!$G$16:$G$23,K644)))&gt;0,'Scoring Model'!$B$19,0)</f>
        <v>-30</v>
      </c>
      <c r="AD644" s="3" t="n">
        <f aca="false">IF(W644="Likely Spam","",SUM(X644:AC644))</f>
        <v>8</v>
      </c>
      <c r="AE644" s="3" t="str">
        <f aca="false">IF(W644="Likely Spam","Spam",IF(AD644&gt;='Scoring Model'!$B$21,"Hot",IF(AD644&gt;='Scoring Model'!$B$22,"Warm","Nurture")))</f>
        <v>Nurture</v>
      </c>
      <c r="AF644" s="3" t="str">
        <f aca="false">IF(W644="Likely Spam","Flagged by spam rules",TRIM(IF(X644&gt;=20,"Strong source. ","")&amp;IF(Y644&gt;0,"Company email. ","")&amp;IF(Z644&gt;=15,"High-value product. ","")&amp;IF(AA644&gt;='Scoring Model'!$B$15,"High engagement. ","")&amp;IF(AB644&gt;0,"Buying intent in message. ","")&amp;IF(AC644&lt;0,"Negative intent in message. ","")))</f>
        <v>High-value product. Negative intent in message.</v>
      </c>
      <c r="AG644" s="11" t="n">
        <f aca="false">IF(W644="Likely Spam","",1/(1+EXP(-('Conversion Model'!$B$5+IFERROR(INDEX('Conversion Model'!$B$8:$B$14,MATCH(C644,'Conversion Model'!$A$8:$A$14,0)),0)+IFERROR(INDEX('Conversion Model'!$E$8:$E$9,MATCH(F644,'Conversion Model'!$D$8:$D$9,0)),0)+IFERROR(INDEX('Conversion Model'!$H$8:$H$12,MATCH(IF(LEFT(J644,8)="Payments","Payments",IF(LEFT(J644,7)="Lending","Lending",J644)),'Conversion Model'!$G$8:$G$12,0)),0)+MIN(L644,15)*'Conversion Model'!$B$17+IF(SUMPRODUCT(--ISNUMBER(SEARCH('Scoring Model'!$D$16:$D$25,K644)))&gt;0,'Conversion Model'!$B$18,0)+IF(SUMPRODUCT(--ISNUMBER(SEARCH('Scoring Model'!$G$16:$G$23,K644)))&gt;0,'Conversion Model'!$B$19,0)))))</f>
        <v>0.0124193797323083</v>
      </c>
      <c r="AH644" s="3" t="n">
        <f aca="false">IF(OR(O644="Qualified",O644="Won",O644="Lost"),1,IF(O644="Unqualified",0,""))</f>
        <v>0</v>
      </c>
    </row>
    <row r="645" customFormat="false" ht="15" hidden="false" customHeight="true" outlineLevel="0" collapsed="false">
      <c r="A645" s="3" t="s">
        <v>2187</v>
      </c>
      <c r="B645" s="9" t="n">
        <v>46226.7083333333</v>
      </c>
      <c r="C645" s="3" t="s">
        <v>76</v>
      </c>
      <c r="D645" s="3" t="s">
        <v>1607</v>
      </c>
      <c r="E645" s="3" t="s">
        <v>2188</v>
      </c>
      <c r="F645" s="3" t="s">
        <v>63</v>
      </c>
      <c r="G645" s="3"/>
      <c r="H645" s="3"/>
      <c r="I645" s="3" t="s">
        <v>56</v>
      </c>
      <c r="J645" s="3" t="s">
        <v>122</v>
      </c>
      <c r="K645" s="3" t="s">
        <v>239</v>
      </c>
      <c r="L645" s="3" t="n">
        <v>2</v>
      </c>
      <c r="M645" s="3" t="n">
        <v>24.6</v>
      </c>
      <c r="N645" s="3" t="s">
        <v>171</v>
      </c>
      <c r="O645" s="3"/>
      <c r="P645" s="10"/>
      <c r="Q645" s="3" t="n">
        <f aca="false">IF(F645="Disposable",1,0)</f>
        <v>1</v>
      </c>
      <c r="R645" s="3" t="n">
        <f aca="false">IF(SUMPRODUCT(--ISNUMBER(SEARCH('Spam Rules'!$A$22:$A$35,K645)))&gt;0,1,0)</f>
        <v>1</v>
      </c>
      <c r="S645" s="3" t="n">
        <f aca="false">IF(AND(F645="Free",G645=""),1,0)</f>
        <v>0</v>
      </c>
      <c r="T645" s="3" t="n">
        <f aca="false">IF(LEN(TRIM(K645))&lt;15,1,0)</f>
        <v>0</v>
      </c>
      <c r="U645" s="3" t="n">
        <f aca="false">IF(COUNTIF($E$2:$E$801,E645)&gt;1,1,0)</f>
        <v>0</v>
      </c>
      <c r="V645" s="3" t="n">
        <f aca="false">Q645*'Spam Rules'!$H$6+R645*'Spam Rules'!$H$7+S645*'Spam Rules'!$H$8+T645*'Spam Rules'!$H$9+U645*'Spam Rules'!$H$10</f>
        <v>2</v>
      </c>
      <c r="W645" s="3" t="str">
        <f aca="false">IF(V645&gt;='Spam Rules'!$B$3,"Likely Spam","Genuine")</f>
        <v>Likely Spam</v>
      </c>
      <c r="X645" s="3" t="n">
        <f aca="false">IFERROR(INDEX('Scoring Model'!$B$5:$B$11,MATCH(C645,'Scoring Model'!$A$5:$A$11,0)),0)</f>
        <v>0</v>
      </c>
      <c r="Y645" s="3" t="n">
        <f aca="false">IFERROR(INDEX('Scoring Model'!$E$5:$E$7,MATCH(F645,'Scoring Model'!$D$5:$D$7,0)),0)</f>
        <v>0</v>
      </c>
      <c r="Z645" s="3" t="n">
        <f aca="false">IFERROR(INDEX('Scoring Model'!$H$5:$H$13,MATCH(J645,'Scoring Model'!$G$5:$G$13,0)),0)</f>
        <v>15</v>
      </c>
      <c r="AA645" s="3" t="n">
        <f aca="false">IF(L645&gt;='Scoring Model'!$B$14,'Scoring Model'!$B$15,IF(L645&gt;='Scoring Model'!$B$16,'Scoring Model'!$B$17,0))</f>
        <v>0</v>
      </c>
      <c r="AB645" s="3" t="n">
        <f aca="false">IF(SUMPRODUCT(--ISNUMBER(SEARCH('Scoring Model'!$D$16:$D$25,K645)))&gt;0,'Scoring Model'!$B$18,0)</f>
        <v>0</v>
      </c>
      <c r="AC645" s="3" t="n">
        <f aca="false">IF(SUMPRODUCT(--ISNUMBER(SEARCH('Scoring Model'!$G$16:$G$23,K645)))&gt;0,'Scoring Model'!$B$19,0)</f>
        <v>0</v>
      </c>
      <c r="AD645" s="3" t="str">
        <f aca="false">IF(W645="Likely Spam","",SUM(X645:AC645))</f>
        <v/>
      </c>
      <c r="AE645" s="3" t="str">
        <f aca="false">IF(W645="Likely Spam","Spam",IF(AD645&gt;='Scoring Model'!$B$21,"Hot",IF(AD645&gt;='Scoring Model'!$B$22,"Warm","Nurture")))</f>
        <v>Spam</v>
      </c>
      <c r="AF645" s="3" t="str">
        <f aca="false">IF(W645="Likely Spam","Flagged by spam rules",TRIM(IF(X645&gt;=20,"Strong source. ","")&amp;IF(Y645&gt;0,"Company email. ","")&amp;IF(Z645&gt;=15,"High-value product. ","")&amp;IF(AA645&gt;='Scoring Model'!$B$15,"High engagement. ","")&amp;IF(AB645&gt;0,"Buying intent in message. ","")&amp;IF(AC645&lt;0,"Negative intent in message. ","")))</f>
        <v>Flagged by spam rules</v>
      </c>
      <c r="AG645" s="11" t="str">
        <f aca="false">IF(W645="Likely Spam","",1/(1+EXP(-('Conversion Model'!$B$5+IFERROR(INDEX('Conversion Model'!$B$8:$B$14,MATCH(C645,'Conversion Model'!$A$8:$A$14,0)),0)+IFERROR(INDEX('Conversion Model'!$E$8:$E$9,MATCH(F645,'Conversion Model'!$D$8:$D$9,0)),0)+IFERROR(INDEX('Conversion Model'!$H$8:$H$12,MATCH(IF(LEFT(J645,8)="Payments","Payments",IF(LEFT(J645,7)="Lending","Lending",J645)),'Conversion Model'!$G$8:$G$12,0)),0)+MIN(L645,15)*'Conversion Model'!$B$17+IF(SUMPRODUCT(--ISNUMBER(SEARCH('Scoring Model'!$D$16:$D$25,K645)))&gt;0,'Conversion Model'!$B$18,0)+IF(SUMPRODUCT(--ISNUMBER(SEARCH('Scoring Model'!$G$16:$G$23,K645)))&gt;0,'Conversion Model'!$B$19,0)))))</f>
        <v/>
      </c>
      <c r="AH645" s="3" t="str">
        <f aca="false">IF(OR(O645="Qualified",O645="Won",O645="Lost"),1,IF(O645="Unqualified",0,""))</f>
        <v/>
      </c>
    </row>
    <row r="646" customFormat="false" ht="15" hidden="false" customHeight="true" outlineLevel="0" collapsed="false">
      <c r="A646" s="3" t="s">
        <v>2189</v>
      </c>
      <c r="B646" s="9" t="n">
        <v>46227.3354166667</v>
      </c>
      <c r="C646" s="3" t="s">
        <v>51</v>
      </c>
      <c r="D646" s="3" t="s">
        <v>975</v>
      </c>
      <c r="E646" s="3" t="s">
        <v>2190</v>
      </c>
      <c r="F646" s="3" t="s">
        <v>22</v>
      </c>
      <c r="G646" s="3" t="s">
        <v>198</v>
      </c>
      <c r="H646" s="3" t="s">
        <v>2191</v>
      </c>
      <c r="I646" s="3" t="s">
        <v>80</v>
      </c>
      <c r="J646" s="3" t="s">
        <v>165</v>
      </c>
      <c r="K646" s="3" t="s">
        <v>58</v>
      </c>
      <c r="L646" s="3" t="n">
        <v>3</v>
      </c>
      <c r="M646" s="3" t="n">
        <v>292.6</v>
      </c>
      <c r="N646" s="3" t="s">
        <v>96</v>
      </c>
      <c r="O646" s="3" t="s">
        <v>331</v>
      </c>
      <c r="P646" s="10"/>
      <c r="Q646" s="3" t="n">
        <f aca="false">IF(F646="Disposable",1,0)</f>
        <v>0</v>
      </c>
      <c r="R646" s="3" t="n">
        <f aca="false">IF(SUMPRODUCT(--ISNUMBER(SEARCH('Spam Rules'!$A$22:$A$35,K646)))&gt;0,1,0)</f>
        <v>0</v>
      </c>
      <c r="S646" s="3" t="n">
        <f aca="false">IF(AND(F646="Free",G646=""),1,0)</f>
        <v>0</v>
      </c>
      <c r="T646" s="3" t="n">
        <f aca="false">IF(LEN(TRIM(K646))&lt;15,1,0)</f>
        <v>0</v>
      </c>
      <c r="U646" s="3" t="n">
        <f aca="false">IF(COUNTIF($E$2:$E$801,E646)&gt;1,1,0)</f>
        <v>0</v>
      </c>
      <c r="V646" s="3" t="n">
        <f aca="false">Q646*'Spam Rules'!$H$6+R646*'Spam Rules'!$H$7+S646*'Spam Rules'!$H$8+T646*'Spam Rules'!$H$9+U646*'Spam Rules'!$H$10</f>
        <v>0</v>
      </c>
      <c r="W646" s="3" t="str">
        <f aca="false">IF(V646&gt;='Spam Rules'!$B$3,"Likely Spam","Genuine")</f>
        <v>Genuine</v>
      </c>
      <c r="X646" s="3" t="n">
        <f aca="false">IFERROR(INDEX('Scoring Model'!$B$5:$B$11,MATCH(C646,'Scoring Model'!$A$5:$A$11,0)),0)</f>
        <v>10</v>
      </c>
      <c r="Y646" s="3" t="n">
        <f aca="false">IFERROR(INDEX('Scoring Model'!$E$5:$E$7,MATCH(F646,'Scoring Model'!$D$5:$D$7,0)),0)</f>
        <v>20</v>
      </c>
      <c r="Z646" s="3" t="n">
        <f aca="false">IFERROR(INDEX('Scoring Model'!$H$5:$H$13,MATCH(J646,'Scoring Model'!$G$5:$G$13,0)),0)</f>
        <v>15</v>
      </c>
      <c r="AA646" s="3" t="n">
        <f aca="false">IF(L646&gt;='Scoring Model'!$B$14,'Scoring Model'!$B$15,IF(L646&gt;='Scoring Model'!$B$16,'Scoring Model'!$B$17,0))</f>
        <v>0</v>
      </c>
      <c r="AB646" s="3" t="n">
        <f aca="false">IF(SUMPRODUCT(--ISNUMBER(SEARCH('Scoring Model'!$D$16:$D$25,K646)))&gt;0,'Scoring Model'!$B$18,0)</f>
        <v>15</v>
      </c>
      <c r="AC646" s="3" t="n">
        <f aca="false">IF(SUMPRODUCT(--ISNUMBER(SEARCH('Scoring Model'!$G$16:$G$23,K646)))&gt;0,'Scoring Model'!$B$19,0)</f>
        <v>0</v>
      </c>
      <c r="AD646" s="3" t="n">
        <f aca="false">IF(W646="Likely Spam","",SUM(X646:AC646))</f>
        <v>60</v>
      </c>
      <c r="AE646" s="3" t="str">
        <f aca="false">IF(W646="Likely Spam","Spam",IF(AD646&gt;='Scoring Model'!$B$21,"Hot",IF(AD646&gt;='Scoring Model'!$B$22,"Warm","Nurture")))</f>
        <v>Warm</v>
      </c>
      <c r="AF646" s="3" t="str">
        <f aca="false">IF(W646="Likely Spam","Flagged by spam rules",TRIM(IF(X646&gt;=20,"Strong source. ","")&amp;IF(Y646&gt;0,"Company email. ","")&amp;IF(Z646&gt;=15,"High-value product. ","")&amp;IF(AA646&gt;='Scoring Model'!$B$15,"High engagement. ","")&amp;IF(AB646&gt;0,"Buying intent in message. ","")&amp;IF(AC646&lt;0,"Negative intent in message. ","")))</f>
        <v>Company email. High-value product. Buying intent in message.</v>
      </c>
      <c r="AG646" s="11" t="n">
        <f aca="false">IF(W646="Likely Spam","",1/(1+EXP(-('Conversion Model'!$B$5+IFERROR(INDEX('Conversion Model'!$B$8:$B$14,MATCH(C646,'Conversion Model'!$A$8:$A$14,0)),0)+IFERROR(INDEX('Conversion Model'!$E$8:$E$9,MATCH(F646,'Conversion Model'!$D$8:$D$9,0)),0)+IFERROR(INDEX('Conversion Model'!$H$8:$H$12,MATCH(IF(LEFT(J646,8)="Payments","Payments",IF(LEFT(J646,7)="Lending","Lending",J646)),'Conversion Model'!$G$8:$G$12,0)),0)+MIN(L646,15)*'Conversion Model'!$B$17+IF(SUMPRODUCT(--ISNUMBER(SEARCH('Scoring Model'!$D$16:$D$25,K646)))&gt;0,'Conversion Model'!$B$18,0)+IF(SUMPRODUCT(--ISNUMBER(SEARCH('Scoring Model'!$G$16:$G$23,K646)))&gt;0,'Conversion Model'!$B$19,0)))))</f>
        <v>0.305975973357449</v>
      </c>
      <c r="AH646" s="3" t="n">
        <f aca="false">IF(OR(O646="Qualified",O646="Won",O646="Lost"),1,IF(O646="Unqualified",0,""))</f>
        <v>1</v>
      </c>
    </row>
    <row r="647" customFormat="false" ht="15" hidden="false" customHeight="true" outlineLevel="0" collapsed="false">
      <c r="A647" s="3" t="s">
        <v>2192</v>
      </c>
      <c r="B647" s="9" t="n">
        <v>46227.3354166667</v>
      </c>
      <c r="C647" s="3" t="s">
        <v>76</v>
      </c>
      <c r="D647" s="3" t="s">
        <v>2193</v>
      </c>
      <c r="E647" s="3" t="s">
        <v>2194</v>
      </c>
      <c r="F647" s="3" t="s">
        <v>54</v>
      </c>
      <c r="G647" s="3" t="s">
        <v>79</v>
      </c>
      <c r="H647" s="3"/>
      <c r="I647" s="3" t="s">
        <v>80</v>
      </c>
      <c r="J647" s="3" t="s">
        <v>65</v>
      </c>
      <c r="K647" s="3" t="s">
        <v>126</v>
      </c>
      <c r="L647" s="3" t="n">
        <v>1</v>
      </c>
      <c r="M647" s="3" t="n">
        <v>49.2</v>
      </c>
      <c r="N647" s="3" t="s">
        <v>67</v>
      </c>
      <c r="O647" s="3" t="s">
        <v>68</v>
      </c>
      <c r="P647" s="10"/>
      <c r="Q647" s="3" t="n">
        <f aca="false">IF(F647="Disposable",1,0)</f>
        <v>0</v>
      </c>
      <c r="R647" s="3" t="n">
        <f aca="false">IF(SUMPRODUCT(--ISNUMBER(SEARCH('Spam Rules'!$A$22:$A$35,K647)))&gt;0,1,0)</f>
        <v>0</v>
      </c>
      <c r="S647" s="3" t="n">
        <f aca="false">IF(AND(F647="Free",G647=""),1,0)</f>
        <v>0</v>
      </c>
      <c r="T647" s="3" t="n">
        <f aca="false">IF(LEN(TRIM(K647))&lt;15,1,0)</f>
        <v>1</v>
      </c>
      <c r="U647" s="3" t="n">
        <f aca="false">IF(COUNTIF($E$2:$E$801,E647)&gt;1,1,0)</f>
        <v>0</v>
      </c>
      <c r="V647" s="3" t="n">
        <f aca="false">Q647*'Spam Rules'!$H$6+R647*'Spam Rules'!$H$7+S647*'Spam Rules'!$H$8+T647*'Spam Rules'!$H$9+U647*'Spam Rules'!$H$10</f>
        <v>1</v>
      </c>
      <c r="W647" s="3" t="str">
        <f aca="false">IF(V647&gt;='Spam Rules'!$B$3,"Likely Spam","Genuine")</f>
        <v>Likely Spam</v>
      </c>
      <c r="X647" s="3" t="n">
        <f aca="false">IFERROR(INDEX('Scoring Model'!$B$5:$B$11,MATCH(C647,'Scoring Model'!$A$5:$A$11,0)),0)</f>
        <v>0</v>
      </c>
      <c r="Y647" s="3" t="n">
        <f aca="false">IFERROR(INDEX('Scoring Model'!$E$5:$E$7,MATCH(F647,'Scoring Model'!$D$5:$D$7,0)),0)</f>
        <v>0</v>
      </c>
      <c r="Z647" s="3" t="n">
        <f aca="false">IFERROR(INDEX('Scoring Model'!$H$5:$H$13,MATCH(J647,'Scoring Model'!$G$5:$G$13,0)),0)</f>
        <v>0</v>
      </c>
      <c r="AA647" s="3" t="n">
        <f aca="false">IF(L647&gt;='Scoring Model'!$B$14,'Scoring Model'!$B$15,IF(L647&gt;='Scoring Model'!$B$16,'Scoring Model'!$B$17,0))</f>
        <v>0</v>
      </c>
      <c r="AB647" s="3" t="n">
        <f aca="false">IF(SUMPRODUCT(--ISNUMBER(SEARCH('Scoring Model'!$D$16:$D$25,K647)))&gt;0,'Scoring Model'!$B$18,0)</f>
        <v>0</v>
      </c>
      <c r="AC647" s="3" t="n">
        <f aca="false">IF(SUMPRODUCT(--ISNUMBER(SEARCH('Scoring Model'!$G$16:$G$23,K647)))&gt;0,'Scoring Model'!$B$19,0)</f>
        <v>0</v>
      </c>
      <c r="AD647" s="3" t="str">
        <f aca="false">IF(W647="Likely Spam","",SUM(X647:AC647))</f>
        <v/>
      </c>
      <c r="AE647" s="3" t="str">
        <f aca="false">IF(W647="Likely Spam","Spam",IF(AD647&gt;='Scoring Model'!$B$21,"Hot",IF(AD647&gt;='Scoring Model'!$B$22,"Warm","Nurture")))</f>
        <v>Spam</v>
      </c>
      <c r="AF647" s="3" t="str">
        <f aca="false">IF(W647="Likely Spam","Flagged by spam rules",TRIM(IF(X647&gt;=20,"Strong source. ","")&amp;IF(Y647&gt;0,"Company email. ","")&amp;IF(Z647&gt;=15,"High-value product. ","")&amp;IF(AA647&gt;='Scoring Model'!$B$15,"High engagement. ","")&amp;IF(AB647&gt;0,"Buying intent in message. ","")&amp;IF(AC647&lt;0,"Negative intent in message. ","")))</f>
        <v>Flagged by spam rules</v>
      </c>
      <c r="AG647" s="11" t="str">
        <f aca="false">IF(W647="Likely Spam","",1/(1+EXP(-('Conversion Model'!$B$5+IFERROR(INDEX('Conversion Model'!$B$8:$B$14,MATCH(C647,'Conversion Model'!$A$8:$A$14,0)),0)+IFERROR(INDEX('Conversion Model'!$E$8:$E$9,MATCH(F647,'Conversion Model'!$D$8:$D$9,0)),0)+IFERROR(INDEX('Conversion Model'!$H$8:$H$12,MATCH(IF(LEFT(J647,8)="Payments","Payments",IF(LEFT(J647,7)="Lending","Lending",J647)),'Conversion Model'!$G$8:$G$12,0)),0)+MIN(L647,15)*'Conversion Model'!$B$17+IF(SUMPRODUCT(--ISNUMBER(SEARCH('Scoring Model'!$D$16:$D$25,K647)))&gt;0,'Conversion Model'!$B$18,0)+IF(SUMPRODUCT(--ISNUMBER(SEARCH('Scoring Model'!$G$16:$G$23,K647)))&gt;0,'Conversion Model'!$B$19,0)))))</f>
        <v/>
      </c>
      <c r="AH647" s="3" t="str">
        <f aca="false">IF(OR(O647="Qualified",O647="Won",O647="Lost"),1,IF(O647="Unqualified",0,""))</f>
        <v/>
      </c>
    </row>
    <row r="648" customFormat="false" ht="15" hidden="false" customHeight="true" outlineLevel="0" collapsed="false">
      <c r="A648" s="3" t="s">
        <v>2195</v>
      </c>
      <c r="B648" s="9" t="n">
        <v>46227.8159722222</v>
      </c>
      <c r="C648" s="3" t="s">
        <v>51</v>
      </c>
      <c r="D648" s="3" t="s">
        <v>2196</v>
      </c>
      <c r="E648" s="3" t="s">
        <v>2197</v>
      </c>
      <c r="F648" s="3" t="s">
        <v>22</v>
      </c>
      <c r="G648" s="3" t="s">
        <v>2073</v>
      </c>
      <c r="H648" s="3" t="s">
        <v>2198</v>
      </c>
      <c r="I648" s="3" t="s">
        <v>188</v>
      </c>
      <c r="J648" s="3" t="s">
        <v>108</v>
      </c>
      <c r="K648" s="3" t="s">
        <v>228</v>
      </c>
      <c r="L648" s="3" t="n">
        <v>8</v>
      </c>
      <c r="M648" s="3" t="n">
        <v>18.7</v>
      </c>
      <c r="N648" s="3" t="s">
        <v>59</v>
      </c>
      <c r="O648" s="3" t="s">
        <v>110</v>
      </c>
      <c r="P648" s="10"/>
      <c r="Q648" s="3" t="n">
        <f aca="false">IF(F648="Disposable",1,0)</f>
        <v>0</v>
      </c>
      <c r="R648" s="3" t="n">
        <f aca="false">IF(SUMPRODUCT(--ISNUMBER(SEARCH('Spam Rules'!$A$22:$A$35,K648)))&gt;0,1,0)</f>
        <v>0</v>
      </c>
      <c r="S648" s="3" t="n">
        <f aca="false">IF(AND(F648="Free",G648=""),1,0)</f>
        <v>0</v>
      </c>
      <c r="T648" s="3" t="n">
        <f aca="false">IF(LEN(TRIM(K648))&lt;15,1,0)</f>
        <v>0</v>
      </c>
      <c r="U648" s="3" t="n">
        <f aca="false">IF(COUNTIF($E$2:$E$801,E648)&gt;1,1,0)</f>
        <v>0</v>
      </c>
      <c r="V648" s="3" t="n">
        <f aca="false">Q648*'Spam Rules'!$H$6+R648*'Spam Rules'!$H$7+S648*'Spam Rules'!$H$8+T648*'Spam Rules'!$H$9+U648*'Spam Rules'!$H$10</f>
        <v>0</v>
      </c>
      <c r="W648" s="3" t="str">
        <f aca="false">IF(V648&gt;='Spam Rules'!$B$3,"Likely Spam","Genuine")</f>
        <v>Genuine</v>
      </c>
      <c r="X648" s="3" t="n">
        <f aca="false">IFERROR(INDEX('Scoring Model'!$B$5:$B$11,MATCH(C648,'Scoring Model'!$A$5:$A$11,0)),0)</f>
        <v>10</v>
      </c>
      <c r="Y648" s="3" t="n">
        <f aca="false">IFERROR(INDEX('Scoring Model'!$E$5:$E$7,MATCH(F648,'Scoring Model'!$D$5:$D$7,0)),0)</f>
        <v>20</v>
      </c>
      <c r="Z648" s="3" t="n">
        <f aca="false">IFERROR(INDEX('Scoring Model'!$H$5:$H$13,MATCH(J648,'Scoring Model'!$G$5:$G$13,0)),0)</f>
        <v>15</v>
      </c>
      <c r="AA648" s="3" t="n">
        <f aca="false">IF(L648&gt;='Scoring Model'!$B$14,'Scoring Model'!$B$15,IF(L648&gt;='Scoring Model'!$B$16,'Scoring Model'!$B$17,0))</f>
        <v>15</v>
      </c>
      <c r="AB648" s="3" t="n">
        <f aca="false">IF(SUMPRODUCT(--ISNUMBER(SEARCH('Scoring Model'!$D$16:$D$25,K648)))&gt;0,'Scoring Model'!$B$18,0)</f>
        <v>15</v>
      </c>
      <c r="AC648" s="3" t="n">
        <f aca="false">IF(SUMPRODUCT(--ISNUMBER(SEARCH('Scoring Model'!$G$16:$G$23,K648)))&gt;0,'Scoring Model'!$B$19,0)</f>
        <v>0</v>
      </c>
      <c r="AD648" s="3" t="n">
        <f aca="false">IF(W648="Likely Spam","",SUM(X648:AC648))</f>
        <v>75</v>
      </c>
      <c r="AE648" s="3" t="str">
        <f aca="false">IF(W648="Likely Spam","Spam",IF(AD648&gt;='Scoring Model'!$B$21,"Hot",IF(AD648&gt;='Scoring Model'!$B$22,"Warm","Nurture")))</f>
        <v>Hot</v>
      </c>
      <c r="AF648" s="3" t="str">
        <f aca="false">IF(W648="Likely Spam","Flagged by spam rules",TRIM(IF(X648&gt;=20,"Strong source. ","")&amp;IF(Y648&gt;0,"Company email. ","")&amp;IF(Z648&gt;=15,"High-value product. ","")&amp;IF(AA648&gt;='Scoring Model'!$B$15,"High engagement. ","")&amp;IF(AB648&gt;0,"Buying intent in message. ","")&amp;IF(AC648&lt;0,"Negative intent in message. ","")))</f>
        <v>Company email. High-value product. High engagement. Buying intent in message.</v>
      </c>
      <c r="AG648" s="11" t="n">
        <f aca="false">IF(W648="Likely Spam","",1/(1+EXP(-('Conversion Model'!$B$5+IFERROR(INDEX('Conversion Model'!$B$8:$B$14,MATCH(C648,'Conversion Model'!$A$8:$A$14,0)),0)+IFERROR(INDEX('Conversion Model'!$E$8:$E$9,MATCH(F648,'Conversion Model'!$D$8:$D$9,0)),0)+IFERROR(INDEX('Conversion Model'!$H$8:$H$12,MATCH(IF(LEFT(J648,8)="Payments","Payments",IF(LEFT(J648,7)="Lending","Lending",J648)),'Conversion Model'!$G$8:$G$12,0)),0)+MIN(L648,15)*'Conversion Model'!$B$17+IF(SUMPRODUCT(--ISNUMBER(SEARCH('Scoring Model'!$D$16:$D$25,K648)))&gt;0,'Conversion Model'!$B$18,0)+IF(SUMPRODUCT(--ISNUMBER(SEARCH('Scoring Model'!$G$16:$G$23,K648)))&gt;0,'Conversion Model'!$B$19,0)))))</f>
        <v>0.960494183034825</v>
      </c>
      <c r="AH648" s="3" t="n">
        <f aca="false">IF(OR(O648="Qualified",O648="Won",O648="Lost"),1,IF(O648="Unqualified",0,""))</f>
        <v>1</v>
      </c>
    </row>
    <row r="649" customFormat="false" ht="15" hidden="false" customHeight="true" outlineLevel="0" collapsed="false">
      <c r="A649" s="3" t="s">
        <v>2199</v>
      </c>
      <c r="B649" s="9" t="n">
        <v>46228.1166666667</v>
      </c>
      <c r="C649" s="3" t="s">
        <v>51</v>
      </c>
      <c r="D649" s="3" t="s">
        <v>1947</v>
      </c>
      <c r="E649" s="3" t="s">
        <v>2200</v>
      </c>
      <c r="F649" s="3" t="s">
        <v>54</v>
      </c>
      <c r="G649" s="3" t="s">
        <v>79</v>
      </c>
      <c r="H649" s="3"/>
      <c r="I649" s="3" t="s">
        <v>116</v>
      </c>
      <c r="J649" s="3" t="s">
        <v>65</v>
      </c>
      <c r="K649" s="3" t="s">
        <v>126</v>
      </c>
      <c r="L649" s="3" t="n">
        <v>1</v>
      </c>
      <c r="M649" s="3" t="n">
        <v>45</v>
      </c>
      <c r="N649" s="3" t="s">
        <v>96</v>
      </c>
      <c r="O649" s="3" t="s">
        <v>68</v>
      </c>
      <c r="P649" s="10"/>
      <c r="Q649" s="3" t="n">
        <f aca="false">IF(F649="Disposable",1,0)</f>
        <v>0</v>
      </c>
      <c r="R649" s="3" t="n">
        <f aca="false">IF(SUMPRODUCT(--ISNUMBER(SEARCH('Spam Rules'!$A$22:$A$35,K649)))&gt;0,1,0)</f>
        <v>0</v>
      </c>
      <c r="S649" s="3" t="n">
        <f aca="false">IF(AND(F649="Free",G649=""),1,0)</f>
        <v>0</v>
      </c>
      <c r="T649" s="3" t="n">
        <f aca="false">IF(LEN(TRIM(K649))&lt;15,1,0)</f>
        <v>1</v>
      </c>
      <c r="U649" s="3" t="n">
        <f aca="false">IF(COUNTIF($E$2:$E$801,E649)&gt;1,1,0)</f>
        <v>0</v>
      </c>
      <c r="V649" s="3" t="n">
        <f aca="false">Q649*'Spam Rules'!$H$6+R649*'Spam Rules'!$H$7+S649*'Spam Rules'!$H$8+T649*'Spam Rules'!$H$9+U649*'Spam Rules'!$H$10</f>
        <v>1</v>
      </c>
      <c r="W649" s="3" t="str">
        <f aca="false">IF(V649&gt;='Spam Rules'!$B$3,"Likely Spam","Genuine")</f>
        <v>Likely Spam</v>
      </c>
      <c r="X649" s="3" t="n">
        <f aca="false">IFERROR(INDEX('Scoring Model'!$B$5:$B$11,MATCH(C649,'Scoring Model'!$A$5:$A$11,0)),0)</f>
        <v>10</v>
      </c>
      <c r="Y649" s="3" t="n">
        <f aca="false">IFERROR(INDEX('Scoring Model'!$E$5:$E$7,MATCH(F649,'Scoring Model'!$D$5:$D$7,0)),0)</f>
        <v>0</v>
      </c>
      <c r="Z649" s="3" t="n">
        <f aca="false">IFERROR(INDEX('Scoring Model'!$H$5:$H$13,MATCH(J649,'Scoring Model'!$G$5:$G$13,0)),0)</f>
        <v>0</v>
      </c>
      <c r="AA649" s="3" t="n">
        <f aca="false">IF(L649&gt;='Scoring Model'!$B$14,'Scoring Model'!$B$15,IF(L649&gt;='Scoring Model'!$B$16,'Scoring Model'!$B$17,0))</f>
        <v>0</v>
      </c>
      <c r="AB649" s="3" t="n">
        <f aca="false">IF(SUMPRODUCT(--ISNUMBER(SEARCH('Scoring Model'!$D$16:$D$25,K649)))&gt;0,'Scoring Model'!$B$18,0)</f>
        <v>0</v>
      </c>
      <c r="AC649" s="3" t="n">
        <f aca="false">IF(SUMPRODUCT(--ISNUMBER(SEARCH('Scoring Model'!$G$16:$G$23,K649)))&gt;0,'Scoring Model'!$B$19,0)</f>
        <v>0</v>
      </c>
      <c r="AD649" s="3" t="str">
        <f aca="false">IF(W649="Likely Spam","",SUM(X649:AC649))</f>
        <v/>
      </c>
      <c r="AE649" s="3" t="str">
        <f aca="false">IF(W649="Likely Spam","Spam",IF(AD649&gt;='Scoring Model'!$B$21,"Hot",IF(AD649&gt;='Scoring Model'!$B$22,"Warm","Nurture")))</f>
        <v>Spam</v>
      </c>
      <c r="AF649" s="3" t="str">
        <f aca="false">IF(W649="Likely Spam","Flagged by spam rules",TRIM(IF(X649&gt;=20,"Strong source. ","")&amp;IF(Y649&gt;0,"Company email. ","")&amp;IF(Z649&gt;=15,"High-value product. ","")&amp;IF(AA649&gt;='Scoring Model'!$B$15,"High engagement. ","")&amp;IF(AB649&gt;0,"Buying intent in message. ","")&amp;IF(AC649&lt;0,"Negative intent in message. ","")))</f>
        <v>Flagged by spam rules</v>
      </c>
      <c r="AG649" s="11" t="str">
        <f aca="false">IF(W649="Likely Spam","",1/(1+EXP(-('Conversion Model'!$B$5+IFERROR(INDEX('Conversion Model'!$B$8:$B$14,MATCH(C649,'Conversion Model'!$A$8:$A$14,0)),0)+IFERROR(INDEX('Conversion Model'!$E$8:$E$9,MATCH(F649,'Conversion Model'!$D$8:$D$9,0)),0)+IFERROR(INDEX('Conversion Model'!$H$8:$H$12,MATCH(IF(LEFT(J649,8)="Payments","Payments",IF(LEFT(J649,7)="Lending","Lending",J649)),'Conversion Model'!$G$8:$G$12,0)),0)+MIN(L649,15)*'Conversion Model'!$B$17+IF(SUMPRODUCT(--ISNUMBER(SEARCH('Scoring Model'!$D$16:$D$25,K649)))&gt;0,'Conversion Model'!$B$18,0)+IF(SUMPRODUCT(--ISNUMBER(SEARCH('Scoring Model'!$G$16:$G$23,K649)))&gt;0,'Conversion Model'!$B$19,0)))))</f>
        <v/>
      </c>
      <c r="AH649" s="3" t="str">
        <f aca="false">IF(OR(O649="Qualified",O649="Won",O649="Lost"),1,IF(O649="Unqualified",0,""))</f>
        <v/>
      </c>
    </row>
    <row r="650" customFormat="false" ht="15" hidden="false" customHeight="true" outlineLevel="0" collapsed="false">
      <c r="A650" s="3" t="s">
        <v>2201</v>
      </c>
      <c r="B650" s="9" t="n">
        <v>46228.2111111111</v>
      </c>
      <c r="C650" s="3" t="s">
        <v>76</v>
      </c>
      <c r="D650" s="3" t="s">
        <v>1138</v>
      </c>
      <c r="E650" s="3" t="s">
        <v>2202</v>
      </c>
      <c r="F650" s="3" t="s">
        <v>54</v>
      </c>
      <c r="G650" s="3"/>
      <c r="H650" s="3"/>
      <c r="I650" s="3" t="s">
        <v>80</v>
      </c>
      <c r="J650" s="3" t="s">
        <v>81</v>
      </c>
      <c r="K650" s="3" t="s">
        <v>101</v>
      </c>
      <c r="L650" s="3" t="n">
        <v>4</v>
      </c>
      <c r="M650" s="3" t="n">
        <v>17.2</v>
      </c>
      <c r="N650" s="3" t="s">
        <v>171</v>
      </c>
      <c r="O650" s="3"/>
      <c r="P650" s="10"/>
      <c r="Q650" s="3" t="n">
        <f aca="false">IF(F650="Disposable",1,0)</f>
        <v>0</v>
      </c>
      <c r="R650" s="3" t="n">
        <f aca="false">IF(SUMPRODUCT(--ISNUMBER(SEARCH('Spam Rules'!$A$22:$A$35,K650)))&gt;0,1,0)</f>
        <v>0</v>
      </c>
      <c r="S650" s="3" t="n">
        <f aca="false">IF(AND(F650="Free",G650=""),1,0)</f>
        <v>1</v>
      </c>
      <c r="T650" s="3" t="n">
        <f aca="false">IF(LEN(TRIM(K650))&lt;15,1,0)</f>
        <v>0</v>
      </c>
      <c r="U650" s="3" t="n">
        <f aca="false">IF(COUNTIF($E$2:$E$801,E650)&gt;1,1,0)</f>
        <v>0</v>
      </c>
      <c r="V650" s="3" t="n">
        <f aca="false">Q650*'Spam Rules'!$H$6+R650*'Spam Rules'!$H$7+S650*'Spam Rules'!$H$8+T650*'Spam Rules'!$H$9+U650*'Spam Rules'!$H$10</f>
        <v>0</v>
      </c>
      <c r="W650" s="3" t="str">
        <f aca="false">IF(V650&gt;='Spam Rules'!$B$3,"Likely Spam","Genuine")</f>
        <v>Genuine</v>
      </c>
      <c r="X650" s="3" t="n">
        <f aca="false">IFERROR(INDEX('Scoring Model'!$B$5:$B$11,MATCH(C650,'Scoring Model'!$A$5:$A$11,0)),0)</f>
        <v>0</v>
      </c>
      <c r="Y650" s="3" t="n">
        <f aca="false">IFERROR(INDEX('Scoring Model'!$E$5:$E$7,MATCH(F650,'Scoring Model'!$D$5:$D$7,0)),0)</f>
        <v>0</v>
      </c>
      <c r="Z650" s="3" t="n">
        <f aca="false">IFERROR(INDEX('Scoring Model'!$H$5:$H$13,MATCH(J650,'Scoring Model'!$G$5:$G$13,0)),0)</f>
        <v>5</v>
      </c>
      <c r="AA650" s="3" t="n">
        <f aca="false">IF(L650&gt;='Scoring Model'!$B$14,'Scoring Model'!$B$15,IF(L650&gt;='Scoring Model'!$B$16,'Scoring Model'!$B$17,0))</f>
        <v>8</v>
      </c>
      <c r="AB650" s="3" t="n">
        <f aca="false">IF(SUMPRODUCT(--ISNUMBER(SEARCH('Scoring Model'!$D$16:$D$25,K650)))&gt;0,'Scoring Model'!$B$18,0)</f>
        <v>0</v>
      </c>
      <c r="AC650" s="3" t="n">
        <f aca="false">IF(SUMPRODUCT(--ISNUMBER(SEARCH('Scoring Model'!$G$16:$G$23,K650)))&gt;0,'Scoring Model'!$B$19,0)</f>
        <v>-30</v>
      </c>
      <c r="AD650" s="3" t="n">
        <f aca="false">IF(W650="Likely Spam","",SUM(X650:AC650))</f>
        <v>-17</v>
      </c>
      <c r="AE650" s="3" t="str">
        <f aca="false">IF(W650="Likely Spam","Spam",IF(AD650&gt;='Scoring Model'!$B$21,"Hot",IF(AD650&gt;='Scoring Model'!$B$22,"Warm","Nurture")))</f>
        <v>Nurture</v>
      </c>
      <c r="AF650" s="3" t="str">
        <f aca="false">IF(W650="Likely Spam","Flagged by spam rules",TRIM(IF(X650&gt;=20,"Strong source. ","")&amp;IF(Y650&gt;0,"Company email. ","")&amp;IF(Z650&gt;=15,"High-value product. ","")&amp;IF(AA650&gt;='Scoring Model'!$B$15,"High engagement. ","")&amp;IF(AB650&gt;0,"Buying intent in message. ","")&amp;IF(AC650&lt;0,"Negative intent in message. ","")))</f>
        <v>Negative intent in message.</v>
      </c>
      <c r="AG650" s="11" t="n">
        <f aca="false">IF(W650="Likely Spam","",1/(1+EXP(-('Conversion Model'!$B$5+IFERROR(INDEX('Conversion Model'!$B$8:$B$14,MATCH(C650,'Conversion Model'!$A$8:$A$14,0)),0)+IFERROR(INDEX('Conversion Model'!$E$8:$E$9,MATCH(F650,'Conversion Model'!$D$8:$D$9,0)),0)+IFERROR(INDEX('Conversion Model'!$H$8:$H$12,MATCH(IF(LEFT(J650,8)="Payments","Payments",IF(LEFT(J650,7)="Lending","Lending",J650)),'Conversion Model'!$G$8:$G$12,0)),0)+MIN(L650,15)*'Conversion Model'!$B$17+IF(SUMPRODUCT(--ISNUMBER(SEARCH('Scoring Model'!$D$16:$D$25,K650)))&gt;0,'Conversion Model'!$B$18,0)+IF(SUMPRODUCT(--ISNUMBER(SEARCH('Scoring Model'!$G$16:$G$23,K650)))&gt;0,'Conversion Model'!$B$19,0)))))</f>
        <v>0.0060357567091923</v>
      </c>
      <c r="AH650" s="3" t="str">
        <f aca="false">IF(OR(O650="Qualified",O650="Won",O650="Lost"),1,IF(O650="Unqualified",0,""))</f>
        <v/>
      </c>
    </row>
    <row r="651" customFormat="false" ht="15" hidden="false" customHeight="true" outlineLevel="0" collapsed="false">
      <c r="A651" s="3" t="s">
        <v>2203</v>
      </c>
      <c r="B651" s="9" t="n">
        <v>46228.2347222222</v>
      </c>
      <c r="C651" s="3" t="s">
        <v>51</v>
      </c>
      <c r="D651" s="3" t="s">
        <v>2204</v>
      </c>
      <c r="E651" s="3" t="s">
        <v>2205</v>
      </c>
      <c r="F651" s="3" t="s">
        <v>54</v>
      </c>
      <c r="G651" s="3" t="s">
        <v>1103</v>
      </c>
      <c r="H651" s="3"/>
      <c r="I651" s="3" t="s">
        <v>64</v>
      </c>
      <c r="J651" s="3" t="s">
        <v>117</v>
      </c>
      <c r="K651" s="3" t="s">
        <v>303</v>
      </c>
      <c r="L651" s="3" t="n">
        <v>2</v>
      </c>
      <c r="M651" s="3" t="n">
        <v>2.1</v>
      </c>
      <c r="N651" s="3" t="s">
        <v>67</v>
      </c>
      <c r="O651" s="3" t="s">
        <v>133</v>
      </c>
      <c r="P651" s="10"/>
      <c r="Q651" s="3" t="n">
        <f aca="false">IF(F651="Disposable",1,0)</f>
        <v>0</v>
      </c>
      <c r="R651" s="3" t="n">
        <f aca="false">IF(SUMPRODUCT(--ISNUMBER(SEARCH('Spam Rules'!$A$22:$A$35,K651)))&gt;0,1,0)</f>
        <v>0</v>
      </c>
      <c r="S651" s="3" t="n">
        <f aca="false">IF(AND(F651="Free",G651=""),1,0)</f>
        <v>0</v>
      </c>
      <c r="T651" s="3" t="n">
        <f aca="false">IF(LEN(TRIM(K651))&lt;15,1,0)</f>
        <v>0</v>
      </c>
      <c r="U651" s="3" t="n">
        <f aca="false">IF(COUNTIF($E$2:$E$801,E651)&gt;1,1,0)</f>
        <v>1</v>
      </c>
      <c r="V651" s="3" t="n">
        <f aca="false">Q651*'Spam Rules'!$H$6+R651*'Spam Rules'!$H$7+S651*'Spam Rules'!$H$8+T651*'Spam Rules'!$H$9+U651*'Spam Rules'!$H$10</f>
        <v>0</v>
      </c>
      <c r="W651" s="3" t="str">
        <f aca="false">IF(V651&gt;='Spam Rules'!$B$3,"Likely Spam","Genuine")</f>
        <v>Genuine</v>
      </c>
      <c r="X651" s="3" t="n">
        <f aca="false">IFERROR(INDEX('Scoring Model'!$B$5:$B$11,MATCH(C651,'Scoring Model'!$A$5:$A$11,0)),0)</f>
        <v>10</v>
      </c>
      <c r="Y651" s="3" t="n">
        <f aca="false">IFERROR(INDEX('Scoring Model'!$E$5:$E$7,MATCH(F651,'Scoring Model'!$D$5:$D$7,0)),0)</f>
        <v>0</v>
      </c>
      <c r="Z651" s="3" t="n">
        <f aca="false">IFERROR(INDEX('Scoring Model'!$H$5:$H$13,MATCH(J651,'Scoring Model'!$G$5:$G$13,0)),0)</f>
        <v>15</v>
      </c>
      <c r="AA651" s="3" t="n">
        <f aca="false">IF(L651&gt;='Scoring Model'!$B$14,'Scoring Model'!$B$15,IF(L651&gt;='Scoring Model'!$B$16,'Scoring Model'!$B$17,0))</f>
        <v>0</v>
      </c>
      <c r="AB651" s="3" t="n">
        <f aca="false">IF(SUMPRODUCT(--ISNUMBER(SEARCH('Scoring Model'!$D$16:$D$25,K651)))&gt;0,'Scoring Model'!$B$18,0)</f>
        <v>15</v>
      </c>
      <c r="AC651" s="3" t="n">
        <f aca="false">IF(SUMPRODUCT(--ISNUMBER(SEARCH('Scoring Model'!$G$16:$G$23,K651)))&gt;0,'Scoring Model'!$B$19,0)</f>
        <v>0</v>
      </c>
      <c r="AD651" s="3" t="n">
        <f aca="false">IF(W651="Likely Spam","",SUM(X651:AC651))</f>
        <v>40</v>
      </c>
      <c r="AE651" s="3" t="str">
        <f aca="false">IF(W651="Likely Spam","Spam",IF(AD651&gt;='Scoring Model'!$B$21,"Hot",IF(AD651&gt;='Scoring Model'!$B$22,"Warm","Nurture")))</f>
        <v>Nurture</v>
      </c>
      <c r="AF651" s="3" t="str">
        <f aca="false">IF(W651="Likely Spam","Flagged by spam rules",TRIM(IF(X651&gt;=20,"Strong source. ","")&amp;IF(Y651&gt;0,"Company email. ","")&amp;IF(Z651&gt;=15,"High-value product. ","")&amp;IF(AA651&gt;='Scoring Model'!$B$15,"High engagement. ","")&amp;IF(AB651&gt;0,"Buying intent in message. ","")&amp;IF(AC651&lt;0,"Negative intent in message. ","")))</f>
        <v>High-value product. Buying intent in message.</v>
      </c>
      <c r="AG651" s="11" t="n">
        <f aca="false">IF(W651="Likely Spam","",1/(1+EXP(-('Conversion Model'!$B$5+IFERROR(INDEX('Conversion Model'!$B$8:$B$14,MATCH(C651,'Conversion Model'!$A$8:$A$14,0)),0)+IFERROR(INDEX('Conversion Model'!$E$8:$E$9,MATCH(F651,'Conversion Model'!$D$8:$D$9,0)),0)+IFERROR(INDEX('Conversion Model'!$H$8:$H$12,MATCH(IF(LEFT(J651,8)="Payments","Payments",IF(LEFT(J651,7)="Lending","Lending",J651)),'Conversion Model'!$G$8:$G$12,0)),0)+MIN(L651,15)*'Conversion Model'!$B$17+IF(SUMPRODUCT(--ISNUMBER(SEARCH('Scoring Model'!$D$16:$D$25,K651)))&gt;0,'Conversion Model'!$B$18,0)+IF(SUMPRODUCT(--ISNUMBER(SEARCH('Scoring Model'!$G$16:$G$23,K651)))&gt;0,'Conversion Model'!$B$19,0)))))</f>
        <v>0.172644486098209</v>
      </c>
      <c r="AH651" s="3" t="str">
        <f aca="false">IF(OR(O651="Qualified",O651="Won",O651="Lost"),1,IF(O651="Unqualified",0,""))</f>
        <v/>
      </c>
    </row>
    <row r="652" customFormat="false" ht="15" hidden="false" customHeight="true" outlineLevel="0" collapsed="false">
      <c r="A652" s="3" t="s">
        <v>2206</v>
      </c>
      <c r="B652" s="9" t="n">
        <v>46228.5180555556</v>
      </c>
      <c r="C652" s="3" t="s">
        <v>51</v>
      </c>
      <c r="D652" s="3" t="s">
        <v>1299</v>
      </c>
      <c r="E652" s="3" t="s">
        <v>2207</v>
      </c>
      <c r="F652" s="3" t="s">
        <v>54</v>
      </c>
      <c r="G652" s="3" t="s">
        <v>321</v>
      </c>
      <c r="H652" s="3"/>
      <c r="I652" s="3" t="s">
        <v>227</v>
      </c>
      <c r="J652" s="3" t="s">
        <v>81</v>
      </c>
      <c r="K652" s="3" t="s">
        <v>66</v>
      </c>
      <c r="L652" s="3" t="n">
        <v>2</v>
      </c>
      <c r="M652" s="3" t="n">
        <v>60.1</v>
      </c>
      <c r="N652" s="3" t="s">
        <v>96</v>
      </c>
      <c r="O652" s="3"/>
      <c r="P652" s="10"/>
      <c r="Q652" s="3" t="n">
        <f aca="false">IF(F652="Disposable",1,0)</f>
        <v>0</v>
      </c>
      <c r="R652" s="3" t="n">
        <f aca="false">IF(SUMPRODUCT(--ISNUMBER(SEARCH('Spam Rules'!$A$22:$A$35,K652)))&gt;0,1,0)</f>
        <v>1</v>
      </c>
      <c r="S652" s="3" t="n">
        <f aca="false">IF(AND(F652="Free",G652=""),1,0)</f>
        <v>0</v>
      </c>
      <c r="T652" s="3" t="n">
        <f aca="false">IF(LEN(TRIM(K652))&lt;15,1,0)</f>
        <v>0</v>
      </c>
      <c r="U652" s="3" t="n">
        <f aca="false">IF(COUNTIF($E$2:$E$801,E652)&gt;1,1,0)</f>
        <v>0</v>
      </c>
      <c r="V652" s="3" t="n">
        <f aca="false">Q652*'Spam Rules'!$H$6+R652*'Spam Rules'!$H$7+S652*'Spam Rules'!$H$8+T652*'Spam Rules'!$H$9+U652*'Spam Rules'!$H$10</f>
        <v>1</v>
      </c>
      <c r="W652" s="3" t="str">
        <f aca="false">IF(V652&gt;='Spam Rules'!$B$3,"Likely Spam","Genuine")</f>
        <v>Likely Spam</v>
      </c>
      <c r="X652" s="3" t="n">
        <f aca="false">IFERROR(INDEX('Scoring Model'!$B$5:$B$11,MATCH(C652,'Scoring Model'!$A$5:$A$11,0)),0)</f>
        <v>10</v>
      </c>
      <c r="Y652" s="3" t="n">
        <f aca="false">IFERROR(INDEX('Scoring Model'!$E$5:$E$7,MATCH(F652,'Scoring Model'!$D$5:$D$7,0)),0)</f>
        <v>0</v>
      </c>
      <c r="Z652" s="3" t="n">
        <f aca="false">IFERROR(INDEX('Scoring Model'!$H$5:$H$13,MATCH(J652,'Scoring Model'!$G$5:$G$13,0)),0)</f>
        <v>5</v>
      </c>
      <c r="AA652" s="3" t="n">
        <f aca="false">IF(L652&gt;='Scoring Model'!$B$14,'Scoring Model'!$B$15,IF(L652&gt;='Scoring Model'!$B$16,'Scoring Model'!$B$17,0))</f>
        <v>0</v>
      </c>
      <c r="AB652" s="3" t="n">
        <f aca="false">IF(SUMPRODUCT(--ISNUMBER(SEARCH('Scoring Model'!$D$16:$D$25,K652)))&gt;0,'Scoring Model'!$B$18,0)</f>
        <v>0</v>
      </c>
      <c r="AC652" s="3" t="n">
        <f aca="false">IF(SUMPRODUCT(--ISNUMBER(SEARCH('Scoring Model'!$G$16:$G$23,K652)))&gt;0,'Scoring Model'!$B$19,0)</f>
        <v>0</v>
      </c>
      <c r="AD652" s="3" t="str">
        <f aca="false">IF(W652="Likely Spam","",SUM(X652:AC652))</f>
        <v/>
      </c>
      <c r="AE652" s="3" t="str">
        <f aca="false">IF(W652="Likely Spam","Spam",IF(AD652&gt;='Scoring Model'!$B$21,"Hot",IF(AD652&gt;='Scoring Model'!$B$22,"Warm","Nurture")))</f>
        <v>Spam</v>
      </c>
      <c r="AF652" s="3" t="str">
        <f aca="false">IF(W652="Likely Spam","Flagged by spam rules",TRIM(IF(X652&gt;=20,"Strong source. ","")&amp;IF(Y652&gt;0,"Company email. ","")&amp;IF(Z652&gt;=15,"High-value product. ","")&amp;IF(AA652&gt;='Scoring Model'!$B$15,"High engagement. ","")&amp;IF(AB652&gt;0,"Buying intent in message. ","")&amp;IF(AC652&lt;0,"Negative intent in message. ","")))</f>
        <v>Flagged by spam rules</v>
      </c>
      <c r="AG652" s="11" t="str">
        <f aca="false">IF(W652="Likely Spam","",1/(1+EXP(-('Conversion Model'!$B$5+IFERROR(INDEX('Conversion Model'!$B$8:$B$14,MATCH(C652,'Conversion Model'!$A$8:$A$14,0)),0)+IFERROR(INDEX('Conversion Model'!$E$8:$E$9,MATCH(F652,'Conversion Model'!$D$8:$D$9,0)),0)+IFERROR(INDEX('Conversion Model'!$H$8:$H$12,MATCH(IF(LEFT(J652,8)="Payments","Payments",IF(LEFT(J652,7)="Lending","Lending",J652)),'Conversion Model'!$G$8:$G$12,0)),0)+MIN(L652,15)*'Conversion Model'!$B$17+IF(SUMPRODUCT(--ISNUMBER(SEARCH('Scoring Model'!$D$16:$D$25,K652)))&gt;0,'Conversion Model'!$B$18,0)+IF(SUMPRODUCT(--ISNUMBER(SEARCH('Scoring Model'!$G$16:$G$23,K652)))&gt;0,'Conversion Model'!$B$19,0)))))</f>
        <v/>
      </c>
      <c r="AH652" s="3" t="str">
        <f aca="false">IF(OR(O652="Qualified",O652="Won",O652="Lost"),1,IF(O652="Unqualified",0,""))</f>
        <v/>
      </c>
    </row>
    <row r="653" customFormat="false" ht="15" hidden="false" customHeight="true" outlineLevel="0" collapsed="false">
      <c r="A653" s="3" t="s">
        <v>2208</v>
      </c>
      <c r="B653" s="9" t="n">
        <v>46228.675</v>
      </c>
      <c r="C653" s="3" t="s">
        <v>135</v>
      </c>
      <c r="D653" s="3" t="s">
        <v>2209</v>
      </c>
      <c r="E653" s="3" t="s">
        <v>2210</v>
      </c>
      <c r="F653" s="3" t="s">
        <v>54</v>
      </c>
      <c r="G653" s="3" t="s">
        <v>115</v>
      </c>
      <c r="H653" s="3"/>
      <c r="I653" s="3" t="s">
        <v>73</v>
      </c>
      <c r="J653" s="3" t="s">
        <v>145</v>
      </c>
      <c r="K653" s="3" t="s">
        <v>228</v>
      </c>
      <c r="L653" s="3" t="n">
        <v>1</v>
      </c>
      <c r="M653" s="3" t="n">
        <v>4.6</v>
      </c>
      <c r="N653" s="3" t="s">
        <v>96</v>
      </c>
      <c r="O653" s="3" t="s">
        <v>194</v>
      </c>
      <c r="P653" s="10"/>
      <c r="Q653" s="3" t="n">
        <f aca="false">IF(F653="Disposable",1,0)</f>
        <v>0</v>
      </c>
      <c r="R653" s="3" t="n">
        <f aca="false">IF(SUMPRODUCT(--ISNUMBER(SEARCH('Spam Rules'!$A$22:$A$35,K653)))&gt;0,1,0)</f>
        <v>0</v>
      </c>
      <c r="S653" s="3" t="n">
        <f aca="false">IF(AND(F653="Free",G653=""),1,0)</f>
        <v>0</v>
      </c>
      <c r="T653" s="3" t="n">
        <f aca="false">IF(LEN(TRIM(K653))&lt;15,1,0)</f>
        <v>0</v>
      </c>
      <c r="U653" s="3" t="n">
        <f aca="false">IF(COUNTIF($E$2:$E$801,E653)&gt;1,1,0)</f>
        <v>0</v>
      </c>
      <c r="V653" s="3" t="n">
        <f aca="false">Q653*'Spam Rules'!$H$6+R653*'Spam Rules'!$H$7+S653*'Spam Rules'!$H$8+T653*'Spam Rules'!$H$9+U653*'Spam Rules'!$H$10</f>
        <v>0</v>
      </c>
      <c r="W653" s="3" t="str">
        <f aca="false">IF(V653&gt;='Spam Rules'!$B$3,"Likely Spam","Genuine")</f>
        <v>Genuine</v>
      </c>
      <c r="X653" s="3" t="n">
        <f aca="false">IFERROR(INDEX('Scoring Model'!$B$5:$B$11,MATCH(C653,'Scoring Model'!$A$5:$A$11,0)),0)</f>
        <v>20</v>
      </c>
      <c r="Y653" s="3" t="n">
        <f aca="false">IFERROR(INDEX('Scoring Model'!$E$5:$E$7,MATCH(F653,'Scoring Model'!$D$5:$D$7,0)),0)</f>
        <v>0</v>
      </c>
      <c r="Z653" s="3" t="n">
        <f aca="false">IFERROR(INDEX('Scoring Model'!$H$5:$H$13,MATCH(J653,'Scoring Model'!$G$5:$G$13,0)),0)</f>
        <v>5</v>
      </c>
      <c r="AA653" s="3" t="n">
        <f aca="false">IF(L653&gt;='Scoring Model'!$B$14,'Scoring Model'!$B$15,IF(L653&gt;='Scoring Model'!$B$16,'Scoring Model'!$B$17,0))</f>
        <v>0</v>
      </c>
      <c r="AB653" s="3" t="n">
        <f aca="false">IF(SUMPRODUCT(--ISNUMBER(SEARCH('Scoring Model'!$D$16:$D$25,K653)))&gt;0,'Scoring Model'!$B$18,0)</f>
        <v>15</v>
      </c>
      <c r="AC653" s="3" t="n">
        <f aca="false">IF(SUMPRODUCT(--ISNUMBER(SEARCH('Scoring Model'!$G$16:$G$23,K653)))&gt;0,'Scoring Model'!$B$19,0)</f>
        <v>0</v>
      </c>
      <c r="AD653" s="3" t="n">
        <f aca="false">IF(W653="Likely Spam","",SUM(X653:AC653))</f>
        <v>40</v>
      </c>
      <c r="AE653" s="3" t="str">
        <f aca="false">IF(W653="Likely Spam","Spam",IF(AD653&gt;='Scoring Model'!$B$21,"Hot",IF(AD653&gt;='Scoring Model'!$B$22,"Warm","Nurture")))</f>
        <v>Nurture</v>
      </c>
      <c r="AF653" s="3" t="str">
        <f aca="false">IF(W653="Likely Spam","Flagged by spam rules",TRIM(IF(X653&gt;=20,"Strong source. ","")&amp;IF(Y653&gt;0,"Company email. ","")&amp;IF(Z653&gt;=15,"High-value product. ","")&amp;IF(AA653&gt;='Scoring Model'!$B$15,"High engagement. ","")&amp;IF(AB653&gt;0,"Buying intent in message. ","")&amp;IF(AC653&lt;0,"Negative intent in message. ","")))</f>
        <v>Strong source. Buying intent in message.</v>
      </c>
      <c r="AG653" s="11" t="n">
        <f aca="false">IF(W653="Likely Spam","",1/(1+EXP(-('Conversion Model'!$B$5+IFERROR(INDEX('Conversion Model'!$B$8:$B$14,MATCH(C653,'Conversion Model'!$A$8:$A$14,0)),0)+IFERROR(INDEX('Conversion Model'!$E$8:$E$9,MATCH(F653,'Conversion Model'!$D$8:$D$9,0)),0)+IFERROR(INDEX('Conversion Model'!$H$8:$H$12,MATCH(IF(LEFT(J653,8)="Payments","Payments",IF(LEFT(J653,7)="Lending","Lending",J653)),'Conversion Model'!$G$8:$G$12,0)),0)+MIN(L653,15)*'Conversion Model'!$B$17+IF(SUMPRODUCT(--ISNUMBER(SEARCH('Scoring Model'!$D$16:$D$25,K653)))&gt;0,'Conversion Model'!$B$18,0)+IF(SUMPRODUCT(--ISNUMBER(SEARCH('Scoring Model'!$G$16:$G$23,K653)))&gt;0,'Conversion Model'!$B$19,0)))))</f>
        <v>0.0940634257918078</v>
      </c>
      <c r="AH653" s="3" t="n">
        <f aca="false">IF(OR(O653="Qualified",O653="Won",O653="Lost"),1,IF(O653="Unqualified",0,""))</f>
        <v>0</v>
      </c>
    </row>
    <row r="654" customFormat="false" ht="15" hidden="false" customHeight="true" outlineLevel="0" collapsed="false">
      <c r="A654" s="3" t="s">
        <v>2211</v>
      </c>
      <c r="B654" s="9" t="n">
        <v>46229.36875</v>
      </c>
      <c r="C654" s="3" t="s">
        <v>160</v>
      </c>
      <c r="D654" s="3" t="s">
        <v>2193</v>
      </c>
      <c r="E654" s="3" t="s">
        <v>2212</v>
      </c>
      <c r="F654" s="3" t="s">
        <v>22</v>
      </c>
      <c r="G654" s="3" t="s">
        <v>1370</v>
      </c>
      <c r="H654" s="3" t="s">
        <v>1371</v>
      </c>
      <c r="I654" s="3" t="s">
        <v>88</v>
      </c>
      <c r="J654" s="3" t="s">
        <v>117</v>
      </c>
      <c r="K654" s="3" t="s">
        <v>183</v>
      </c>
      <c r="L654" s="3" t="n">
        <v>9</v>
      </c>
      <c r="M654" s="3" t="n">
        <v>12.5</v>
      </c>
      <c r="N654" s="3" t="s">
        <v>67</v>
      </c>
      <c r="O654" s="3" t="s">
        <v>331</v>
      </c>
      <c r="P654" s="10"/>
      <c r="Q654" s="3" t="n">
        <f aca="false">IF(F654="Disposable",1,0)</f>
        <v>0</v>
      </c>
      <c r="R654" s="3" t="n">
        <f aca="false">IF(SUMPRODUCT(--ISNUMBER(SEARCH('Spam Rules'!$A$22:$A$35,K654)))&gt;0,1,0)</f>
        <v>0</v>
      </c>
      <c r="S654" s="3" t="n">
        <f aca="false">IF(AND(F654="Free",G654=""),1,0)</f>
        <v>0</v>
      </c>
      <c r="T654" s="3" t="n">
        <f aca="false">IF(LEN(TRIM(K654))&lt;15,1,0)</f>
        <v>0</v>
      </c>
      <c r="U654" s="3" t="n">
        <f aca="false">IF(COUNTIF($E$2:$E$801,E654)&gt;1,1,0)</f>
        <v>0</v>
      </c>
      <c r="V654" s="3" t="n">
        <f aca="false">Q654*'Spam Rules'!$H$6+R654*'Spam Rules'!$H$7+S654*'Spam Rules'!$H$8+T654*'Spam Rules'!$H$9+U654*'Spam Rules'!$H$10</f>
        <v>0</v>
      </c>
      <c r="W654" s="3" t="str">
        <f aca="false">IF(V654&gt;='Spam Rules'!$B$3,"Likely Spam","Genuine")</f>
        <v>Genuine</v>
      </c>
      <c r="X654" s="3" t="n">
        <f aca="false">IFERROR(INDEX('Scoring Model'!$B$5:$B$11,MATCH(C654,'Scoring Model'!$A$5:$A$11,0)),0)</f>
        <v>25</v>
      </c>
      <c r="Y654" s="3" t="n">
        <f aca="false">IFERROR(INDEX('Scoring Model'!$E$5:$E$7,MATCH(F654,'Scoring Model'!$D$5:$D$7,0)),0)</f>
        <v>20</v>
      </c>
      <c r="Z654" s="3" t="n">
        <f aca="false">IFERROR(INDEX('Scoring Model'!$H$5:$H$13,MATCH(J654,'Scoring Model'!$G$5:$G$13,0)),0)</f>
        <v>15</v>
      </c>
      <c r="AA654" s="3" t="n">
        <f aca="false">IF(L654&gt;='Scoring Model'!$B$14,'Scoring Model'!$B$15,IF(L654&gt;='Scoring Model'!$B$16,'Scoring Model'!$B$17,0))</f>
        <v>15</v>
      </c>
      <c r="AB654" s="3" t="n">
        <f aca="false">IF(SUMPRODUCT(--ISNUMBER(SEARCH('Scoring Model'!$D$16:$D$25,K654)))&gt;0,'Scoring Model'!$B$18,0)</f>
        <v>15</v>
      </c>
      <c r="AC654" s="3" t="n">
        <f aca="false">IF(SUMPRODUCT(--ISNUMBER(SEARCH('Scoring Model'!$G$16:$G$23,K654)))&gt;0,'Scoring Model'!$B$19,0)</f>
        <v>0</v>
      </c>
      <c r="AD654" s="3" t="n">
        <f aca="false">IF(W654="Likely Spam","",SUM(X654:AC654))</f>
        <v>90</v>
      </c>
      <c r="AE654" s="3" t="str">
        <f aca="false">IF(W654="Likely Spam","Spam",IF(AD654&gt;='Scoring Model'!$B$21,"Hot",IF(AD654&gt;='Scoring Model'!$B$22,"Warm","Nurture")))</f>
        <v>Hot</v>
      </c>
      <c r="AF654" s="3" t="str">
        <f aca="false">IF(W654="Likely Spam","Flagged by spam rules",TRIM(IF(X654&gt;=20,"Strong source. ","")&amp;IF(Y654&gt;0,"Company email. ","")&amp;IF(Z654&gt;=15,"High-value product. ","")&amp;IF(AA654&gt;='Scoring Model'!$B$15,"High engagement. ","")&amp;IF(AB654&gt;0,"Buying intent in message. ","")&amp;IF(AC654&lt;0,"Negative intent in message. ","")))</f>
        <v>Strong source. Company email. High-value product. High engagement. Buying intent in message.</v>
      </c>
      <c r="AG654" s="11" t="n">
        <f aca="false">IF(W654="Likely Spam","",1/(1+EXP(-('Conversion Model'!$B$5+IFERROR(INDEX('Conversion Model'!$B$8:$B$14,MATCH(C654,'Conversion Model'!$A$8:$A$14,0)),0)+IFERROR(INDEX('Conversion Model'!$E$8:$E$9,MATCH(F654,'Conversion Model'!$D$8:$D$9,0)),0)+IFERROR(INDEX('Conversion Model'!$H$8:$H$12,MATCH(IF(LEFT(J654,8)="Payments","Payments",IF(LEFT(J654,7)="Lending","Lending",J654)),'Conversion Model'!$G$8:$G$12,0)),0)+MIN(L654,15)*'Conversion Model'!$B$17+IF(SUMPRODUCT(--ISNUMBER(SEARCH('Scoring Model'!$D$16:$D$25,K654)))&gt;0,'Conversion Model'!$B$18,0)+IF(SUMPRODUCT(--ISNUMBER(SEARCH('Scoring Model'!$G$16:$G$23,K654)))&gt;0,'Conversion Model'!$B$19,0)))))</f>
        <v>0.995700723580097</v>
      </c>
      <c r="AH654" s="3" t="n">
        <f aca="false">IF(OR(O654="Qualified",O654="Won",O654="Lost"),1,IF(O654="Unqualified",0,""))</f>
        <v>1</v>
      </c>
    </row>
    <row r="655" customFormat="false" ht="15" hidden="false" customHeight="true" outlineLevel="0" collapsed="false">
      <c r="A655" s="3" t="s">
        <v>2213</v>
      </c>
      <c r="B655" s="9" t="n">
        <v>46229.8659722222</v>
      </c>
      <c r="C655" s="3" t="s">
        <v>112</v>
      </c>
      <c r="D655" s="3" t="s">
        <v>2209</v>
      </c>
      <c r="E655" s="3" t="s">
        <v>2214</v>
      </c>
      <c r="F655" s="3" t="s">
        <v>22</v>
      </c>
      <c r="G655" s="3" t="s">
        <v>2215</v>
      </c>
      <c r="H655" s="3" t="s">
        <v>2216</v>
      </c>
      <c r="I655" s="3" t="s">
        <v>73</v>
      </c>
      <c r="J655" s="3" t="s">
        <v>117</v>
      </c>
      <c r="K655" s="3" t="s">
        <v>345</v>
      </c>
      <c r="L655" s="3" t="n">
        <v>6</v>
      </c>
      <c r="M655" s="3" t="n">
        <v>13.2</v>
      </c>
      <c r="N655" s="3" t="s">
        <v>171</v>
      </c>
      <c r="O655" s="3" t="s">
        <v>194</v>
      </c>
      <c r="P655" s="10"/>
      <c r="Q655" s="3" t="n">
        <f aca="false">IF(F655="Disposable",1,0)</f>
        <v>0</v>
      </c>
      <c r="R655" s="3" t="n">
        <f aca="false">IF(SUMPRODUCT(--ISNUMBER(SEARCH('Spam Rules'!$A$22:$A$35,K655)))&gt;0,1,0)</f>
        <v>0</v>
      </c>
      <c r="S655" s="3" t="n">
        <f aca="false">IF(AND(F655="Free",G655=""),1,0)</f>
        <v>0</v>
      </c>
      <c r="T655" s="3" t="n">
        <f aca="false">IF(LEN(TRIM(K655))&lt;15,1,0)</f>
        <v>0</v>
      </c>
      <c r="U655" s="3" t="n">
        <f aca="false">IF(COUNTIF($E$2:$E$801,E655)&gt;1,1,0)</f>
        <v>0</v>
      </c>
      <c r="V655" s="3" t="n">
        <f aca="false">Q655*'Spam Rules'!$H$6+R655*'Spam Rules'!$H$7+S655*'Spam Rules'!$H$8+T655*'Spam Rules'!$H$9+U655*'Spam Rules'!$H$10</f>
        <v>0</v>
      </c>
      <c r="W655" s="3" t="str">
        <f aca="false">IF(V655&gt;='Spam Rules'!$B$3,"Likely Spam","Genuine")</f>
        <v>Genuine</v>
      </c>
      <c r="X655" s="3" t="n">
        <f aca="false">IFERROR(INDEX('Scoring Model'!$B$5:$B$11,MATCH(C655,'Scoring Model'!$A$5:$A$11,0)),0)</f>
        <v>15</v>
      </c>
      <c r="Y655" s="3" t="n">
        <f aca="false">IFERROR(INDEX('Scoring Model'!$E$5:$E$7,MATCH(F655,'Scoring Model'!$D$5:$D$7,0)),0)</f>
        <v>20</v>
      </c>
      <c r="Z655" s="3" t="n">
        <f aca="false">IFERROR(INDEX('Scoring Model'!$H$5:$H$13,MATCH(J655,'Scoring Model'!$G$5:$G$13,0)),0)</f>
        <v>15</v>
      </c>
      <c r="AA655" s="3" t="n">
        <f aca="false">IF(L655&gt;='Scoring Model'!$B$14,'Scoring Model'!$B$15,IF(L655&gt;='Scoring Model'!$B$16,'Scoring Model'!$B$17,0))</f>
        <v>8</v>
      </c>
      <c r="AB655" s="3" t="n">
        <f aca="false">IF(SUMPRODUCT(--ISNUMBER(SEARCH('Scoring Model'!$D$16:$D$25,K655)))&gt;0,'Scoring Model'!$B$18,0)</f>
        <v>15</v>
      </c>
      <c r="AC655" s="3" t="n">
        <f aca="false">IF(SUMPRODUCT(--ISNUMBER(SEARCH('Scoring Model'!$G$16:$G$23,K655)))&gt;0,'Scoring Model'!$B$19,0)</f>
        <v>0</v>
      </c>
      <c r="AD655" s="3" t="n">
        <f aca="false">IF(W655="Likely Spam","",SUM(X655:AC655))</f>
        <v>73</v>
      </c>
      <c r="AE655" s="3" t="str">
        <f aca="false">IF(W655="Likely Spam","Spam",IF(AD655&gt;='Scoring Model'!$B$21,"Hot",IF(AD655&gt;='Scoring Model'!$B$22,"Warm","Nurture")))</f>
        <v>Hot</v>
      </c>
      <c r="AF655" s="3" t="str">
        <f aca="false">IF(W655="Likely Spam","Flagged by spam rules",TRIM(IF(X655&gt;=20,"Strong source. ","")&amp;IF(Y655&gt;0,"Company email. ","")&amp;IF(Z655&gt;=15,"High-value product. ","")&amp;IF(AA655&gt;='Scoring Model'!$B$15,"High engagement. ","")&amp;IF(AB655&gt;0,"Buying intent in message. ","")&amp;IF(AC655&lt;0,"Negative intent in message. ","")))</f>
        <v>Company email. High-value product. Buying intent in message.</v>
      </c>
      <c r="AG655" s="11" t="n">
        <f aca="false">IF(W655="Likely Spam","",1/(1+EXP(-('Conversion Model'!$B$5+IFERROR(INDEX('Conversion Model'!$B$8:$B$14,MATCH(C655,'Conversion Model'!$A$8:$A$14,0)),0)+IFERROR(INDEX('Conversion Model'!$E$8:$E$9,MATCH(F655,'Conversion Model'!$D$8:$D$9,0)),0)+IFERROR(INDEX('Conversion Model'!$H$8:$H$12,MATCH(IF(LEFT(J655,8)="Payments","Payments",IF(LEFT(J655,7)="Lending","Lending",J655)),'Conversion Model'!$G$8:$G$12,0)),0)+MIN(L655,15)*'Conversion Model'!$B$17+IF(SUMPRODUCT(--ISNUMBER(SEARCH('Scoring Model'!$D$16:$D$25,K655)))&gt;0,'Conversion Model'!$B$18,0)+IF(SUMPRODUCT(--ISNUMBER(SEARCH('Scoring Model'!$G$16:$G$23,K655)))&gt;0,'Conversion Model'!$B$19,0)))))</f>
        <v>0.927774798964718</v>
      </c>
      <c r="AH655" s="3" t="n">
        <f aca="false">IF(OR(O655="Qualified",O655="Won",O655="Lost"),1,IF(O655="Unqualified",0,""))</f>
        <v>0</v>
      </c>
    </row>
    <row r="656" customFormat="false" ht="15" hidden="false" customHeight="true" outlineLevel="0" collapsed="false">
      <c r="A656" s="3" t="s">
        <v>2217</v>
      </c>
      <c r="B656" s="9" t="n">
        <v>46230.8743055556</v>
      </c>
      <c r="C656" s="3" t="s">
        <v>76</v>
      </c>
      <c r="D656" s="3" t="s">
        <v>2115</v>
      </c>
      <c r="E656" s="3" t="s">
        <v>2218</v>
      </c>
      <c r="F656" s="3" t="s">
        <v>54</v>
      </c>
      <c r="G656" s="3" t="s">
        <v>1621</v>
      </c>
      <c r="H656" s="3"/>
      <c r="I656" s="3" t="s">
        <v>188</v>
      </c>
      <c r="J656" s="3" t="s">
        <v>122</v>
      </c>
      <c r="K656" s="3" t="s">
        <v>1649</v>
      </c>
      <c r="L656" s="3" t="n">
        <v>4</v>
      </c>
      <c r="M656" s="3" t="n">
        <v>8.8</v>
      </c>
      <c r="N656" s="3" t="s">
        <v>67</v>
      </c>
      <c r="O656" s="3" t="s">
        <v>194</v>
      </c>
      <c r="P656" s="10"/>
      <c r="Q656" s="3" t="n">
        <f aca="false">IF(F656="Disposable",1,0)</f>
        <v>0</v>
      </c>
      <c r="R656" s="3" t="n">
        <f aca="false">IF(SUMPRODUCT(--ISNUMBER(SEARCH('Spam Rules'!$A$22:$A$35,K656)))&gt;0,1,0)</f>
        <v>0</v>
      </c>
      <c r="S656" s="3" t="n">
        <f aca="false">IF(AND(F656="Free",G656=""),1,0)</f>
        <v>0</v>
      </c>
      <c r="T656" s="3" t="n">
        <f aca="false">IF(LEN(TRIM(K656))&lt;15,1,0)</f>
        <v>0</v>
      </c>
      <c r="U656" s="3" t="n">
        <f aca="false">IF(COUNTIF($E$2:$E$801,E656)&gt;1,1,0)</f>
        <v>0</v>
      </c>
      <c r="V656" s="3" t="n">
        <f aca="false">Q656*'Spam Rules'!$H$6+R656*'Spam Rules'!$H$7+S656*'Spam Rules'!$H$8+T656*'Spam Rules'!$H$9+U656*'Spam Rules'!$H$10</f>
        <v>0</v>
      </c>
      <c r="W656" s="3" t="str">
        <f aca="false">IF(V656&gt;='Spam Rules'!$B$3,"Likely Spam","Genuine")</f>
        <v>Genuine</v>
      </c>
      <c r="X656" s="3" t="n">
        <f aca="false">IFERROR(INDEX('Scoring Model'!$B$5:$B$11,MATCH(C656,'Scoring Model'!$A$5:$A$11,0)),0)</f>
        <v>0</v>
      </c>
      <c r="Y656" s="3" t="n">
        <f aca="false">IFERROR(INDEX('Scoring Model'!$E$5:$E$7,MATCH(F656,'Scoring Model'!$D$5:$D$7,0)),0)</f>
        <v>0</v>
      </c>
      <c r="Z656" s="3" t="n">
        <f aca="false">IFERROR(INDEX('Scoring Model'!$H$5:$H$13,MATCH(J656,'Scoring Model'!$G$5:$G$13,0)),0)</f>
        <v>15</v>
      </c>
      <c r="AA656" s="3" t="n">
        <f aca="false">IF(L656&gt;='Scoring Model'!$B$14,'Scoring Model'!$B$15,IF(L656&gt;='Scoring Model'!$B$16,'Scoring Model'!$B$17,0))</f>
        <v>8</v>
      </c>
      <c r="AB656" s="3" t="n">
        <f aca="false">IF(SUMPRODUCT(--ISNUMBER(SEARCH('Scoring Model'!$D$16:$D$25,K656)))&gt;0,'Scoring Model'!$B$18,0)</f>
        <v>15</v>
      </c>
      <c r="AC656" s="3" t="n">
        <f aca="false">IF(SUMPRODUCT(--ISNUMBER(SEARCH('Scoring Model'!$G$16:$G$23,K656)))&gt;0,'Scoring Model'!$B$19,0)</f>
        <v>0</v>
      </c>
      <c r="AD656" s="3" t="n">
        <f aca="false">IF(W656="Likely Spam","",SUM(X656:AC656))</f>
        <v>38</v>
      </c>
      <c r="AE656" s="3" t="str">
        <f aca="false">IF(W656="Likely Spam","Spam",IF(AD656&gt;='Scoring Model'!$B$21,"Hot",IF(AD656&gt;='Scoring Model'!$B$22,"Warm","Nurture")))</f>
        <v>Nurture</v>
      </c>
      <c r="AF656" s="3" t="str">
        <f aca="false">IF(W656="Likely Spam","Flagged by spam rules",TRIM(IF(X656&gt;=20,"Strong source. ","")&amp;IF(Y656&gt;0,"Company email. ","")&amp;IF(Z656&gt;=15,"High-value product. ","")&amp;IF(AA656&gt;='Scoring Model'!$B$15,"High engagement. ","")&amp;IF(AB656&gt;0,"Buying intent in message. ","")&amp;IF(AC656&lt;0,"Negative intent in message. ","")))</f>
        <v>High-value product. Buying intent in message.</v>
      </c>
      <c r="AG656" s="11" t="n">
        <f aca="false">IF(W656="Likely Spam","",1/(1+EXP(-('Conversion Model'!$B$5+IFERROR(INDEX('Conversion Model'!$B$8:$B$14,MATCH(C656,'Conversion Model'!$A$8:$A$14,0)),0)+IFERROR(INDEX('Conversion Model'!$E$8:$E$9,MATCH(F656,'Conversion Model'!$D$8:$D$9,0)),0)+IFERROR(INDEX('Conversion Model'!$H$8:$H$12,MATCH(IF(LEFT(J656,8)="Payments","Payments",IF(LEFT(J656,7)="Lending","Lending",J656)),'Conversion Model'!$G$8:$G$12,0)),0)+MIN(L656,15)*'Conversion Model'!$B$17+IF(SUMPRODUCT(--ISNUMBER(SEARCH('Scoring Model'!$D$16:$D$25,K656)))&gt;0,'Conversion Model'!$B$18,0)+IF(SUMPRODUCT(--ISNUMBER(SEARCH('Scoring Model'!$G$16:$G$23,K656)))&gt;0,'Conversion Model'!$B$19,0)))))</f>
        <v>0.229878037256005</v>
      </c>
      <c r="AH656" s="3" t="n">
        <f aca="false">IF(OR(O656="Qualified",O656="Won",O656="Lost"),1,IF(O656="Unqualified",0,""))</f>
        <v>0</v>
      </c>
    </row>
    <row r="657" customFormat="false" ht="15" hidden="false" customHeight="true" outlineLevel="0" collapsed="false">
      <c r="A657" s="3" t="s">
        <v>2219</v>
      </c>
      <c r="B657" s="9" t="n">
        <v>46231.3173611111</v>
      </c>
      <c r="C657" s="3" t="s">
        <v>135</v>
      </c>
      <c r="D657" s="3" t="s">
        <v>1977</v>
      </c>
      <c r="E657" s="3" t="s">
        <v>2220</v>
      </c>
      <c r="F657" s="3" t="s">
        <v>54</v>
      </c>
      <c r="G657" s="3" t="s">
        <v>1158</v>
      </c>
      <c r="H657" s="3"/>
      <c r="I657" s="3" t="s">
        <v>334</v>
      </c>
      <c r="J657" s="3" t="s">
        <v>122</v>
      </c>
      <c r="K657" s="3" t="s">
        <v>228</v>
      </c>
      <c r="L657" s="3" t="n">
        <v>11</v>
      </c>
      <c r="M657" s="3" t="n">
        <v>8</v>
      </c>
      <c r="N657" s="3" t="s">
        <v>96</v>
      </c>
      <c r="O657" s="3" t="s">
        <v>331</v>
      </c>
      <c r="P657" s="10"/>
      <c r="Q657" s="3" t="n">
        <f aca="false">IF(F657="Disposable",1,0)</f>
        <v>0</v>
      </c>
      <c r="R657" s="3" t="n">
        <f aca="false">IF(SUMPRODUCT(--ISNUMBER(SEARCH('Spam Rules'!$A$22:$A$35,K657)))&gt;0,1,0)</f>
        <v>0</v>
      </c>
      <c r="S657" s="3" t="n">
        <f aca="false">IF(AND(F657="Free",G657=""),1,0)</f>
        <v>0</v>
      </c>
      <c r="T657" s="3" t="n">
        <f aca="false">IF(LEN(TRIM(K657))&lt;15,1,0)</f>
        <v>0</v>
      </c>
      <c r="U657" s="3" t="n">
        <f aca="false">IF(COUNTIF($E$2:$E$801,E657)&gt;1,1,0)</f>
        <v>0</v>
      </c>
      <c r="V657" s="3" t="n">
        <f aca="false">Q657*'Spam Rules'!$H$6+R657*'Spam Rules'!$H$7+S657*'Spam Rules'!$H$8+T657*'Spam Rules'!$H$9+U657*'Spam Rules'!$H$10</f>
        <v>0</v>
      </c>
      <c r="W657" s="3" t="str">
        <f aca="false">IF(V657&gt;='Spam Rules'!$B$3,"Likely Spam","Genuine")</f>
        <v>Genuine</v>
      </c>
      <c r="X657" s="3" t="n">
        <f aca="false">IFERROR(INDEX('Scoring Model'!$B$5:$B$11,MATCH(C657,'Scoring Model'!$A$5:$A$11,0)),0)</f>
        <v>20</v>
      </c>
      <c r="Y657" s="3" t="n">
        <f aca="false">IFERROR(INDEX('Scoring Model'!$E$5:$E$7,MATCH(F657,'Scoring Model'!$D$5:$D$7,0)),0)</f>
        <v>0</v>
      </c>
      <c r="Z657" s="3" t="n">
        <f aca="false">IFERROR(INDEX('Scoring Model'!$H$5:$H$13,MATCH(J657,'Scoring Model'!$G$5:$G$13,0)),0)</f>
        <v>15</v>
      </c>
      <c r="AA657" s="3" t="n">
        <f aca="false">IF(L657&gt;='Scoring Model'!$B$14,'Scoring Model'!$B$15,IF(L657&gt;='Scoring Model'!$B$16,'Scoring Model'!$B$17,0))</f>
        <v>15</v>
      </c>
      <c r="AB657" s="3" t="n">
        <f aca="false">IF(SUMPRODUCT(--ISNUMBER(SEARCH('Scoring Model'!$D$16:$D$25,K657)))&gt;0,'Scoring Model'!$B$18,0)</f>
        <v>15</v>
      </c>
      <c r="AC657" s="3" t="n">
        <f aca="false">IF(SUMPRODUCT(--ISNUMBER(SEARCH('Scoring Model'!$G$16:$G$23,K657)))&gt;0,'Scoring Model'!$B$19,0)</f>
        <v>0</v>
      </c>
      <c r="AD657" s="3" t="n">
        <f aca="false">IF(W657="Likely Spam","",SUM(X657:AC657))</f>
        <v>65</v>
      </c>
      <c r="AE657" s="3" t="str">
        <f aca="false">IF(W657="Likely Spam","Spam",IF(AD657&gt;='Scoring Model'!$B$21,"Hot",IF(AD657&gt;='Scoring Model'!$B$22,"Warm","Nurture")))</f>
        <v>Warm</v>
      </c>
      <c r="AF657" s="3" t="str">
        <f aca="false">IF(W657="Likely Spam","Flagged by spam rules",TRIM(IF(X657&gt;=20,"Strong source. ","")&amp;IF(Y657&gt;0,"Company email. ","")&amp;IF(Z657&gt;=15,"High-value product. ","")&amp;IF(AA657&gt;='Scoring Model'!$B$15,"High engagement. ","")&amp;IF(AB657&gt;0,"Buying intent in message. ","")&amp;IF(AC657&lt;0,"Negative intent in message. ","")))</f>
        <v>Strong source. High-value product. High engagement. Buying intent in message.</v>
      </c>
      <c r="AG657" s="11" t="n">
        <f aca="false">IF(W657="Likely Spam","",1/(1+EXP(-('Conversion Model'!$B$5+IFERROR(INDEX('Conversion Model'!$B$8:$B$14,MATCH(C657,'Conversion Model'!$A$8:$A$14,0)),0)+IFERROR(INDEX('Conversion Model'!$E$8:$E$9,MATCH(F657,'Conversion Model'!$D$8:$D$9,0)),0)+IFERROR(INDEX('Conversion Model'!$H$8:$H$12,MATCH(IF(LEFT(J657,8)="Payments","Payments",IF(LEFT(J657,7)="Lending","Lending",J657)),'Conversion Model'!$G$8:$G$12,0)),0)+MIN(L657,15)*'Conversion Model'!$B$17+IF(SUMPRODUCT(--ISNUMBER(SEARCH('Scoring Model'!$D$16:$D$25,K657)))&gt;0,'Conversion Model'!$B$18,0)+IF(SUMPRODUCT(--ISNUMBER(SEARCH('Scoring Model'!$G$16:$G$23,K657)))&gt;0,'Conversion Model'!$B$19,0)))))</f>
        <v>0.996286277867621</v>
      </c>
      <c r="AH657" s="3" t="n">
        <f aca="false">IF(OR(O657="Qualified",O657="Won",O657="Lost"),1,IF(O657="Unqualified",0,""))</f>
        <v>1</v>
      </c>
    </row>
    <row r="658" customFormat="false" ht="15" hidden="false" customHeight="true" outlineLevel="0" collapsed="false">
      <c r="A658" s="3" t="s">
        <v>2221</v>
      </c>
      <c r="B658" s="9" t="n">
        <v>46231.3777777778</v>
      </c>
      <c r="C658" s="3" t="s">
        <v>160</v>
      </c>
      <c r="D658" s="3" t="s">
        <v>2222</v>
      </c>
      <c r="E658" s="3" t="s">
        <v>2223</v>
      </c>
      <c r="F658" s="3" t="s">
        <v>22</v>
      </c>
      <c r="G658" s="3" t="s">
        <v>100</v>
      </c>
      <c r="H658" s="3" t="s">
        <v>2224</v>
      </c>
      <c r="I658" s="3" t="s">
        <v>73</v>
      </c>
      <c r="J658" s="3" t="s">
        <v>108</v>
      </c>
      <c r="K658" s="3" t="s">
        <v>2225</v>
      </c>
      <c r="L658" s="3" t="n">
        <v>5</v>
      </c>
      <c r="M658" s="3" t="n">
        <v>4.2</v>
      </c>
      <c r="N658" s="3" t="s">
        <v>67</v>
      </c>
      <c r="O658" s="3" t="s">
        <v>133</v>
      </c>
      <c r="P658" s="10"/>
      <c r="Q658" s="3" t="n">
        <f aca="false">IF(F658="Disposable",1,0)</f>
        <v>0</v>
      </c>
      <c r="R658" s="3" t="n">
        <f aca="false">IF(SUMPRODUCT(--ISNUMBER(SEARCH('Spam Rules'!$A$22:$A$35,K658)))&gt;0,1,0)</f>
        <v>0</v>
      </c>
      <c r="S658" s="3" t="n">
        <f aca="false">IF(AND(F658="Free",G658=""),1,0)</f>
        <v>0</v>
      </c>
      <c r="T658" s="3" t="n">
        <f aca="false">IF(LEN(TRIM(K658))&lt;15,1,0)</f>
        <v>0</v>
      </c>
      <c r="U658" s="3" t="n">
        <f aca="false">IF(COUNTIF($E$2:$E$801,E658)&gt;1,1,0)</f>
        <v>0</v>
      </c>
      <c r="V658" s="3" t="n">
        <f aca="false">Q658*'Spam Rules'!$H$6+R658*'Spam Rules'!$H$7+S658*'Spam Rules'!$H$8+T658*'Spam Rules'!$H$9+U658*'Spam Rules'!$H$10</f>
        <v>0</v>
      </c>
      <c r="W658" s="3" t="str">
        <f aca="false">IF(V658&gt;='Spam Rules'!$B$3,"Likely Spam","Genuine")</f>
        <v>Genuine</v>
      </c>
      <c r="X658" s="3" t="n">
        <f aca="false">IFERROR(INDEX('Scoring Model'!$B$5:$B$11,MATCH(C658,'Scoring Model'!$A$5:$A$11,0)),0)</f>
        <v>25</v>
      </c>
      <c r="Y658" s="3" t="n">
        <f aca="false">IFERROR(INDEX('Scoring Model'!$E$5:$E$7,MATCH(F658,'Scoring Model'!$D$5:$D$7,0)),0)</f>
        <v>20</v>
      </c>
      <c r="Z658" s="3" t="n">
        <f aca="false">IFERROR(INDEX('Scoring Model'!$H$5:$H$13,MATCH(J658,'Scoring Model'!$G$5:$G$13,0)),0)</f>
        <v>15</v>
      </c>
      <c r="AA658" s="3" t="n">
        <f aca="false">IF(L658&gt;='Scoring Model'!$B$14,'Scoring Model'!$B$15,IF(L658&gt;='Scoring Model'!$B$16,'Scoring Model'!$B$17,0))</f>
        <v>8</v>
      </c>
      <c r="AB658" s="3" t="n">
        <f aca="false">IF(SUMPRODUCT(--ISNUMBER(SEARCH('Scoring Model'!$D$16:$D$25,K658)))&gt;0,'Scoring Model'!$B$18,0)</f>
        <v>15</v>
      </c>
      <c r="AC658" s="3" t="n">
        <f aca="false">IF(SUMPRODUCT(--ISNUMBER(SEARCH('Scoring Model'!$G$16:$G$23,K658)))&gt;0,'Scoring Model'!$B$19,0)</f>
        <v>0</v>
      </c>
      <c r="AD658" s="3" t="n">
        <f aca="false">IF(W658="Likely Spam","",SUM(X658:AC658))</f>
        <v>83</v>
      </c>
      <c r="AE658" s="3" t="str">
        <f aca="false">IF(W658="Likely Spam","Spam",IF(AD658&gt;='Scoring Model'!$B$21,"Hot",IF(AD658&gt;='Scoring Model'!$B$22,"Warm","Nurture")))</f>
        <v>Hot</v>
      </c>
      <c r="AF658" s="3" t="str">
        <f aca="false">IF(W658="Likely Spam","Flagged by spam rules",TRIM(IF(X658&gt;=20,"Strong source. ","")&amp;IF(Y658&gt;0,"Company email. ","")&amp;IF(Z658&gt;=15,"High-value product. ","")&amp;IF(AA658&gt;='Scoring Model'!$B$15,"High engagement. ","")&amp;IF(AB658&gt;0,"Buying intent in message. ","")&amp;IF(AC658&lt;0,"Negative intent in message. ","")))</f>
        <v>Strong source. Company email. High-value product. Buying intent in message.</v>
      </c>
      <c r="AG658" s="11" t="n">
        <f aca="false">IF(W658="Likely Spam","",1/(1+EXP(-('Conversion Model'!$B$5+IFERROR(INDEX('Conversion Model'!$B$8:$B$14,MATCH(C658,'Conversion Model'!$A$8:$A$14,0)),0)+IFERROR(INDEX('Conversion Model'!$E$8:$E$9,MATCH(F658,'Conversion Model'!$D$8:$D$9,0)),0)+IFERROR(INDEX('Conversion Model'!$H$8:$H$12,MATCH(IF(LEFT(J658,8)="Payments","Payments",IF(LEFT(J658,7)="Lending","Lending",J658)),'Conversion Model'!$G$8:$G$12,0)),0)+MIN(L658,15)*'Conversion Model'!$B$17+IF(SUMPRODUCT(--ISNUMBER(SEARCH('Scoring Model'!$D$16:$D$25,K658)))&gt;0,'Conversion Model'!$B$18,0)+IF(SUMPRODUCT(--ISNUMBER(SEARCH('Scoring Model'!$G$16:$G$23,K658)))&gt;0,'Conversion Model'!$B$19,0)))))</f>
        <v>0.786171387343127</v>
      </c>
      <c r="AH658" s="3" t="str">
        <f aca="false">IF(OR(O658="Qualified",O658="Won",O658="Lost"),1,IF(O658="Unqualified",0,""))</f>
        <v/>
      </c>
    </row>
    <row r="659" customFormat="false" ht="15" hidden="false" customHeight="true" outlineLevel="0" collapsed="false">
      <c r="A659" s="3" t="s">
        <v>2226</v>
      </c>
      <c r="B659" s="9" t="n">
        <v>46231.6784722222</v>
      </c>
      <c r="C659" s="3" t="s">
        <v>135</v>
      </c>
      <c r="D659" s="3" t="s">
        <v>1910</v>
      </c>
      <c r="E659" s="3" t="s">
        <v>2227</v>
      </c>
      <c r="F659" s="3" t="s">
        <v>54</v>
      </c>
      <c r="G659" s="3" t="s">
        <v>1603</v>
      </c>
      <c r="H659" s="3"/>
      <c r="I659" s="3" t="s">
        <v>188</v>
      </c>
      <c r="J659" s="3" t="s">
        <v>81</v>
      </c>
      <c r="K659" s="3" t="s">
        <v>74</v>
      </c>
      <c r="L659" s="3" t="n">
        <v>3</v>
      </c>
      <c r="M659" s="3" t="n">
        <v>3.2</v>
      </c>
      <c r="N659" s="3" t="s">
        <v>171</v>
      </c>
      <c r="O659" s="3"/>
      <c r="P659" s="10"/>
      <c r="Q659" s="3" t="n">
        <f aca="false">IF(F659="Disposable",1,0)</f>
        <v>0</v>
      </c>
      <c r="R659" s="3" t="n">
        <f aca="false">IF(SUMPRODUCT(--ISNUMBER(SEARCH('Spam Rules'!$A$22:$A$35,K659)))&gt;0,1,0)</f>
        <v>0</v>
      </c>
      <c r="S659" s="3" t="n">
        <f aca="false">IF(AND(F659="Free",G659=""),1,0)</f>
        <v>0</v>
      </c>
      <c r="T659" s="3" t="n">
        <f aca="false">IF(LEN(TRIM(K659))&lt;15,1,0)</f>
        <v>0</v>
      </c>
      <c r="U659" s="3" t="n">
        <f aca="false">IF(COUNTIF($E$2:$E$801,E659)&gt;1,1,0)</f>
        <v>0</v>
      </c>
      <c r="V659" s="3" t="n">
        <f aca="false">Q659*'Spam Rules'!$H$6+R659*'Spam Rules'!$H$7+S659*'Spam Rules'!$H$8+T659*'Spam Rules'!$H$9+U659*'Spam Rules'!$H$10</f>
        <v>0</v>
      </c>
      <c r="W659" s="3" t="str">
        <f aca="false">IF(V659&gt;='Spam Rules'!$B$3,"Likely Spam","Genuine")</f>
        <v>Genuine</v>
      </c>
      <c r="X659" s="3" t="n">
        <f aca="false">IFERROR(INDEX('Scoring Model'!$B$5:$B$11,MATCH(C659,'Scoring Model'!$A$5:$A$11,0)),0)</f>
        <v>20</v>
      </c>
      <c r="Y659" s="3" t="n">
        <f aca="false">IFERROR(INDEX('Scoring Model'!$E$5:$E$7,MATCH(F659,'Scoring Model'!$D$5:$D$7,0)),0)</f>
        <v>0</v>
      </c>
      <c r="Z659" s="3" t="n">
        <f aca="false">IFERROR(INDEX('Scoring Model'!$H$5:$H$13,MATCH(J659,'Scoring Model'!$G$5:$G$13,0)),0)</f>
        <v>5</v>
      </c>
      <c r="AA659" s="3" t="n">
        <f aca="false">IF(L659&gt;='Scoring Model'!$B$14,'Scoring Model'!$B$15,IF(L659&gt;='Scoring Model'!$B$16,'Scoring Model'!$B$17,0))</f>
        <v>0</v>
      </c>
      <c r="AB659" s="3" t="n">
        <f aca="false">IF(SUMPRODUCT(--ISNUMBER(SEARCH('Scoring Model'!$D$16:$D$25,K659)))&gt;0,'Scoring Model'!$B$18,0)</f>
        <v>0</v>
      </c>
      <c r="AC659" s="3" t="n">
        <f aca="false">IF(SUMPRODUCT(--ISNUMBER(SEARCH('Scoring Model'!$G$16:$G$23,K659)))&gt;0,'Scoring Model'!$B$19,0)</f>
        <v>-30</v>
      </c>
      <c r="AD659" s="3" t="n">
        <f aca="false">IF(W659="Likely Spam","",SUM(X659:AC659))</f>
        <v>-5</v>
      </c>
      <c r="AE659" s="3" t="str">
        <f aca="false">IF(W659="Likely Spam","Spam",IF(AD659&gt;='Scoring Model'!$B$21,"Hot",IF(AD659&gt;='Scoring Model'!$B$22,"Warm","Nurture")))</f>
        <v>Nurture</v>
      </c>
      <c r="AF659" s="3" t="str">
        <f aca="false">IF(W659="Likely Spam","Flagged by spam rules",TRIM(IF(X659&gt;=20,"Strong source. ","")&amp;IF(Y659&gt;0,"Company email. ","")&amp;IF(Z659&gt;=15,"High-value product. ","")&amp;IF(AA659&gt;='Scoring Model'!$B$15,"High engagement. ","")&amp;IF(AB659&gt;0,"Buying intent in message. ","")&amp;IF(AC659&lt;0,"Negative intent in message. ","")))</f>
        <v>Strong source. Negative intent in message.</v>
      </c>
      <c r="AG659" s="11" t="n">
        <f aca="false">IF(W659="Likely Spam","",1/(1+EXP(-('Conversion Model'!$B$5+IFERROR(INDEX('Conversion Model'!$B$8:$B$14,MATCH(C659,'Conversion Model'!$A$8:$A$14,0)),0)+IFERROR(INDEX('Conversion Model'!$E$8:$E$9,MATCH(F659,'Conversion Model'!$D$8:$D$9,0)),0)+IFERROR(INDEX('Conversion Model'!$H$8:$H$12,MATCH(IF(LEFT(J659,8)="Payments","Payments",IF(LEFT(J659,7)="Lending","Lending",J659)),'Conversion Model'!$G$8:$G$12,0)),0)+MIN(L659,15)*'Conversion Model'!$B$17+IF(SUMPRODUCT(--ISNUMBER(SEARCH('Scoring Model'!$D$16:$D$25,K659)))&gt;0,'Conversion Model'!$B$18,0)+IF(SUMPRODUCT(--ISNUMBER(SEARCH('Scoring Model'!$G$16:$G$23,K659)))&gt;0,'Conversion Model'!$B$19,0)))))</f>
        <v>0.00884516308224579</v>
      </c>
      <c r="AH659" s="3" t="str">
        <f aca="false">IF(OR(O659="Qualified",O659="Won",O659="Lost"),1,IF(O659="Unqualified",0,""))</f>
        <v/>
      </c>
    </row>
    <row r="660" customFormat="false" ht="15" hidden="false" customHeight="true" outlineLevel="0" collapsed="false">
      <c r="A660" s="3" t="s">
        <v>2228</v>
      </c>
      <c r="B660" s="9" t="n">
        <v>46231.9979166667</v>
      </c>
      <c r="C660" s="3" t="s">
        <v>91</v>
      </c>
      <c r="D660" s="3" t="s">
        <v>991</v>
      </c>
      <c r="E660" s="3" t="s">
        <v>2229</v>
      </c>
      <c r="F660" s="3" t="s">
        <v>54</v>
      </c>
      <c r="G660" s="3"/>
      <c r="H660" s="3"/>
      <c r="I660" s="3" t="s">
        <v>88</v>
      </c>
      <c r="J660" s="3" t="s">
        <v>81</v>
      </c>
      <c r="K660" s="3" t="s">
        <v>213</v>
      </c>
      <c r="L660" s="3" t="n">
        <v>2</v>
      </c>
      <c r="M660" s="3" t="n">
        <v>12</v>
      </c>
      <c r="N660" s="3" t="s">
        <v>67</v>
      </c>
      <c r="O660" s="3"/>
      <c r="P660" s="10"/>
      <c r="Q660" s="3" t="n">
        <f aca="false">IF(F660="Disposable",1,0)</f>
        <v>0</v>
      </c>
      <c r="R660" s="3" t="n">
        <f aca="false">IF(SUMPRODUCT(--ISNUMBER(SEARCH('Spam Rules'!$A$22:$A$35,K660)))&gt;0,1,0)</f>
        <v>0</v>
      </c>
      <c r="S660" s="3" t="n">
        <f aca="false">IF(AND(F660="Free",G660=""),1,0)</f>
        <v>1</v>
      </c>
      <c r="T660" s="3" t="n">
        <f aca="false">IF(LEN(TRIM(K660))&lt;15,1,0)</f>
        <v>0</v>
      </c>
      <c r="U660" s="3" t="n">
        <f aca="false">IF(COUNTIF($E$2:$E$801,E660)&gt;1,1,0)</f>
        <v>0</v>
      </c>
      <c r="V660" s="3" t="n">
        <f aca="false">Q660*'Spam Rules'!$H$6+R660*'Spam Rules'!$H$7+S660*'Spam Rules'!$H$8+T660*'Spam Rules'!$H$9+U660*'Spam Rules'!$H$10</f>
        <v>0</v>
      </c>
      <c r="W660" s="3" t="str">
        <f aca="false">IF(V660&gt;='Spam Rules'!$B$3,"Likely Spam","Genuine")</f>
        <v>Genuine</v>
      </c>
      <c r="X660" s="3" t="n">
        <f aca="false">IFERROR(INDEX('Scoring Model'!$B$5:$B$11,MATCH(C660,'Scoring Model'!$A$5:$A$11,0)),0)</f>
        <v>5</v>
      </c>
      <c r="Y660" s="3" t="n">
        <f aca="false">IFERROR(INDEX('Scoring Model'!$E$5:$E$7,MATCH(F660,'Scoring Model'!$D$5:$D$7,0)),0)</f>
        <v>0</v>
      </c>
      <c r="Z660" s="3" t="n">
        <f aca="false">IFERROR(INDEX('Scoring Model'!$H$5:$H$13,MATCH(J660,'Scoring Model'!$G$5:$G$13,0)),0)</f>
        <v>5</v>
      </c>
      <c r="AA660" s="3" t="n">
        <f aca="false">IF(L660&gt;='Scoring Model'!$B$14,'Scoring Model'!$B$15,IF(L660&gt;='Scoring Model'!$B$16,'Scoring Model'!$B$17,0))</f>
        <v>0</v>
      </c>
      <c r="AB660" s="3" t="n">
        <f aca="false">IF(SUMPRODUCT(--ISNUMBER(SEARCH('Scoring Model'!$D$16:$D$25,K660)))&gt;0,'Scoring Model'!$B$18,0)</f>
        <v>0</v>
      </c>
      <c r="AC660" s="3" t="n">
        <f aca="false">IF(SUMPRODUCT(--ISNUMBER(SEARCH('Scoring Model'!$G$16:$G$23,K660)))&gt;0,'Scoring Model'!$B$19,0)</f>
        <v>-30</v>
      </c>
      <c r="AD660" s="3" t="n">
        <f aca="false">IF(W660="Likely Spam","",SUM(X660:AC660))</f>
        <v>-20</v>
      </c>
      <c r="AE660" s="3" t="str">
        <f aca="false">IF(W660="Likely Spam","Spam",IF(AD660&gt;='Scoring Model'!$B$21,"Hot",IF(AD660&gt;='Scoring Model'!$B$22,"Warm","Nurture")))</f>
        <v>Nurture</v>
      </c>
      <c r="AF660" s="3" t="str">
        <f aca="false">IF(W660="Likely Spam","Flagged by spam rules",TRIM(IF(X660&gt;=20,"Strong source. ","")&amp;IF(Y660&gt;0,"Company email. ","")&amp;IF(Z660&gt;=15,"High-value product. ","")&amp;IF(AA660&gt;='Scoring Model'!$B$15,"High engagement. ","")&amp;IF(AB660&gt;0,"Buying intent in message. ","")&amp;IF(AC660&lt;0,"Negative intent in message. ","")))</f>
        <v>Negative intent in message.</v>
      </c>
      <c r="AG660" s="11" t="n">
        <f aca="false">IF(W660="Likely Spam","",1/(1+EXP(-('Conversion Model'!$B$5+IFERROR(INDEX('Conversion Model'!$B$8:$B$14,MATCH(C660,'Conversion Model'!$A$8:$A$14,0)),0)+IFERROR(INDEX('Conversion Model'!$E$8:$E$9,MATCH(F660,'Conversion Model'!$D$8:$D$9,0)),0)+IFERROR(INDEX('Conversion Model'!$H$8:$H$12,MATCH(IF(LEFT(J660,8)="Payments","Payments",IF(LEFT(J660,7)="Lending","Lending",J660)),'Conversion Model'!$G$8:$G$12,0)),0)+MIN(L660,15)*'Conversion Model'!$B$17+IF(SUMPRODUCT(--ISNUMBER(SEARCH('Scoring Model'!$D$16:$D$25,K660)))&gt;0,'Conversion Model'!$B$18,0)+IF(SUMPRODUCT(--ISNUMBER(SEARCH('Scoring Model'!$G$16:$G$23,K660)))&gt;0,'Conversion Model'!$B$19,0)))))</f>
        <v>0.00121839709587183</v>
      </c>
      <c r="AH660" s="3" t="str">
        <f aca="false">IF(OR(O660="Qualified",O660="Won",O660="Lost"),1,IF(O660="Unqualified",0,""))</f>
        <v/>
      </c>
    </row>
    <row r="661" customFormat="false" ht="15" hidden="false" customHeight="true" outlineLevel="0" collapsed="false">
      <c r="A661" s="3" t="s">
        <v>2230</v>
      </c>
      <c r="B661" s="9" t="n">
        <v>46233.7625</v>
      </c>
      <c r="C661" s="3" t="s">
        <v>160</v>
      </c>
      <c r="D661" s="3" t="s">
        <v>2109</v>
      </c>
      <c r="E661" s="3" t="s">
        <v>2231</v>
      </c>
      <c r="F661" s="3" t="s">
        <v>22</v>
      </c>
      <c r="G661" s="3" t="s">
        <v>742</v>
      </c>
      <c r="H661" s="3" t="s">
        <v>743</v>
      </c>
      <c r="I661" s="3" t="s">
        <v>260</v>
      </c>
      <c r="J661" s="3" t="s">
        <v>145</v>
      </c>
      <c r="K661" s="3" t="s">
        <v>213</v>
      </c>
      <c r="L661" s="3" t="n">
        <v>1</v>
      </c>
      <c r="M661" s="3" t="n">
        <v>15.1</v>
      </c>
      <c r="N661" s="3" t="s">
        <v>67</v>
      </c>
      <c r="O661" s="3" t="s">
        <v>194</v>
      </c>
      <c r="P661" s="10"/>
      <c r="Q661" s="3" t="n">
        <f aca="false">IF(F661="Disposable",1,0)</f>
        <v>0</v>
      </c>
      <c r="R661" s="3" t="n">
        <f aca="false">IF(SUMPRODUCT(--ISNUMBER(SEARCH('Spam Rules'!$A$22:$A$35,K661)))&gt;0,1,0)</f>
        <v>0</v>
      </c>
      <c r="S661" s="3" t="n">
        <f aca="false">IF(AND(F661="Free",G661=""),1,0)</f>
        <v>0</v>
      </c>
      <c r="T661" s="3" t="n">
        <f aca="false">IF(LEN(TRIM(K661))&lt;15,1,0)</f>
        <v>0</v>
      </c>
      <c r="U661" s="3" t="n">
        <f aca="false">IF(COUNTIF($E$2:$E$801,E661)&gt;1,1,0)</f>
        <v>0</v>
      </c>
      <c r="V661" s="3" t="n">
        <f aca="false">Q661*'Spam Rules'!$H$6+R661*'Spam Rules'!$H$7+S661*'Spam Rules'!$H$8+T661*'Spam Rules'!$H$9+U661*'Spam Rules'!$H$10</f>
        <v>0</v>
      </c>
      <c r="W661" s="3" t="str">
        <f aca="false">IF(V661&gt;='Spam Rules'!$B$3,"Likely Spam","Genuine")</f>
        <v>Genuine</v>
      </c>
      <c r="X661" s="3" t="n">
        <f aca="false">IFERROR(INDEX('Scoring Model'!$B$5:$B$11,MATCH(C661,'Scoring Model'!$A$5:$A$11,0)),0)</f>
        <v>25</v>
      </c>
      <c r="Y661" s="3" t="n">
        <f aca="false">IFERROR(INDEX('Scoring Model'!$E$5:$E$7,MATCH(F661,'Scoring Model'!$D$5:$D$7,0)),0)</f>
        <v>20</v>
      </c>
      <c r="Z661" s="3" t="n">
        <f aca="false">IFERROR(INDEX('Scoring Model'!$H$5:$H$13,MATCH(J661,'Scoring Model'!$G$5:$G$13,0)),0)</f>
        <v>5</v>
      </c>
      <c r="AA661" s="3" t="n">
        <f aca="false">IF(L661&gt;='Scoring Model'!$B$14,'Scoring Model'!$B$15,IF(L661&gt;='Scoring Model'!$B$16,'Scoring Model'!$B$17,0))</f>
        <v>0</v>
      </c>
      <c r="AB661" s="3" t="n">
        <f aca="false">IF(SUMPRODUCT(--ISNUMBER(SEARCH('Scoring Model'!$D$16:$D$25,K661)))&gt;0,'Scoring Model'!$B$18,0)</f>
        <v>0</v>
      </c>
      <c r="AC661" s="3" t="n">
        <f aca="false">IF(SUMPRODUCT(--ISNUMBER(SEARCH('Scoring Model'!$G$16:$G$23,K661)))&gt;0,'Scoring Model'!$B$19,0)</f>
        <v>-30</v>
      </c>
      <c r="AD661" s="3" t="n">
        <f aca="false">IF(W661="Likely Spam","",SUM(X661:AC661))</f>
        <v>20</v>
      </c>
      <c r="AE661" s="3" t="str">
        <f aca="false">IF(W661="Likely Spam","Spam",IF(AD661&gt;='Scoring Model'!$B$21,"Hot",IF(AD661&gt;='Scoring Model'!$B$22,"Warm","Nurture")))</f>
        <v>Nurture</v>
      </c>
      <c r="AF661" s="3" t="str">
        <f aca="false">IF(W661="Likely Spam","Flagged by spam rules",TRIM(IF(X661&gt;=20,"Strong source. ","")&amp;IF(Y661&gt;0,"Company email. ","")&amp;IF(Z661&gt;=15,"High-value product. ","")&amp;IF(AA661&gt;='Scoring Model'!$B$15,"High engagement. ","")&amp;IF(AB661&gt;0,"Buying intent in message. ","")&amp;IF(AC661&lt;0,"Negative intent in message. ","")))</f>
        <v>Strong source. Company email. Negative intent in message.</v>
      </c>
      <c r="AG661" s="11" t="n">
        <f aca="false">IF(W661="Likely Spam","",1/(1+EXP(-('Conversion Model'!$B$5+IFERROR(INDEX('Conversion Model'!$B$8:$B$14,MATCH(C661,'Conversion Model'!$A$8:$A$14,0)),0)+IFERROR(INDEX('Conversion Model'!$E$8:$E$9,MATCH(F661,'Conversion Model'!$D$8:$D$9,0)),0)+IFERROR(INDEX('Conversion Model'!$H$8:$H$12,MATCH(IF(LEFT(J661,8)="Payments","Payments",IF(LEFT(J661,7)="Lending","Lending",J661)),'Conversion Model'!$G$8:$G$12,0)),0)+MIN(L661,15)*'Conversion Model'!$B$17+IF(SUMPRODUCT(--ISNUMBER(SEARCH('Scoring Model'!$D$16:$D$25,K661)))&gt;0,'Conversion Model'!$B$18,0)+IF(SUMPRODUCT(--ISNUMBER(SEARCH('Scoring Model'!$G$16:$G$23,K661)))&gt;0,'Conversion Model'!$B$19,0)))))</f>
        <v>0.005209750212213</v>
      </c>
      <c r="AH661" s="3" t="n">
        <f aca="false">IF(OR(O661="Qualified",O661="Won",O661="Lost"),1,IF(O661="Unqualified",0,""))</f>
        <v>0</v>
      </c>
    </row>
    <row r="662" customFormat="false" ht="15" hidden="false" customHeight="true" outlineLevel="0" collapsed="false">
      <c r="A662" s="3" t="s">
        <v>2232</v>
      </c>
      <c r="B662" s="9" t="n">
        <v>46233.7847222222</v>
      </c>
      <c r="C662" s="3" t="s">
        <v>135</v>
      </c>
      <c r="D662" s="3" t="s">
        <v>2233</v>
      </c>
      <c r="E662" s="3" t="s">
        <v>2234</v>
      </c>
      <c r="F662" s="3" t="s">
        <v>54</v>
      </c>
      <c r="G662" s="3"/>
      <c r="H662" s="3"/>
      <c r="I662" s="3" t="s">
        <v>188</v>
      </c>
      <c r="J662" s="3" t="s">
        <v>65</v>
      </c>
      <c r="K662" s="3" t="s">
        <v>74</v>
      </c>
      <c r="L662" s="3" t="n">
        <v>3</v>
      </c>
      <c r="M662" s="3" t="n">
        <v>3.9</v>
      </c>
      <c r="N662" s="3" t="s">
        <v>96</v>
      </c>
      <c r="O662" s="3" t="s">
        <v>194</v>
      </c>
      <c r="P662" s="10"/>
      <c r="Q662" s="3" t="n">
        <f aca="false">IF(F662="Disposable",1,0)</f>
        <v>0</v>
      </c>
      <c r="R662" s="3" t="n">
        <f aca="false">IF(SUMPRODUCT(--ISNUMBER(SEARCH('Spam Rules'!$A$22:$A$35,K662)))&gt;0,1,0)</f>
        <v>0</v>
      </c>
      <c r="S662" s="3" t="n">
        <f aca="false">IF(AND(F662="Free",G662=""),1,0)</f>
        <v>1</v>
      </c>
      <c r="T662" s="3" t="n">
        <f aca="false">IF(LEN(TRIM(K662))&lt;15,1,0)</f>
        <v>0</v>
      </c>
      <c r="U662" s="3" t="n">
        <f aca="false">IF(COUNTIF($E$2:$E$801,E662)&gt;1,1,0)</f>
        <v>0</v>
      </c>
      <c r="V662" s="3" t="n">
        <f aca="false">Q662*'Spam Rules'!$H$6+R662*'Spam Rules'!$H$7+S662*'Spam Rules'!$H$8+T662*'Spam Rules'!$H$9+U662*'Spam Rules'!$H$10</f>
        <v>0</v>
      </c>
      <c r="W662" s="3" t="str">
        <f aca="false">IF(V662&gt;='Spam Rules'!$B$3,"Likely Spam","Genuine")</f>
        <v>Genuine</v>
      </c>
      <c r="X662" s="3" t="n">
        <f aca="false">IFERROR(INDEX('Scoring Model'!$B$5:$B$11,MATCH(C662,'Scoring Model'!$A$5:$A$11,0)),0)</f>
        <v>20</v>
      </c>
      <c r="Y662" s="3" t="n">
        <f aca="false">IFERROR(INDEX('Scoring Model'!$E$5:$E$7,MATCH(F662,'Scoring Model'!$D$5:$D$7,0)),0)</f>
        <v>0</v>
      </c>
      <c r="Z662" s="3" t="n">
        <f aca="false">IFERROR(INDEX('Scoring Model'!$H$5:$H$13,MATCH(J662,'Scoring Model'!$G$5:$G$13,0)),0)</f>
        <v>0</v>
      </c>
      <c r="AA662" s="3" t="n">
        <f aca="false">IF(L662&gt;='Scoring Model'!$B$14,'Scoring Model'!$B$15,IF(L662&gt;='Scoring Model'!$B$16,'Scoring Model'!$B$17,0))</f>
        <v>0</v>
      </c>
      <c r="AB662" s="3" t="n">
        <f aca="false">IF(SUMPRODUCT(--ISNUMBER(SEARCH('Scoring Model'!$D$16:$D$25,K662)))&gt;0,'Scoring Model'!$B$18,0)</f>
        <v>0</v>
      </c>
      <c r="AC662" s="3" t="n">
        <f aca="false">IF(SUMPRODUCT(--ISNUMBER(SEARCH('Scoring Model'!$G$16:$G$23,K662)))&gt;0,'Scoring Model'!$B$19,0)</f>
        <v>-30</v>
      </c>
      <c r="AD662" s="3" t="n">
        <f aca="false">IF(W662="Likely Spam","",SUM(X662:AC662))</f>
        <v>-10</v>
      </c>
      <c r="AE662" s="3" t="str">
        <f aca="false">IF(W662="Likely Spam","Spam",IF(AD662&gt;='Scoring Model'!$B$21,"Hot",IF(AD662&gt;='Scoring Model'!$B$22,"Warm","Nurture")))</f>
        <v>Nurture</v>
      </c>
      <c r="AF662" s="3" t="str">
        <f aca="false">IF(W662="Likely Spam","Flagged by spam rules",TRIM(IF(X662&gt;=20,"Strong source. ","")&amp;IF(Y662&gt;0,"Company email. ","")&amp;IF(Z662&gt;=15,"High-value product. ","")&amp;IF(AA662&gt;='Scoring Model'!$B$15,"High engagement. ","")&amp;IF(AB662&gt;0,"Buying intent in message. ","")&amp;IF(AC662&lt;0,"Negative intent in message. ","")))</f>
        <v>Strong source. Negative intent in message.</v>
      </c>
      <c r="AG662" s="11" t="n">
        <f aca="false">IF(W662="Likely Spam","",1/(1+EXP(-('Conversion Model'!$B$5+IFERROR(INDEX('Conversion Model'!$B$8:$B$14,MATCH(C662,'Conversion Model'!$A$8:$A$14,0)),0)+IFERROR(INDEX('Conversion Model'!$E$8:$E$9,MATCH(F662,'Conversion Model'!$D$8:$D$9,0)),0)+IFERROR(INDEX('Conversion Model'!$H$8:$H$12,MATCH(IF(LEFT(J662,8)="Payments","Payments",IF(LEFT(J662,7)="Lending","Lending",J662)),'Conversion Model'!$G$8:$G$12,0)),0)+MIN(L662,15)*'Conversion Model'!$B$17+IF(SUMPRODUCT(--ISNUMBER(SEARCH('Scoring Model'!$D$16:$D$25,K662)))&gt;0,'Conversion Model'!$B$18,0)+IF(SUMPRODUCT(--ISNUMBER(SEARCH('Scoring Model'!$G$16:$G$23,K662)))&gt;0,'Conversion Model'!$B$19,0)))))</f>
        <v>0.010965231412524</v>
      </c>
      <c r="AH662" s="3" t="n">
        <f aca="false">IF(OR(O662="Qualified",O662="Won",O662="Lost"),1,IF(O662="Unqualified",0,""))</f>
        <v>0</v>
      </c>
    </row>
    <row r="663" customFormat="false" ht="15" hidden="false" customHeight="true" outlineLevel="0" collapsed="false">
      <c r="A663" s="3" t="s">
        <v>2235</v>
      </c>
      <c r="B663" s="9" t="n">
        <v>46234.2534722222</v>
      </c>
      <c r="C663" s="3" t="s">
        <v>112</v>
      </c>
      <c r="D663" s="3" t="s">
        <v>2236</v>
      </c>
      <c r="E663" s="3" t="s">
        <v>2237</v>
      </c>
      <c r="F663" s="3" t="s">
        <v>54</v>
      </c>
      <c r="G663" s="3"/>
      <c r="H663" s="3"/>
      <c r="I663" s="3" t="s">
        <v>56</v>
      </c>
      <c r="J663" s="3" t="s">
        <v>65</v>
      </c>
      <c r="K663" s="3" t="s">
        <v>378</v>
      </c>
      <c r="L663" s="3" t="n">
        <v>2</v>
      </c>
      <c r="M663" s="3" t="n">
        <v>158.1</v>
      </c>
      <c r="N663" s="3" t="s">
        <v>59</v>
      </c>
      <c r="O663" s="3" t="s">
        <v>194</v>
      </c>
      <c r="P663" s="10"/>
      <c r="Q663" s="3" t="n">
        <f aca="false">IF(F663="Disposable",1,0)</f>
        <v>0</v>
      </c>
      <c r="R663" s="3" t="n">
        <f aca="false">IF(SUMPRODUCT(--ISNUMBER(SEARCH('Spam Rules'!$A$22:$A$35,K663)))&gt;0,1,0)</f>
        <v>0</v>
      </c>
      <c r="S663" s="3" t="n">
        <f aca="false">IF(AND(F663="Free",G663=""),1,0)</f>
        <v>1</v>
      </c>
      <c r="T663" s="3" t="n">
        <f aca="false">IF(LEN(TRIM(K663))&lt;15,1,0)</f>
        <v>0</v>
      </c>
      <c r="U663" s="3" t="n">
        <f aca="false">IF(COUNTIF($E$2:$E$801,E663)&gt;1,1,0)</f>
        <v>0</v>
      </c>
      <c r="V663" s="3" t="n">
        <f aca="false">Q663*'Spam Rules'!$H$6+R663*'Spam Rules'!$H$7+S663*'Spam Rules'!$H$8+T663*'Spam Rules'!$H$9+U663*'Spam Rules'!$H$10</f>
        <v>0</v>
      </c>
      <c r="W663" s="3" t="str">
        <f aca="false">IF(V663&gt;='Spam Rules'!$B$3,"Likely Spam","Genuine")</f>
        <v>Genuine</v>
      </c>
      <c r="X663" s="3" t="n">
        <f aca="false">IFERROR(INDEX('Scoring Model'!$B$5:$B$11,MATCH(C663,'Scoring Model'!$A$5:$A$11,0)),0)</f>
        <v>15</v>
      </c>
      <c r="Y663" s="3" t="n">
        <f aca="false">IFERROR(INDEX('Scoring Model'!$E$5:$E$7,MATCH(F663,'Scoring Model'!$D$5:$D$7,0)),0)</f>
        <v>0</v>
      </c>
      <c r="Z663" s="3" t="n">
        <f aca="false">IFERROR(INDEX('Scoring Model'!$H$5:$H$13,MATCH(J663,'Scoring Model'!$G$5:$G$13,0)),0)</f>
        <v>0</v>
      </c>
      <c r="AA663" s="3" t="n">
        <f aca="false">IF(L663&gt;='Scoring Model'!$B$14,'Scoring Model'!$B$15,IF(L663&gt;='Scoring Model'!$B$16,'Scoring Model'!$B$17,0))</f>
        <v>0</v>
      </c>
      <c r="AB663" s="3" t="n">
        <f aca="false">IF(SUMPRODUCT(--ISNUMBER(SEARCH('Scoring Model'!$D$16:$D$25,K663)))&gt;0,'Scoring Model'!$B$18,0)</f>
        <v>0</v>
      </c>
      <c r="AC663" s="3" t="n">
        <f aca="false">IF(SUMPRODUCT(--ISNUMBER(SEARCH('Scoring Model'!$G$16:$G$23,K663)))&gt;0,'Scoring Model'!$B$19,0)</f>
        <v>-30</v>
      </c>
      <c r="AD663" s="3" t="n">
        <f aca="false">IF(W663="Likely Spam","",SUM(X663:AC663))</f>
        <v>-15</v>
      </c>
      <c r="AE663" s="3" t="str">
        <f aca="false">IF(W663="Likely Spam","Spam",IF(AD663&gt;='Scoring Model'!$B$21,"Hot",IF(AD663&gt;='Scoring Model'!$B$22,"Warm","Nurture")))</f>
        <v>Nurture</v>
      </c>
      <c r="AF663" s="3" t="str">
        <f aca="false">IF(W663="Likely Spam","Flagged by spam rules",TRIM(IF(X663&gt;=20,"Strong source. ","")&amp;IF(Y663&gt;0,"Company email. ","")&amp;IF(Z663&gt;=15,"High-value product. ","")&amp;IF(AA663&gt;='Scoring Model'!$B$15,"High engagement. ","")&amp;IF(AB663&gt;0,"Buying intent in message. ","")&amp;IF(AC663&lt;0,"Negative intent in message. ","")))</f>
        <v>Negative intent in message.</v>
      </c>
      <c r="AG663" s="11" t="n">
        <f aca="false">IF(W663="Likely Spam","",1/(1+EXP(-('Conversion Model'!$B$5+IFERROR(INDEX('Conversion Model'!$B$8:$B$14,MATCH(C663,'Conversion Model'!$A$8:$A$14,0)),0)+IFERROR(INDEX('Conversion Model'!$E$8:$E$9,MATCH(F663,'Conversion Model'!$D$8:$D$9,0)),0)+IFERROR(INDEX('Conversion Model'!$H$8:$H$12,MATCH(IF(LEFT(J663,8)="Payments","Payments",IF(LEFT(J663,7)="Lending","Lending",J663)),'Conversion Model'!$G$8:$G$12,0)),0)+MIN(L663,15)*'Conversion Model'!$B$17+IF(SUMPRODUCT(--ISNUMBER(SEARCH('Scoring Model'!$D$16:$D$25,K663)))&gt;0,'Conversion Model'!$B$18,0)+IF(SUMPRODUCT(--ISNUMBER(SEARCH('Scoring Model'!$G$16:$G$23,K663)))&gt;0,'Conversion Model'!$B$19,0)))))</f>
        <v>0.00213106518132641</v>
      </c>
      <c r="AH663" s="3" t="n">
        <f aca="false">IF(OR(O663="Qualified",O663="Won",O663="Lost"),1,IF(O663="Unqualified",0,""))</f>
        <v>0</v>
      </c>
    </row>
    <row r="664" customFormat="false" ht="15" hidden="false" customHeight="true" outlineLevel="0" collapsed="false">
      <c r="A664" s="3" t="s">
        <v>2238</v>
      </c>
      <c r="B664" s="9" t="n">
        <v>46234.4611111111</v>
      </c>
      <c r="C664" s="3" t="s">
        <v>76</v>
      </c>
      <c r="D664" s="3" t="s">
        <v>2239</v>
      </c>
      <c r="E664" s="3" t="s">
        <v>2240</v>
      </c>
      <c r="F664" s="3" t="s">
        <v>54</v>
      </c>
      <c r="G664" s="3" t="s">
        <v>2241</v>
      </c>
      <c r="H664" s="3"/>
      <c r="I664" s="3" t="s">
        <v>334</v>
      </c>
      <c r="J664" s="3" t="s">
        <v>65</v>
      </c>
      <c r="K664" s="3" t="s">
        <v>349</v>
      </c>
      <c r="L664" s="3" t="n">
        <v>1</v>
      </c>
      <c r="M664" s="3" t="n">
        <v>2.4</v>
      </c>
      <c r="N664" s="3" t="s">
        <v>67</v>
      </c>
      <c r="O664" s="3"/>
      <c r="P664" s="10"/>
      <c r="Q664" s="3" t="n">
        <f aca="false">IF(F664="Disposable",1,0)</f>
        <v>0</v>
      </c>
      <c r="R664" s="3" t="n">
        <f aca="false">IF(SUMPRODUCT(--ISNUMBER(SEARCH('Spam Rules'!$A$22:$A$35,K664)))&gt;0,1,0)</f>
        <v>0</v>
      </c>
      <c r="S664" s="3" t="n">
        <f aca="false">IF(AND(F664="Free",G664=""),1,0)</f>
        <v>0</v>
      </c>
      <c r="T664" s="3" t="n">
        <f aca="false">IF(LEN(TRIM(K664))&lt;15,1,0)</f>
        <v>0</v>
      </c>
      <c r="U664" s="3" t="n">
        <f aca="false">IF(COUNTIF($E$2:$E$801,E664)&gt;1,1,0)</f>
        <v>0</v>
      </c>
      <c r="V664" s="3" t="n">
        <f aca="false">Q664*'Spam Rules'!$H$6+R664*'Spam Rules'!$H$7+S664*'Spam Rules'!$H$8+T664*'Spam Rules'!$H$9+U664*'Spam Rules'!$H$10</f>
        <v>0</v>
      </c>
      <c r="W664" s="3" t="str">
        <f aca="false">IF(V664&gt;='Spam Rules'!$B$3,"Likely Spam","Genuine")</f>
        <v>Genuine</v>
      </c>
      <c r="X664" s="3" t="n">
        <f aca="false">IFERROR(INDEX('Scoring Model'!$B$5:$B$11,MATCH(C664,'Scoring Model'!$A$5:$A$11,0)),0)</f>
        <v>0</v>
      </c>
      <c r="Y664" s="3" t="n">
        <f aca="false">IFERROR(INDEX('Scoring Model'!$E$5:$E$7,MATCH(F664,'Scoring Model'!$D$5:$D$7,0)),0)</f>
        <v>0</v>
      </c>
      <c r="Z664" s="3" t="n">
        <f aca="false">IFERROR(INDEX('Scoring Model'!$H$5:$H$13,MATCH(J664,'Scoring Model'!$G$5:$G$13,0)),0)</f>
        <v>0</v>
      </c>
      <c r="AA664" s="3" t="n">
        <f aca="false">IF(L664&gt;='Scoring Model'!$B$14,'Scoring Model'!$B$15,IF(L664&gt;='Scoring Model'!$B$16,'Scoring Model'!$B$17,0))</f>
        <v>0</v>
      </c>
      <c r="AB664" s="3" t="n">
        <f aca="false">IF(SUMPRODUCT(--ISNUMBER(SEARCH('Scoring Model'!$D$16:$D$25,K664)))&gt;0,'Scoring Model'!$B$18,0)</f>
        <v>0</v>
      </c>
      <c r="AC664" s="3" t="n">
        <f aca="false">IF(SUMPRODUCT(--ISNUMBER(SEARCH('Scoring Model'!$G$16:$G$23,K664)))&gt;0,'Scoring Model'!$B$19,0)</f>
        <v>-30</v>
      </c>
      <c r="AD664" s="3" t="n">
        <f aca="false">IF(W664="Likely Spam","",SUM(X664:AC664))</f>
        <v>-30</v>
      </c>
      <c r="AE664" s="3" t="str">
        <f aca="false">IF(W664="Likely Spam","Spam",IF(AD664&gt;='Scoring Model'!$B$21,"Hot",IF(AD664&gt;='Scoring Model'!$B$22,"Warm","Nurture")))</f>
        <v>Nurture</v>
      </c>
      <c r="AF664" s="3" t="str">
        <f aca="false">IF(W664="Likely Spam","Flagged by spam rules",TRIM(IF(X664&gt;=20,"Strong source. ","")&amp;IF(Y664&gt;0,"Company email. ","")&amp;IF(Z664&gt;=15,"High-value product. ","")&amp;IF(AA664&gt;='Scoring Model'!$B$15,"High engagement. ","")&amp;IF(AB664&gt;0,"Buying intent in message. ","")&amp;IF(AC664&lt;0,"Negative intent in message. ","")))</f>
        <v>Negative intent in message.</v>
      </c>
      <c r="AG664" s="11" t="n">
        <f aca="false">IF(W664="Likely Spam","",1/(1+EXP(-('Conversion Model'!$B$5+IFERROR(INDEX('Conversion Model'!$B$8:$B$14,MATCH(C664,'Conversion Model'!$A$8:$A$14,0)),0)+IFERROR(INDEX('Conversion Model'!$E$8:$E$9,MATCH(F664,'Conversion Model'!$D$8:$D$9,0)),0)+IFERROR(INDEX('Conversion Model'!$H$8:$H$12,MATCH(IF(LEFT(J664,8)="Payments","Payments",IF(LEFT(J664,7)="Lending","Lending",J664)),'Conversion Model'!$G$8:$G$12,0)),0)+MIN(L664,15)*'Conversion Model'!$B$17+IF(SUMPRODUCT(--ISNUMBER(SEARCH('Scoring Model'!$D$16:$D$25,K664)))&gt;0,'Conversion Model'!$B$18,0)+IF(SUMPRODUCT(--ISNUMBER(SEARCH('Scoring Model'!$G$16:$G$23,K664)))&gt;0,'Conversion Model'!$B$19,0)))))</f>
        <v>0.00067982166411276</v>
      </c>
      <c r="AH664" s="3" t="str">
        <f aca="false">IF(OR(O664="Qualified",O664="Won",O664="Lost"),1,IF(O664="Unqualified",0,""))</f>
        <v/>
      </c>
    </row>
    <row r="665" customFormat="false" ht="15" hidden="false" customHeight="true" outlineLevel="0" collapsed="false">
      <c r="A665" s="3" t="s">
        <v>2242</v>
      </c>
      <c r="B665" s="9" t="n">
        <v>46235.0958333333</v>
      </c>
      <c r="C665" s="3" t="s">
        <v>135</v>
      </c>
      <c r="D665" s="3" t="s">
        <v>2243</v>
      </c>
      <c r="E665" s="3" t="s">
        <v>2244</v>
      </c>
      <c r="F665" s="3" t="s">
        <v>54</v>
      </c>
      <c r="G665" s="3" t="s">
        <v>2245</v>
      </c>
      <c r="H665" s="3"/>
      <c r="I665" s="3" t="s">
        <v>204</v>
      </c>
      <c r="J665" s="3" t="s">
        <v>108</v>
      </c>
      <c r="K665" s="3" t="s">
        <v>2246</v>
      </c>
      <c r="L665" s="3" t="n">
        <v>11</v>
      </c>
      <c r="M665" s="3" t="n">
        <v>39.8</v>
      </c>
      <c r="N665" s="3" t="s">
        <v>59</v>
      </c>
      <c r="O665" s="3" t="s">
        <v>110</v>
      </c>
      <c r="P665" s="10"/>
      <c r="Q665" s="3" t="n">
        <f aca="false">IF(F665="Disposable",1,0)</f>
        <v>0</v>
      </c>
      <c r="R665" s="3" t="n">
        <f aca="false">IF(SUMPRODUCT(--ISNUMBER(SEARCH('Spam Rules'!$A$22:$A$35,K665)))&gt;0,1,0)</f>
        <v>0</v>
      </c>
      <c r="S665" s="3" t="n">
        <f aca="false">IF(AND(F665="Free",G665=""),1,0)</f>
        <v>0</v>
      </c>
      <c r="T665" s="3" t="n">
        <f aca="false">IF(LEN(TRIM(K665))&lt;15,1,0)</f>
        <v>0</v>
      </c>
      <c r="U665" s="3" t="n">
        <f aca="false">IF(COUNTIF($E$2:$E$801,E665)&gt;1,1,0)</f>
        <v>0</v>
      </c>
      <c r="V665" s="3" t="n">
        <f aca="false">Q665*'Spam Rules'!$H$6+R665*'Spam Rules'!$H$7+S665*'Spam Rules'!$H$8+T665*'Spam Rules'!$H$9+U665*'Spam Rules'!$H$10</f>
        <v>0</v>
      </c>
      <c r="W665" s="3" t="str">
        <f aca="false">IF(V665&gt;='Spam Rules'!$B$3,"Likely Spam","Genuine")</f>
        <v>Genuine</v>
      </c>
      <c r="X665" s="3" t="n">
        <f aca="false">IFERROR(INDEX('Scoring Model'!$B$5:$B$11,MATCH(C665,'Scoring Model'!$A$5:$A$11,0)),0)</f>
        <v>20</v>
      </c>
      <c r="Y665" s="3" t="n">
        <f aca="false">IFERROR(INDEX('Scoring Model'!$E$5:$E$7,MATCH(F665,'Scoring Model'!$D$5:$D$7,0)),0)</f>
        <v>0</v>
      </c>
      <c r="Z665" s="3" t="n">
        <f aca="false">IFERROR(INDEX('Scoring Model'!$H$5:$H$13,MATCH(J665,'Scoring Model'!$G$5:$G$13,0)),0)</f>
        <v>15</v>
      </c>
      <c r="AA665" s="3" t="n">
        <f aca="false">IF(L665&gt;='Scoring Model'!$B$14,'Scoring Model'!$B$15,IF(L665&gt;='Scoring Model'!$B$16,'Scoring Model'!$B$17,0))</f>
        <v>15</v>
      </c>
      <c r="AB665" s="3" t="n">
        <f aca="false">IF(SUMPRODUCT(--ISNUMBER(SEARCH('Scoring Model'!$D$16:$D$25,K665)))&gt;0,'Scoring Model'!$B$18,0)</f>
        <v>15</v>
      </c>
      <c r="AC665" s="3" t="n">
        <f aca="false">IF(SUMPRODUCT(--ISNUMBER(SEARCH('Scoring Model'!$G$16:$G$23,K665)))&gt;0,'Scoring Model'!$B$19,0)</f>
        <v>0</v>
      </c>
      <c r="AD665" s="3" t="n">
        <f aca="false">IF(W665="Likely Spam","",SUM(X665:AC665))</f>
        <v>65</v>
      </c>
      <c r="AE665" s="3" t="str">
        <f aca="false">IF(W665="Likely Spam","Spam",IF(AD665&gt;='Scoring Model'!$B$21,"Hot",IF(AD665&gt;='Scoring Model'!$B$22,"Warm","Nurture")))</f>
        <v>Warm</v>
      </c>
      <c r="AF665" s="3" t="str">
        <f aca="false">IF(W665="Likely Spam","Flagged by spam rules",TRIM(IF(X665&gt;=20,"Strong source. ","")&amp;IF(Y665&gt;0,"Company email. ","")&amp;IF(Z665&gt;=15,"High-value product. ","")&amp;IF(AA665&gt;='Scoring Model'!$B$15,"High engagement. ","")&amp;IF(AB665&gt;0,"Buying intent in message. ","")&amp;IF(AC665&lt;0,"Negative intent in message. ","")))</f>
        <v>Strong source. High-value product. High engagement. Buying intent in message.</v>
      </c>
      <c r="AG665" s="11" t="n">
        <f aca="false">IF(W665="Likely Spam","",1/(1+EXP(-('Conversion Model'!$B$5+IFERROR(INDEX('Conversion Model'!$B$8:$B$14,MATCH(C665,'Conversion Model'!$A$8:$A$14,0)),0)+IFERROR(INDEX('Conversion Model'!$E$8:$E$9,MATCH(F665,'Conversion Model'!$D$8:$D$9,0)),0)+IFERROR(INDEX('Conversion Model'!$H$8:$H$12,MATCH(IF(LEFT(J665,8)="Payments","Payments",IF(LEFT(J665,7)="Lending","Lending",J665)),'Conversion Model'!$G$8:$G$12,0)),0)+MIN(L665,15)*'Conversion Model'!$B$17+IF(SUMPRODUCT(--ISNUMBER(SEARCH('Scoring Model'!$D$16:$D$25,K665)))&gt;0,'Conversion Model'!$B$18,0)+IF(SUMPRODUCT(--ISNUMBER(SEARCH('Scoring Model'!$G$16:$G$23,K665)))&gt;0,'Conversion Model'!$B$19,0)))))</f>
        <v>0.996286277867621</v>
      </c>
      <c r="AH665" s="3" t="n">
        <f aca="false">IF(OR(O665="Qualified",O665="Won",O665="Lost"),1,IF(O665="Unqualified",0,""))</f>
        <v>1</v>
      </c>
    </row>
    <row r="666" customFormat="false" ht="15" hidden="false" customHeight="true" outlineLevel="0" collapsed="false">
      <c r="A666" s="3" t="s">
        <v>2247</v>
      </c>
      <c r="B666" s="9" t="n">
        <v>46235.7888888889</v>
      </c>
      <c r="C666" s="3" t="s">
        <v>51</v>
      </c>
      <c r="D666" s="3" t="s">
        <v>925</v>
      </c>
      <c r="E666" s="3" t="s">
        <v>2248</v>
      </c>
      <c r="F666" s="3" t="s">
        <v>54</v>
      </c>
      <c r="G666" s="3" t="s">
        <v>291</v>
      </c>
      <c r="H666" s="3"/>
      <c r="I666" s="3" t="s">
        <v>107</v>
      </c>
      <c r="J666" s="3" t="s">
        <v>145</v>
      </c>
      <c r="K666" s="3" t="s">
        <v>349</v>
      </c>
      <c r="L666" s="3" t="n">
        <v>2</v>
      </c>
      <c r="M666" s="3" t="n">
        <v>5.5</v>
      </c>
      <c r="N666" s="3" t="s">
        <v>67</v>
      </c>
      <c r="O666" s="3" t="s">
        <v>194</v>
      </c>
      <c r="P666" s="10"/>
      <c r="Q666" s="3" t="n">
        <f aca="false">IF(F666="Disposable",1,0)</f>
        <v>0</v>
      </c>
      <c r="R666" s="3" t="n">
        <f aca="false">IF(SUMPRODUCT(--ISNUMBER(SEARCH('Spam Rules'!$A$22:$A$35,K666)))&gt;0,1,0)</f>
        <v>0</v>
      </c>
      <c r="S666" s="3" t="n">
        <f aca="false">IF(AND(F666="Free",G666=""),1,0)</f>
        <v>0</v>
      </c>
      <c r="T666" s="3" t="n">
        <f aca="false">IF(LEN(TRIM(K666))&lt;15,1,0)</f>
        <v>0</v>
      </c>
      <c r="U666" s="3" t="n">
        <f aca="false">IF(COUNTIF($E$2:$E$801,E666)&gt;1,1,0)</f>
        <v>0</v>
      </c>
      <c r="V666" s="3" t="n">
        <f aca="false">Q666*'Spam Rules'!$H$6+R666*'Spam Rules'!$H$7+S666*'Spam Rules'!$H$8+T666*'Spam Rules'!$H$9+U666*'Spam Rules'!$H$10</f>
        <v>0</v>
      </c>
      <c r="W666" s="3" t="str">
        <f aca="false">IF(V666&gt;='Spam Rules'!$B$3,"Likely Spam","Genuine")</f>
        <v>Genuine</v>
      </c>
      <c r="X666" s="3" t="n">
        <f aca="false">IFERROR(INDEX('Scoring Model'!$B$5:$B$11,MATCH(C666,'Scoring Model'!$A$5:$A$11,0)),0)</f>
        <v>10</v>
      </c>
      <c r="Y666" s="3" t="n">
        <f aca="false">IFERROR(INDEX('Scoring Model'!$E$5:$E$7,MATCH(F666,'Scoring Model'!$D$5:$D$7,0)),0)</f>
        <v>0</v>
      </c>
      <c r="Z666" s="3" t="n">
        <f aca="false">IFERROR(INDEX('Scoring Model'!$H$5:$H$13,MATCH(J666,'Scoring Model'!$G$5:$G$13,0)),0)</f>
        <v>5</v>
      </c>
      <c r="AA666" s="3" t="n">
        <f aca="false">IF(L666&gt;='Scoring Model'!$B$14,'Scoring Model'!$B$15,IF(L666&gt;='Scoring Model'!$B$16,'Scoring Model'!$B$17,0))</f>
        <v>0</v>
      </c>
      <c r="AB666" s="3" t="n">
        <f aca="false">IF(SUMPRODUCT(--ISNUMBER(SEARCH('Scoring Model'!$D$16:$D$25,K666)))&gt;0,'Scoring Model'!$B$18,0)</f>
        <v>0</v>
      </c>
      <c r="AC666" s="3" t="n">
        <f aca="false">IF(SUMPRODUCT(--ISNUMBER(SEARCH('Scoring Model'!$G$16:$G$23,K666)))&gt;0,'Scoring Model'!$B$19,0)</f>
        <v>-30</v>
      </c>
      <c r="AD666" s="3" t="n">
        <f aca="false">IF(W666="Likely Spam","",SUM(X666:AC666))</f>
        <v>-15</v>
      </c>
      <c r="AE666" s="3" t="str">
        <f aca="false">IF(W666="Likely Spam","Spam",IF(AD666&gt;='Scoring Model'!$B$21,"Hot",IF(AD666&gt;='Scoring Model'!$B$22,"Warm","Nurture")))</f>
        <v>Nurture</v>
      </c>
      <c r="AF666" s="3" t="str">
        <f aca="false">IF(W666="Likely Spam","Flagged by spam rules",TRIM(IF(X666&gt;=20,"Strong source. ","")&amp;IF(Y666&gt;0,"Company email. ","")&amp;IF(Z666&gt;=15,"High-value product. ","")&amp;IF(AA666&gt;='Scoring Model'!$B$15,"High engagement. ","")&amp;IF(AB666&gt;0,"Buying intent in message. ","")&amp;IF(AC666&lt;0,"Negative intent in message. ","")))</f>
        <v>Negative intent in message.</v>
      </c>
      <c r="AG666" s="11" t="n">
        <f aca="false">IF(W666="Likely Spam","",1/(1+EXP(-('Conversion Model'!$B$5+IFERROR(INDEX('Conversion Model'!$B$8:$B$14,MATCH(C666,'Conversion Model'!$A$8:$A$14,0)),0)+IFERROR(INDEX('Conversion Model'!$E$8:$E$9,MATCH(F666,'Conversion Model'!$D$8:$D$9,0)),0)+IFERROR(INDEX('Conversion Model'!$H$8:$H$12,MATCH(IF(LEFT(J666,8)="Payments","Payments",IF(LEFT(J666,7)="Lending","Lending",J666)),'Conversion Model'!$G$8:$G$12,0)),0)+MIN(L666,15)*'Conversion Model'!$B$17+IF(SUMPRODUCT(--ISNUMBER(SEARCH('Scoring Model'!$D$16:$D$25,K666)))&gt;0,'Conversion Model'!$B$18,0)+IF(SUMPRODUCT(--ISNUMBER(SEARCH('Scoring Model'!$G$16:$G$23,K666)))&gt;0,'Conversion Model'!$B$19,0)))))</f>
        <v>0.00287736161913338</v>
      </c>
      <c r="AH666" s="3" t="n">
        <f aca="false">IF(OR(O666="Qualified",O666="Won",O666="Lost"),1,IF(O666="Unqualified",0,""))</f>
        <v>0</v>
      </c>
    </row>
    <row r="667" customFormat="false" ht="15" hidden="false" customHeight="true" outlineLevel="0" collapsed="false">
      <c r="A667" s="3" t="s">
        <v>2249</v>
      </c>
      <c r="B667" s="9" t="n">
        <v>46236.2388888889</v>
      </c>
      <c r="C667" s="3" t="s">
        <v>135</v>
      </c>
      <c r="D667" s="3" t="s">
        <v>374</v>
      </c>
      <c r="E667" s="3" t="s">
        <v>2250</v>
      </c>
      <c r="F667" s="3" t="s">
        <v>54</v>
      </c>
      <c r="G667" s="3" t="s">
        <v>2251</v>
      </c>
      <c r="H667" s="3"/>
      <c r="I667" s="3" t="s">
        <v>88</v>
      </c>
      <c r="J667" s="3" t="s">
        <v>65</v>
      </c>
      <c r="K667" s="3" t="s">
        <v>349</v>
      </c>
      <c r="L667" s="3" t="n">
        <v>4</v>
      </c>
      <c r="M667" s="3" t="n">
        <v>5.1</v>
      </c>
      <c r="N667" s="3" t="s">
        <v>59</v>
      </c>
      <c r="O667" s="3"/>
      <c r="P667" s="10"/>
      <c r="Q667" s="3" t="n">
        <f aca="false">IF(F667="Disposable",1,0)</f>
        <v>0</v>
      </c>
      <c r="R667" s="3" t="n">
        <f aca="false">IF(SUMPRODUCT(--ISNUMBER(SEARCH('Spam Rules'!$A$22:$A$35,K667)))&gt;0,1,0)</f>
        <v>0</v>
      </c>
      <c r="S667" s="3" t="n">
        <f aca="false">IF(AND(F667="Free",G667=""),1,0)</f>
        <v>0</v>
      </c>
      <c r="T667" s="3" t="n">
        <f aca="false">IF(LEN(TRIM(K667))&lt;15,1,0)</f>
        <v>0</v>
      </c>
      <c r="U667" s="3" t="n">
        <f aca="false">IF(COUNTIF($E$2:$E$801,E667)&gt;1,1,0)</f>
        <v>0</v>
      </c>
      <c r="V667" s="3" t="n">
        <f aca="false">Q667*'Spam Rules'!$H$6+R667*'Spam Rules'!$H$7+S667*'Spam Rules'!$H$8+T667*'Spam Rules'!$H$9+U667*'Spam Rules'!$H$10</f>
        <v>0</v>
      </c>
      <c r="W667" s="3" t="str">
        <f aca="false">IF(V667&gt;='Spam Rules'!$B$3,"Likely Spam","Genuine")</f>
        <v>Genuine</v>
      </c>
      <c r="X667" s="3" t="n">
        <f aca="false">IFERROR(INDEX('Scoring Model'!$B$5:$B$11,MATCH(C667,'Scoring Model'!$A$5:$A$11,0)),0)</f>
        <v>20</v>
      </c>
      <c r="Y667" s="3" t="n">
        <f aca="false">IFERROR(INDEX('Scoring Model'!$E$5:$E$7,MATCH(F667,'Scoring Model'!$D$5:$D$7,0)),0)</f>
        <v>0</v>
      </c>
      <c r="Z667" s="3" t="n">
        <f aca="false">IFERROR(INDEX('Scoring Model'!$H$5:$H$13,MATCH(J667,'Scoring Model'!$G$5:$G$13,0)),0)</f>
        <v>0</v>
      </c>
      <c r="AA667" s="3" t="n">
        <f aca="false">IF(L667&gt;='Scoring Model'!$B$14,'Scoring Model'!$B$15,IF(L667&gt;='Scoring Model'!$B$16,'Scoring Model'!$B$17,0))</f>
        <v>8</v>
      </c>
      <c r="AB667" s="3" t="n">
        <f aca="false">IF(SUMPRODUCT(--ISNUMBER(SEARCH('Scoring Model'!$D$16:$D$25,K667)))&gt;0,'Scoring Model'!$B$18,0)</f>
        <v>0</v>
      </c>
      <c r="AC667" s="3" t="n">
        <f aca="false">IF(SUMPRODUCT(--ISNUMBER(SEARCH('Scoring Model'!$G$16:$G$23,K667)))&gt;0,'Scoring Model'!$B$19,0)</f>
        <v>-30</v>
      </c>
      <c r="AD667" s="3" t="n">
        <f aca="false">IF(W667="Likely Spam","",SUM(X667:AC667))</f>
        <v>-2</v>
      </c>
      <c r="AE667" s="3" t="str">
        <f aca="false">IF(W667="Likely Spam","Spam",IF(AD667&gt;='Scoring Model'!$B$21,"Hot",IF(AD667&gt;='Scoring Model'!$B$22,"Warm","Nurture")))</f>
        <v>Nurture</v>
      </c>
      <c r="AF667" s="3" t="str">
        <f aca="false">IF(W667="Likely Spam","Flagged by spam rules",TRIM(IF(X667&gt;=20,"Strong source. ","")&amp;IF(Y667&gt;0,"Company email. ","")&amp;IF(Z667&gt;=15,"High-value product. ","")&amp;IF(AA667&gt;='Scoring Model'!$B$15,"High engagement. ","")&amp;IF(AB667&gt;0,"Buying intent in message. ","")&amp;IF(AC667&lt;0,"Negative intent in message. ","")))</f>
        <v>Strong source. Negative intent in message.</v>
      </c>
      <c r="AG667" s="11" t="n">
        <f aca="false">IF(W667="Likely Spam","",1/(1+EXP(-('Conversion Model'!$B$5+IFERROR(INDEX('Conversion Model'!$B$8:$B$14,MATCH(C667,'Conversion Model'!$A$8:$A$14,0)),0)+IFERROR(INDEX('Conversion Model'!$E$8:$E$9,MATCH(F667,'Conversion Model'!$D$8:$D$9,0)),0)+IFERROR(INDEX('Conversion Model'!$H$8:$H$12,MATCH(IF(LEFT(J667,8)="Payments","Payments",IF(LEFT(J667,7)="Lending","Lending",J667)),'Conversion Model'!$G$8:$G$12,0)),0)+MIN(L667,15)*'Conversion Model'!$B$17+IF(SUMPRODUCT(--ISNUMBER(SEARCH('Scoring Model'!$D$16:$D$25,K667)))&gt;0,'Conversion Model'!$B$18,0)+IF(SUMPRODUCT(--ISNUMBER(SEARCH('Scoring Model'!$G$16:$G$23,K667)))&gt;0,'Conversion Model'!$B$19,0)))))</f>
        <v>0.0241270214176692</v>
      </c>
      <c r="AH667" s="3" t="str">
        <f aca="false">IF(OR(O667="Qualified",O667="Won",O667="Lost"),1,IF(O667="Unqualified",0,""))</f>
        <v/>
      </c>
    </row>
    <row r="668" customFormat="false" ht="15" hidden="false" customHeight="true" outlineLevel="0" collapsed="false">
      <c r="A668" s="3" t="s">
        <v>2252</v>
      </c>
      <c r="B668" s="9" t="n">
        <v>46236.6958333333</v>
      </c>
      <c r="C668" s="3" t="s">
        <v>51</v>
      </c>
      <c r="D668" s="3" t="s">
        <v>430</v>
      </c>
      <c r="E668" s="3" t="s">
        <v>2253</v>
      </c>
      <c r="F668" s="3" t="s">
        <v>22</v>
      </c>
      <c r="G668" s="3" t="s">
        <v>2254</v>
      </c>
      <c r="H668" s="3" t="s">
        <v>2255</v>
      </c>
      <c r="I668" s="3" t="s">
        <v>116</v>
      </c>
      <c r="J668" s="3" t="s">
        <v>81</v>
      </c>
      <c r="K668" s="3" t="s">
        <v>349</v>
      </c>
      <c r="L668" s="3" t="n">
        <v>3</v>
      </c>
      <c r="M668" s="3" t="n">
        <v>3.2</v>
      </c>
      <c r="N668" s="3" t="s">
        <v>171</v>
      </c>
      <c r="O668" s="3" t="s">
        <v>194</v>
      </c>
      <c r="P668" s="10"/>
      <c r="Q668" s="3" t="n">
        <f aca="false">IF(F668="Disposable",1,0)</f>
        <v>0</v>
      </c>
      <c r="R668" s="3" t="n">
        <f aca="false">IF(SUMPRODUCT(--ISNUMBER(SEARCH('Spam Rules'!$A$22:$A$35,K668)))&gt;0,1,0)</f>
        <v>0</v>
      </c>
      <c r="S668" s="3" t="n">
        <f aca="false">IF(AND(F668="Free",G668=""),1,0)</f>
        <v>0</v>
      </c>
      <c r="T668" s="3" t="n">
        <f aca="false">IF(LEN(TRIM(K668))&lt;15,1,0)</f>
        <v>0</v>
      </c>
      <c r="U668" s="3" t="n">
        <f aca="false">IF(COUNTIF($E$2:$E$801,E668)&gt;1,1,0)</f>
        <v>0</v>
      </c>
      <c r="V668" s="3" t="n">
        <f aca="false">Q668*'Spam Rules'!$H$6+R668*'Spam Rules'!$H$7+S668*'Spam Rules'!$H$8+T668*'Spam Rules'!$H$9+U668*'Spam Rules'!$H$10</f>
        <v>0</v>
      </c>
      <c r="W668" s="3" t="str">
        <f aca="false">IF(V668&gt;='Spam Rules'!$B$3,"Likely Spam","Genuine")</f>
        <v>Genuine</v>
      </c>
      <c r="X668" s="3" t="n">
        <f aca="false">IFERROR(INDEX('Scoring Model'!$B$5:$B$11,MATCH(C668,'Scoring Model'!$A$5:$A$11,0)),0)</f>
        <v>10</v>
      </c>
      <c r="Y668" s="3" t="n">
        <f aca="false">IFERROR(INDEX('Scoring Model'!$E$5:$E$7,MATCH(F668,'Scoring Model'!$D$5:$D$7,0)),0)</f>
        <v>20</v>
      </c>
      <c r="Z668" s="3" t="n">
        <f aca="false">IFERROR(INDEX('Scoring Model'!$H$5:$H$13,MATCH(J668,'Scoring Model'!$G$5:$G$13,0)),0)</f>
        <v>5</v>
      </c>
      <c r="AA668" s="3" t="n">
        <f aca="false">IF(L668&gt;='Scoring Model'!$B$14,'Scoring Model'!$B$15,IF(L668&gt;='Scoring Model'!$B$16,'Scoring Model'!$B$17,0))</f>
        <v>0</v>
      </c>
      <c r="AB668" s="3" t="n">
        <f aca="false">IF(SUMPRODUCT(--ISNUMBER(SEARCH('Scoring Model'!$D$16:$D$25,K668)))&gt;0,'Scoring Model'!$B$18,0)</f>
        <v>0</v>
      </c>
      <c r="AC668" s="3" t="n">
        <f aca="false">IF(SUMPRODUCT(--ISNUMBER(SEARCH('Scoring Model'!$G$16:$G$23,K668)))&gt;0,'Scoring Model'!$B$19,0)</f>
        <v>-30</v>
      </c>
      <c r="AD668" s="3" t="n">
        <f aca="false">IF(W668="Likely Spam","",SUM(X668:AC668))</f>
        <v>5</v>
      </c>
      <c r="AE668" s="3" t="str">
        <f aca="false">IF(W668="Likely Spam","Spam",IF(AD668&gt;='Scoring Model'!$B$21,"Hot",IF(AD668&gt;='Scoring Model'!$B$22,"Warm","Nurture")))</f>
        <v>Nurture</v>
      </c>
      <c r="AF668" s="3" t="str">
        <f aca="false">IF(W668="Likely Spam","Flagged by spam rules",TRIM(IF(X668&gt;=20,"Strong source. ","")&amp;IF(Y668&gt;0,"Company email. ","")&amp;IF(Z668&gt;=15,"High-value product. ","")&amp;IF(AA668&gt;='Scoring Model'!$B$15,"High engagement. ","")&amp;IF(AB668&gt;0,"Buying intent in message. ","")&amp;IF(AC668&lt;0,"Negative intent in message. ","")))</f>
        <v>Company email. Negative intent in message.</v>
      </c>
      <c r="AG668" s="11" t="n">
        <f aca="false">IF(W668="Likely Spam","",1/(1+EXP(-('Conversion Model'!$B$5+IFERROR(INDEX('Conversion Model'!$B$8:$B$14,MATCH(C668,'Conversion Model'!$A$8:$A$14,0)),0)+IFERROR(INDEX('Conversion Model'!$E$8:$E$9,MATCH(F668,'Conversion Model'!$D$8:$D$9,0)),0)+IFERROR(INDEX('Conversion Model'!$H$8:$H$12,MATCH(IF(LEFT(J668,8)="Payments","Payments",IF(LEFT(J668,7)="Lending","Lending",J668)),'Conversion Model'!$G$8:$G$12,0)),0)+MIN(L668,15)*'Conversion Model'!$B$17+IF(SUMPRODUCT(--ISNUMBER(SEARCH('Scoring Model'!$D$16:$D$25,K668)))&gt;0,'Conversion Model'!$B$18,0)+IF(SUMPRODUCT(--ISNUMBER(SEARCH('Scoring Model'!$G$16:$G$23,K668)))&gt;0,'Conversion Model'!$B$19,0)))))</f>
        <v>0.00888910553429989</v>
      </c>
      <c r="AH668" s="3" t="n">
        <f aca="false">IF(OR(O668="Qualified",O668="Won",O668="Lost"),1,IF(O668="Unqualified",0,""))</f>
        <v>0</v>
      </c>
    </row>
    <row r="669" customFormat="false" ht="15" hidden="false" customHeight="true" outlineLevel="0" collapsed="false">
      <c r="A669" s="3" t="s">
        <v>2256</v>
      </c>
      <c r="B669" s="9" t="n">
        <v>46236.7006944444</v>
      </c>
      <c r="C669" s="3" t="s">
        <v>51</v>
      </c>
      <c r="D669" s="3" t="s">
        <v>710</v>
      </c>
      <c r="E669" s="3" t="s">
        <v>2257</v>
      </c>
      <c r="F669" s="3" t="s">
        <v>22</v>
      </c>
      <c r="G669" s="3" t="s">
        <v>1603</v>
      </c>
      <c r="H669" s="3" t="s">
        <v>2258</v>
      </c>
      <c r="I669" s="3" t="s">
        <v>260</v>
      </c>
      <c r="J669" s="3" t="s">
        <v>122</v>
      </c>
      <c r="K669" s="3" t="s">
        <v>189</v>
      </c>
      <c r="L669" s="3" t="n">
        <v>12</v>
      </c>
      <c r="M669" s="3" t="n">
        <v>12.5</v>
      </c>
      <c r="N669" s="3" t="s">
        <v>59</v>
      </c>
      <c r="O669" s="3"/>
      <c r="P669" s="10"/>
      <c r="Q669" s="3" t="n">
        <f aca="false">IF(F669="Disposable",1,0)</f>
        <v>0</v>
      </c>
      <c r="R669" s="3" t="n">
        <f aca="false">IF(SUMPRODUCT(--ISNUMBER(SEARCH('Spam Rules'!$A$22:$A$35,K669)))&gt;0,1,0)</f>
        <v>0</v>
      </c>
      <c r="S669" s="3" t="n">
        <f aca="false">IF(AND(F669="Free",G669=""),1,0)</f>
        <v>0</v>
      </c>
      <c r="T669" s="3" t="n">
        <f aca="false">IF(LEN(TRIM(K669))&lt;15,1,0)</f>
        <v>0</v>
      </c>
      <c r="U669" s="3" t="n">
        <f aca="false">IF(COUNTIF($E$2:$E$801,E669)&gt;1,1,0)</f>
        <v>0</v>
      </c>
      <c r="V669" s="3" t="n">
        <f aca="false">Q669*'Spam Rules'!$H$6+R669*'Spam Rules'!$H$7+S669*'Spam Rules'!$H$8+T669*'Spam Rules'!$H$9+U669*'Spam Rules'!$H$10</f>
        <v>0</v>
      </c>
      <c r="W669" s="3" t="str">
        <f aca="false">IF(V669&gt;='Spam Rules'!$B$3,"Likely Spam","Genuine")</f>
        <v>Genuine</v>
      </c>
      <c r="X669" s="3" t="n">
        <f aca="false">IFERROR(INDEX('Scoring Model'!$B$5:$B$11,MATCH(C669,'Scoring Model'!$A$5:$A$11,0)),0)</f>
        <v>10</v>
      </c>
      <c r="Y669" s="3" t="n">
        <f aca="false">IFERROR(INDEX('Scoring Model'!$E$5:$E$7,MATCH(F669,'Scoring Model'!$D$5:$D$7,0)),0)</f>
        <v>20</v>
      </c>
      <c r="Z669" s="3" t="n">
        <f aca="false">IFERROR(INDEX('Scoring Model'!$H$5:$H$13,MATCH(J669,'Scoring Model'!$G$5:$G$13,0)),0)</f>
        <v>15</v>
      </c>
      <c r="AA669" s="3" t="n">
        <f aca="false">IF(L669&gt;='Scoring Model'!$B$14,'Scoring Model'!$B$15,IF(L669&gt;='Scoring Model'!$B$16,'Scoring Model'!$B$17,0))</f>
        <v>15</v>
      </c>
      <c r="AB669" s="3" t="n">
        <f aca="false">IF(SUMPRODUCT(--ISNUMBER(SEARCH('Scoring Model'!$D$16:$D$25,K669)))&gt;0,'Scoring Model'!$B$18,0)</f>
        <v>15</v>
      </c>
      <c r="AC669" s="3" t="n">
        <f aca="false">IF(SUMPRODUCT(--ISNUMBER(SEARCH('Scoring Model'!$G$16:$G$23,K669)))&gt;0,'Scoring Model'!$B$19,0)</f>
        <v>0</v>
      </c>
      <c r="AD669" s="3" t="n">
        <f aca="false">IF(W669="Likely Spam","",SUM(X669:AC669))</f>
        <v>75</v>
      </c>
      <c r="AE669" s="3" t="str">
        <f aca="false">IF(W669="Likely Spam","Spam",IF(AD669&gt;='Scoring Model'!$B$21,"Hot",IF(AD669&gt;='Scoring Model'!$B$22,"Warm","Nurture")))</f>
        <v>Hot</v>
      </c>
      <c r="AF669" s="3" t="str">
        <f aca="false">IF(W669="Likely Spam","Flagged by spam rules",TRIM(IF(X669&gt;=20,"Strong source. ","")&amp;IF(Y669&gt;0,"Company email. ","")&amp;IF(Z669&gt;=15,"High-value product. ","")&amp;IF(AA669&gt;='Scoring Model'!$B$15,"High engagement. ","")&amp;IF(AB669&gt;0,"Buying intent in message. ","")&amp;IF(AC669&lt;0,"Negative intent in message. ","")))</f>
        <v>Company email. High-value product. High engagement. Buying intent in message.</v>
      </c>
      <c r="AG669" s="11" t="n">
        <f aca="false">IF(W669="Likely Spam","",1/(1+EXP(-('Conversion Model'!$B$5+IFERROR(INDEX('Conversion Model'!$B$8:$B$14,MATCH(C669,'Conversion Model'!$A$8:$A$14,0)),0)+IFERROR(INDEX('Conversion Model'!$E$8:$E$9,MATCH(F669,'Conversion Model'!$D$8:$D$9,0)),0)+IFERROR(INDEX('Conversion Model'!$H$8:$H$12,MATCH(IF(LEFT(J669,8)="Payments","Payments",IF(LEFT(J669,7)="Lending","Lending",J669)),'Conversion Model'!$G$8:$G$12,0)),0)+MIN(L669,15)*'Conversion Model'!$B$17+IF(SUMPRODUCT(--ISNUMBER(SEARCH('Scoring Model'!$D$16:$D$25,K669)))&gt;0,'Conversion Model'!$B$18,0)+IF(SUMPRODUCT(--ISNUMBER(SEARCH('Scoring Model'!$G$16:$G$23,K669)))&gt;0,'Conversion Model'!$B$19,0)))))</f>
        <v>0.998339542044816</v>
      </c>
      <c r="AH669" s="3" t="str">
        <f aca="false">IF(OR(O669="Qualified",O669="Won",O669="Lost"),1,IF(O669="Unqualified",0,""))</f>
        <v/>
      </c>
    </row>
    <row r="670" customFormat="false" ht="15" hidden="false" customHeight="true" outlineLevel="0" collapsed="false">
      <c r="A670" s="3" t="s">
        <v>2259</v>
      </c>
      <c r="B670" s="9" t="n">
        <v>46237.1590277778</v>
      </c>
      <c r="C670" s="3" t="s">
        <v>76</v>
      </c>
      <c r="D670" s="3" t="s">
        <v>2260</v>
      </c>
      <c r="E670" s="3" t="s">
        <v>2261</v>
      </c>
      <c r="F670" s="3" t="s">
        <v>22</v>
      </c>
      <c r="G670" s="3" t="s">
        <v>163</v>
      </c>
      <c r="H670" s="3" t="s">
        <v>164</v>
      </c>
      <c r="I670" s="3" t="s">
        <v>64</v>
      </c>
      <c r="J670" s="3" t="s">
        <v>81</v>
      </c>
      <c r="K670" s="3" t="s">
        <v>378</v>
      </c>
      <c r="L670" s="3" t="n">
        <v>2</v>
      </c>
      <c r="M670" s="3" t="n">
        <v>25.1</v>
      </c>
      <c r="N670" s="3" t="s">
        <v>96</v>
      </c>
      <c r="O670" s="3"/>
      <c r="P670" s="10"/>
      <c r="Q670" s="3" t="n">
        <f aca="false">IF(F670="Disposable",1,0)</f>
        <v>0</v>
      </c>
      <c r="R670" s="3" t="n">
        <f aca="false">IF(SUMPRODUCT(--ISNUMBER(SEARCH('Spam Rules'!$A$22:$A$35,K670)))&gt;0,1,0)</f>
        <v>0</v>
      </c>
      <c r="S670" s="3" t="n">
        <f aca="false">IF(AND(F670="Free",G670=""),1,0)</f>
        <v>0</v>
      </c>
      <c r="T670" s="3" t="n">
        <f aca="false">IF(LEN(TRIM(K670))&lt;15,1,0)</f>
        <v>0</v>
      </c>
      <c r="U670" s="3" t="n">
        <f aca="false">IF(COUNTIF($E$2:$E$801,E670)&gt;1,1,0)</f>
        <v>0</v>
      </c>
      <c r="V670" s="3" t="n">
        <f aca="false">Q670*'Spam Rules'!$H$6+R670*'Spam Rules'!$H$7+S670*'Spam Rules'!$H$8+T670*'Spam Rules'!$H$9+U670*'Spam Rules'!$H$10</f>
        <v>0</v>
      </c>
      <c r="W670" s="3" t="str">
        <f aca="false">IF(V670&gt;='Spam Rules'!$B$3,"Likely Spam","Genuine")</f>
        <v>Genuine</v>
      </c>
      <c r="X670" s="3" t="n">
        <f aca="false">IFERROR(INDEX('Scoring Model'!$B$5:$B$11,MATCH(C670,'Scoring Model'!$A$5:$A$11,0)),0)</f>
        <v>0</v>
      </c>
      <c r="Y670" s="3" t="n">
        <f aca="false">IFERROR(INDEX('Scoring Model'!$E$5:$E$7,MATCH(F670,'Scoring Model'!$D$5:$D$7,0)),0)</f>
        <v>20</v>
      </c>
      <c r="Z670" s="3" t="n">
        <f aca="false">IFERROR(INDEX('Scoring Model'!$H$5:$H$13,MATCH(J670,'Scoring Model'!$G$5:$G$13,0)),0)</f>
        <v>5</v>
      </c>
      <c r="AA670" s="3" t="n">
        <f aca="false">IF(L670&gt;='Scoring Model'!$B$14,'Scoring Model'!$B$15,IF(L670&gt;='Scoring Model'!$B$16,'Scoring Model'!$B$17,0))</f>
        <v>0</v>
      </c>
      <c r="AB670" s="3" t="n">
        <f aca="false">IF(SUMPRODUCT(--ISNUMBER(SEARCH('Scoring Model'!$D$16:$D$25,K670)))&gt;0,'Scoring Model'!$B$18,0)</f>
        <v>0</v>
      </c>
      <c r="AC670" s="3" t="n">
        <f aca="false">IF(SUMPRODUCT(--ISNUMBER(SEARCH('Scoring Model'!$G$16:$G$23,K670)))&gt;0,'Scoring Model'!$B$19,0)</f>
        <v>-30</v>
      </c>
      <c r="AD670" s="3" t="n">
        <f aca="false">IF(W670="Likely Spam","",SUM(X670:AC670))</f>
        <v>-5</v>
      </c>
      <c r="AE670" s="3" t="str">
        <f aca="false">IF(W670="Likely Spam","Spam",IF(AD670&gt;='Scoring Model'!$B$21,"Hot",IF(AD670&gt;='Scoring Model'!$B$22,"Warm","Nurture")))</f>
        <v>Nurture</v>
      </c>
      <c r="AF670" s="3" t="str">
        <f aca="false">IF(W670="Likely Spam","Flagged by spam rules",TRIM(IF(X670&gt;=20,"Strong source. ","")&amp;IF(Y670&gt;0,"Company email. ","")&amp;IF(Z670&gt;=15,"High-value product. ","")&amp;IF(AA670&gt;='Scoring Model'!$B$15,"High engagement. ","")&amp;IF(AB670&gt;0,"Buying intent in message. ","")&amp;IF(AC670&lt;0,"Negative intent in message. ","")))</f>
        <v>Company email. Negative intent in message.</v>
      </c>
      <c r="AG670" s="11" t="n">
        <f aca="false">IF(W670="Likely Spam","",1/(1+EXP(-('Conversion Model'!$B$5+IFERROR(INDEX('Conversion Model'!$B$8:$B$14,MATCH(C670,'Conversion Model'!$A$8:$A$14,0)),0)+IFERROR(INDEX('Conversion Model'!$E$8:$E$9,MATCH(F670,'Conversion Model'!$D$8:$D$9,0)),0)+IFERROR(INDEX('Conversion Model'!$H$8:$H$12,MATCH(IF(LEFT(J670,8)="Payments","Payments",IF(LEFT(J670,7)="Lending","Lending",J670)),'Conversion Model'!$G$8:$G$12,0)),0)+MIN(L670,15)*'Conversion Model'!$B$17+IF(SUMPRODUCT(--ISNUMBER(SEARCH('Scoring Model'!$D$16:$D$25,K670)))&gt;0,'Conversion Model'!$B$18,0)+IF(SUMPRODUCT(--ISNUMBER(SEARCH('Scoring Model'!$G$16:$G$23,K670)))&gt;0,'Conversion Model'!$B$19,0)))))</f>
        <v>0.00293824571637763</v>
      </c>
      <c r="AH670" s="3" t="str">
        <f aca="false">IF(OR(O670="Qualified",O670="Won",O670="Lost"),1,IF(O670="Unqualified",0,""))</f>
        <v/>
      </c>
    </row>
    <row r="671" customFormat="false" ht="15" hidden="false" customHeight="true" outlineLevel="0" collapsed="false">
      <c r="A671" s="3" t="s">
        <v>2262</v>
      </c>
      <c r="B671" s="9" t="n">
        <v>46237.2048611111</v>
      </c>
      <c r="C671" s="3" t="s">
        <v>128</v>
      </c>
      <c r="D671" s="3" t="s">
        <v>915</v>
      </c>
      <c r="E671" s="3" t="s">
        <v>2263</v>
      </c>
      <c r="F671" s="3" t="s">
        <v>54</v>
      </c>
      <c r="G671" s="3"/>
      <c r="H671" s="3"/>
      <c r="I671" s="3" t="s">
        <v>94</v>
      </c>
      <c r="J671" s="3" t="s">
        <v>145</v>
      </c>
      <c r="K671" s="3" t="s">
        <v>101</v>
      </c>
      <c r="L671" s="3" t="n">
        <v>1</v>
      </c>
      <c r="M671" s="3" t="n">
        <v>61.7</v>
      </c>
      <c r="N671" s="3" t="s">
        <v>67</v>
      </c>
      <c r="O671" s="3" t="s">
        <v>194</v>
      </c>
      <c r="P671" s="10"/>
      <c r="Q671" s="3" t="n">
        <f aca="false">IF(F671="Disposable",1,0)</f>
        <v>0</v>
      </c>
      <c r="R671" s="3" t="n">
        <f aca="false">IF(SUMPRODUCT(--ISNUMBER(SEARCH('Spam Rules'!$A$22:$A$35,K671)))&gt;0,1,0)</f>
        <v>0</v>
      </c>
      <c r="S671" s="3" t="n">
        <f aca="false">IF(AND(F671="Free",G671=""),1,0)</f>
        <v>1</v>
      </c>
      <c r="T671" s="3" t="n">
        <f aca="false">IF(LEN(TRIM(K671))&lt;15,1,0)</f>
        <v>0</v>
      </c>
      <c r="U671" s="3" t="n">
        <f aca="false">IF(COUNTIF($E$2:$E$801,E671)&gt;1,1,0)</f>
        <v>0</v>
      </c>
      <c r="V671" s="3" t="n">
        <f aca="false">Q671*'Spam Rules'!$H$6+R671*'Spam Rules'!$H$7+S671*'Spam Rules'!$H$8+T671*'Spam Rules'!$H$9+U671*'Spam Rules'!$H$10</f>
        <v>0</v>
      </c>
      <c r="W671" s="3" t="str">
        <f aca="false">IF(V671&gt;='Spam Rules'!$B$3,"Likely Spam","Genuine")</f>
        <v>Genuine</v>
      </c>
      <c r="X671" s="3" t="n">
        <f aca="false">IFERROR(INDEX('Scoring Model'!$B$5:$B$11,MATCH(C671,'Scoring Model'!$A$5:$A$11,0)),0)</f>
        <v>30</v>
      </c>
      <c r="Y671" s="3" t="n">
        <f aca="false">IFERROR(INDEX('Scoring Model'!$E$5:$E$7,MATCH(F671,'Scoring Model'!$D$5:$D$7,0)),0)</f>
        <v>0</v>
      </c>
      <c r="Z671" s="3" t="n">
        <f aca="false">IFERROR(INDEX('Scoring Model'!$H$5:$H$13,MATCH(J671,'Scoring Model'!$G$5:$G$13,0)),0)</f>
        <v>5</v>
      </c>
      <c r="AA671" s="3" t="n">
        <f aca="false">IF(L671&gt;='Scoring Model'!$B$14,'Scoring Model'!$B$15,IF(L671&gt;='Scoring Model'!$B$16,'Scoring Model'!$B$17,0))</f>
        <v>0</v>
      </c>
      <c r="AB671" s="3" t="n">
        <f aca="false">IF(SUMPRODUCT(--ISNUMBER(SEARCH('Scoring Model'!$D$16:$D$25,K671)))&gt;0,'Scoring Model'!$B$18,0)</f>
        <v>0</v>
      </c>
      <c r="AC671" s="3" t="n">
        <f aca="false">IF(SUMPRODUCT(--ISNUMBER(SEARCH('Scoring Model'!$G$16:$G$23,K671)))&gt;0,'Scoring Model'!$B$19,0)</f>
        <v>-30</v>
      </c>
      <c r="AD671" s="3" t="n">
        <f aca="false">IF(W671="Likely Spam","",SUM(X671:AC671))</f>
        <v>5</v>
      </c>
      <c r="AE671" s="3" t="str">
        <f aca="false">IF(W671="Likely Spam","Spam",IF(AD671&gt;='Scoring Model'!$B$21,"Hot",IF(AD671&gt;='Scoring Model'!$B$22,"Warm","Nurture")))</f>
        <v>Nurture</v>
      </c>
      <c r="AF671" s="3" t="str">
        <f aca="false">IF(W671="Likely Spam","Flagged by spam rules",TRIM(IF(X671&gt;=20,"Strong source. ","")&amp;IF(Y671&gt;0,"Company email. ","")&amp;IF(Z671&gt;=15,"High-value product. ","")&amp;IF(AA671&gt;='Scoring Model'!$B$15,"High engagement. ","")&amp;IF(AB671&gt;0,"Buying intent in message. ","")&amp;IF(AC671&lt;0,"Negative intent in message. ","")))</f>
        <v>Strong source. Negative intent in message.</v>
      </c>
      <c r="AG671" s="11" t="n">
        <f aca="false">IF(W671="Likely Spam","",1/(1+EXP(-('Conversion Model'!$B$5+IFERROR(INDEX('Conversion Model'!$B$8:$B$14,MATCH(C671,'Conversion Model'!$A$8:$A$14,0)),0)+IFERROR(INDEX('Conversion Model'!$E$8:$E$9,MATCH(F671,'Conversion Model'!$D$8:$D$9,0)),0)+IFERROR(INDEX('Conversion Model'!$H$8:$H$12,MATCH(IF(LEFT(J671,8)="Payments","Payments",IF(LEFT(J671,7)="Lending","Lending",J671)),'Conversion Model'!$G$8:$G$12,0)),0)+MIN(L671,15)*'Conversion Model'!$B$17+IF(SUMPRODUCT(--ISNUMBER(SEARCH('Scoring Model'!$D$16:$D$25,K671)))&gt;0,'Conversion Model'!$B$18,0)+IF(SUMPRODUCT(--ISNUMBER(SEARCH('Scoring Model'!$G$16:$G$23,K671)))&gt;0,'Conversion Model'!$B$19,0)))))</f>
        <v>0.00426092066181818</v>
      </c>
      <c r="AH671" s="3" t="n">
        <f aca="false">IF(OR(O671="Qualified",O671="Won",O671="Lost"),1,IF(O671="Unqualified",0,""))</f>
        <v>0</v>
      </c>
    </row>
    <row r="672" customFormat="false" ht="15" hidden="false" customHeight="true" outlineLevel="0" collapsed="false">
      <c r="A672" s="3" t="s">
        <v>2264</v>
      </c>
      <c r="B672" s="9" t="n">
        <v>46237.63125</v>
      </c>
      <c r="C672" s="3" t="s">
        <v>51</v>
      </c>
      <c r="D672" s="3" t="s">
        <v>2265</v>
      </c>
      <c r="E672" s="3" t="s">
        <v>2266</v>
      </c>
      <c r="F672" s="3" t="s">
        <v>54</v>
      </c>
      <c r="G672" s="3" t="s">
        <v>321</v>
      </c>
      <c r="H672" s="3"/>
      <c r="I672" s="3" t="s">
        <v>334</v>
      </c>
      <c r="J672" s="3" t="s">
        <v>65</v>
      </c>
      <c r="K672" s="3" t="s">
        <v>89</v>
      </c>
      <c r="L672" s="3" t="n">
        <v>1</v>
      </c>
      <c r="M672" s="3" t="n">
        <v>32.4</v>
      </c>
      <c r="N672" s="3" t="s">
        <v>67</v>
      </c>
      <c r="O672" s="3" t="s">
        <v>68</v>
      </c>
      <c r="P672" s="10"/>
      <c r="Q672" s="3" t="n">
        <f aca="false">IF(F672="Disposable",1,0)</f>
        <v>0</v>
      </c>
      <c r="R672" s="3" t="n">
        <f aca="false">IF(SUMPRODUCT(--ISNUMBER(SEARCH('Spam Rules'!$A$22:$A$35,K672)))&gt;0,1,0)</f>
        <v>1</v>
      </c>
      <c r="S672" s="3" t="n">
        <f aca="false">IF(AND(F672="Free",G672=""),1,0)</f>
        <v>0</v>
      </c>
      <c r="T672" s="3" t="n">
        <f aca="false">IF(LEN(TRIM(K672))&lt;15,1,0)</f>
        <v>0</v>
      </c>
      <c r="U672" s="3" t="n">
        <f aca="false">IF(COUNTIF($E$2:$E$801,E672)&gt;1,1,0)</f>
        <v>0</v>
      </c>
      <c r="V672" s="3" t="n">
        <f aca="false">Q672*'Spam Rules'!$H$6+R672*'Spam Rules'!$H$7+S672*'Spam Rules'!$H$8+T672*'Spam Rules'!$H$9+U672*'Spam Rules'!$H$10</f>
        <v>1</v>
      </c>
      <c r="W672" s="3" t="str">
        <f aca="false">IF(V672&gt;='Spam Rules'!$B$3,"Likely Spam","Genuine")</f>
        <v>Likely Spam</v>
      </c>
      <c r="X672" s="3" t="n">
        <f aca="false">IFERROR(INDEX('Scoring Model'!$B$5:$B$11,MATCH(C672,'Scoring Model'!$A$5:$A$11,0)),0)</f>
        <v>10</v>
      </c>
      <c r="Y672" s="3" t="n">
        <f aca="false">IFERROR(INDEX('Scoring Model'!$E$5:$E$7,MATCH(F672,'Scoring Model'!$D$5:$D$7,0)),0)</f>
        <v>0</v>
      </c>
      <c r="Z672" s="3" t="n">
        <f aca="false">IFERROR(INDEX('Scoring Model'!$H$5:$H$13,MATCH(J672,'Scoring Model'!$G$5:$G$13,0)),0)</f>
        <v>0</v>
      </c>
      <c r="AA672" s="3" t="n">
        <f aca="false">IF(L672&gt;='Scoring Model'!$B$14,'Scoring Model'!$B$15,IF(L672&gt;='Scoring Model'!$B$16,'Scoring Model'!$B$17,0))</f>
        <v>0</v>
      </c>
      <c r="AB672" s="3" t="n">
        <f aca="false">IF(SUMPRODUCT(--ISNUMBER(SEARCH('Scoring Model'!$D$16:$D$25,K672)))&gt;0,'Scoring Model'!$B$18,0)</f>
        <v>0</v>
      </c>
      <c r="AC672" s="3" t="n">
        <f aca="false">IF(SUMPRODUCT(--ISNUMBER(SEARCH('Scoring Model'!$G$16:$G$23,K672)))&gt;0,'Scoring Model'!$B$19,0)</f>
        <v>0</v>
      </c>
      <c r="AD672" s="3" t="str">
        <f aca="false">IF(W672="Likely Spam","",SUM(X672:AC672))</f>
        <v/>
      </c>
      <c r="AE672" s="3" t="str">
        <f aca="false">IF(W672="Likely Spam","Spam",IF(AD672&gt;='Scoring Model'!$B$21,"Hot",IF(AD672&gt;='Scoring Model'!$B$22,"Warm","Nurture")))</f>
        <v>Spam</v>
      </c>
      <c r="AF672" s="3" t="str">
        <f aca="false">IF(W672="Likely Spam","Flagged by spam rules",TRIM(IF(X672&gt;=20,"Strong source. ","")&amp;IF(Y672&gt;0,"Company email. ","")&amp;IF(Z672&gt;=15,"High-value product. ","")&amp;IF(AA672&gt;='Scoring Model'!$B$15,"High engagement. ","")&amp;IF(AB672&gt;0,"Buying intent in message. ","")&amp;IF(AC672&lt;0,"Negative intent in message. ","")))</f>
        <v>Flagged by spam rules</v>
      </c>
      <c r="AG672" s="11" t="str">
        <f aca="false">IF(W672="Likely Spam","",1/(1+EXP(-('Conversion Model'!$B$5+IFERROR(INDEX('Conversion Model'!$B$8:$B$14,MATCH(C672,'Conversion Model'!$A$8:$A$14,0)),0)+IFERROR(INDEX('Conversion Model'!$E$8:$E$9,MATCH(F672,'Conversion Model'!$D$8:$D$9,0)),0)+IFERROR(INDEX('Conversion Model'!$H$8:$H$12,MATCH(IF(LEFT(J672,8)="Payments","Payments",IF(LEFT(J672,7)="Lending","Lending",J672)),'Conversion Model'!$G$8:$G$12,0)),0)+MIN(L672,15)*'Conversion Model'!$B$17+IF(SUMPRODUCT(--ISNUMBER(SEARCH('Scoring Model'!$D$16:$D$25,K672)))&gt;0,'Conversion Model'!$B$18,0)+IF(SUMPRODUCT(--ISNUMBER(SEARCH('Scoring Model'!$G$16:$G$23,K672)))&gt;0,'Conversion Model'!$B$19,0)))))</f>
        <v/>
      </c>
      <c r="AH672" s="3" t="str">
        <f aca="false">IF(OR(O672="Qualified",O672="Won",O672="Lost"),1,IF(O672="Unqualified",0,""))</f>
        <v/>
      </c>
    </row>
    <row r="673" customFormat="false" ht="15" hidden="false" customHeight="true" outlineLevel="0" collapsed="false">
      <c r="A673" s="3" t="s">
        <v>2267</v>
      </c>
      <c r="B673" s="9" t="n">
        <v>46237.7145833333</v>
      </c>
      <c r="C673" s="3" t="s">
        <v>51</v>
      </c>
      <c r="D673" s="3" t="s">
        <v>771</v>
      </c>
      <c r="E673" s="3" t="s">
        <v>2268</v>
      </c>
      <c r="F673" s="3" t="s">
        <v>22</v>
      </c>
      <c r="G673" s="3" t="s">
        <v>547</v>
      </c>
      <c r="H673" s="3" t="s">
        <v>2269</v>
      </c>
      <c r="I673" s="3" t="s">
        <v>204</v>
      </c>
      <c r="J673" s="3" t="s">
        <v>165</v>
      </c>
      <c r="K673" s="3" t="s">
        <v>2270</v>
      </c>
      <c r="L673" s="3" t="n">
        <v>6</v>
      </c>
      <c r="M673" s="3" t="n">
        <v>29.7</v>
      </c>
      <c r="N673" s="3" t="s">
        <v>96</v>
      </c>
      <c r="O673" s="3"/>
      <c r="P673" s="10"/>
      <c r="Q673" s="3" t="n">
        <f aca="false">IF(F673="Disposable",1,0)</f>
        <v>0</v>
      </c>
      <c r="R673" s="3" t="n">
        <f aca="false">IF(SUMPRODUCT(--ISNUMBER(SEARCH('Spam Rules'!$A$22:$A$35,K673)))&gt;0,1,0)</f>
        <v>0</v>
      </c>
      <c r="S673" s="3" t="n">
        <f aca="false">IF(AND(F673="Free",G673=""),1,0)</f>
        <v>0</v>
      </c>
      <c r="T673" s="3" t="n">
        <f aca="false">IF(LEN(TRIM(K673))&lt;15,1,0)</f>
        <v>0</v>
      </c>
      <c r="U673" s="3" t="n">
        <f aca="false">IF(COUNTIF($E$2:$E$801,E673)&gt;1,1,0)</f>
        <v>0</v>
      </c>
      <c r="V673" s="3" t="n">
        <f aca="false">Q673*'Spam Rules'!$H$6+R673*'Spam Rules'!$H$7+S673*'Spam Rules'!$H$8+T673*'Spam Rules'!$H$9+U673*'Spam Rules'!$H$10</f>
        <v>0</v>
      </c>
      <c r="W673" s="3" t="str">
        <f aca="false">IF(V673&gt;='Spam Rules'!$B$3,"Likely Spam","Genuine")</f>
        <v>Genuine</v>
      </c>
      <c r="X673" s="3" t="n">
        <f aca="false">IFERROR(INDEX('Scoring Model'!$B$5:$B$11,MATCH(C673,'Scoring Model'!$A$5:$A$11,0)),0)</f>
        <v>10</v>
      </c>
      <c r="Y673" s="3" t="n">
        <f aca="false">IFERROR(INDEX('Scoring Model'!$E$5:$E$7,MATCH(F673,'Scoring Model'!$D$5:$D$7,0)),0)</f>
        <v>20</v>
      </c>
      <c r="Z673" s="3" t="n">
        <f aca="false">IFERROR(INDEX('Scoring Model'!$H$5:$H$13,MATCH(J673,'Scoring Model'!$G$5:$G$13,0)),0)</f>
        <v>15</v>
      </c>
      <c r="AA673" s="3" t="n">
        <f aca="false">IF(L673&gt;='Scoring Model'!$B$14,'Scoring Model'!$B$15,IF(L673&gt;='Scoring Model'!$B$16,'Scoring Model'!$B$17,0))</f>
        <v>8</v>
      </c>
      <c r="AB673" s="3" t="n">
        <f aca="false">IF(SUMPRODUCT(--ISNUMBER(SEARCH('Scoring Model'!$D$16:$D$25,K673)))&gt;0,'Scoring Model'!$B$18,0)</f>
        <v>15</v>
      </c>
      <c r="AC673" s="3" t="n">
        <f aca="false">IF(SUMPRODUCT(--ISNUMBER(SEARCH('Scoring Model'!$G$16:$G$23,K673)))&gt;0,'Scoring Model'!$B$19,0)</f>
        <v>0</v>
      </c>
      <c r="AD673" s="3" t="n">
        <f aca="false">IF(W673="Likely Spam","",SUM(X673:AC673))</f>
        <v>68</v>
      </c>
      <c r="AE673" s="3" t="str">
        <f aca="false">IF(W673="Likely Spam","Spam",IF(AD673&gt;='Scoring Model'!$B$21,"Hot",IF(AD673&gt;='Scoring Model'!$B$22,"Warm","Nurture")))</f>
        <v>Warm</v>
      </c>
      <c r="AF673" s="3" t="str">
        <f aca="false">IF(W673="Likely Spam","Flagged by spam rules",TRIM(IF(X673&gt;=20,"Strong source. ","")&amp;IF(Y673&gt;0,"Company email. ","")&amp;IF(Z673&gt;=15,"High-value product. ","")&amp;IF(AA673&gt;='Scoring Model'!$B$15,"High engagement. ","")&amp;IF(AB673&gt;0,"Buying intent in message. ","")&amp;IF(AC673&lt;0,"Negative intent in message. ","")))</f>
        <v>Company email. High-value product. Buying intent in message.</v>
      </c>
      <c r="AG673" s="11" t="n">
        <f aca="false">IF(W673="Likely Spam","",1/(1+EXP(-('Conversion Model'!$B$5+IFERROR(INDEX('Conversion Model'!$B$8:$B$14,MATCH(C673,'Conversion Model'!$A$8:$A$14,0)),0)+IFERROR(INDEX('Conversion Model'!$E$8:$E$9,MATCH(F673,'Conversion Model'!$D$8:$D$9,0)),0)+IFERROR(INDEX('Conversion Model'!$H$8:$H$12,MATCH(IF(LEFT(J673,8)="Payments","Payments",IF(LEFT(J673,7)="Lending","Lending",J673)),'Conversion Model'!$G$8:$G$12,0)),0)+MIN(L673,15)*'Conversion Model'!$B$17+IF(SUMPRODUCT(--ISNUMBER(SEARCH('Scoring Model'!$D$16:$D$25,K673)))&gt;0,'Conversion Model'!$B$18,0)+IF(SUMPRODUCT(--ISNUMBER(SEARCH('Scoring Model'!$G$16:$G$23,K673)))&gt;0,'Conversion Model'!$B$19,0)))))</f>
        <v>0.830193605352031</v>
      </c>
      <c r="AH673" s="3" t="str">
        <f aca="false">IF(OR(O673="Qualified",O673="Won",O673="Lost"),1,IF(O673="Unqualified",0,""))</f>
        <v/>
      </c>
    </row>
    <row r="674" customFormat="false" ht="15" hidden="false" customHeight="true" outlineLevel="0" collapsed="false">
      <c r="A674" s="3" t="s">
        <v>2271</v>
      </c>
      <c r="B674" s="9" t="n">
        <v>46238.5173611111</v>
      </c>
      <c r="C674" s="3" t="s">
        <v>51</v>
      </c>
      <c r="D674" s="3" t="s">
        <v>1283</v>
      </c>
      <c r="E674" s="3" t="s">
        <v>2272</v>
      </c>
      <c r="F674" s="3" t="s">
        <v>54</v>
      </c>
      <c r="G674" s="3" t="s">
        <v>237</v>
      </c>
      <c r="H674" s="3"/>
      <c r="I674" s="3" t="s">
        <v>73</v>
      </c>
      <c r="J674" s="3" t="s">
        <v>122</v>
      </c>
      <c r="K674" s="3" t="s">
        <v>322</v>
      </c>
      <c r="L674" s="3" t="n">
        <v>1</v>
      </c>
      <c r="M674" s="3"/>
      <c r="N674" s="3" t="s">
        <v>67</v>
      </c>
      <c r="O674" s="3" t="s">
        <v>68</v>
      </c>
      <c r="P674" s="10"/>
      <c r="Q674" s="3" t="n">
        <f aca="false">IF(F674="Disposable",1,0)</f>
        <v>0</v>
      </c>
      <c r="R674" s="3" t="n">
        <f aca="false">IF(SUMPRODUCT(--ISNUMBER(SEARCH('Spam Rules'!$A$22:$A$35,K674)))&gt;0,1,0)</f>
        <v>0</v>
      </c>
      <c r="S674" s="3" t="n">
        <f aca="false">IF(AND(F674="Free",G674=""),1,0)</f>
        <v>0</v>
      </c>
      <c r="T674" s="3" t="n">
        <f aca="false">IF(LEN(TRIM(K674))&lt;15,1,0)</f>
        <v>1</v>
      </c>
      <c r="U674" s="3" t="n">
        <f aca="false">IF(COUNTIF($E$2:$E$801,E674)&gt;1,1,0)</f>
        <v>0</v>
      </c>
      <c r="V674" s="3" t="n">
        <f aca="false">Q674*'Spam Rules'!$H$6+R674*'Spam Rules'!$H$7+S674*'Spam Rules'!$H$8+T674*'Spam Rules'!$H$9+U674*'Spam Rules'!$H$10</f>
        <v>1</v>
      </c>
      <c r="W674" s="3" t="str">
        <f aca="false">IF(V674&gt;='Spam Rules'!$B$3,"Likely Spam","Genuine")</f>
        <v>Likely Spam</v>
      </c>
      <c r="X674" s="3" t="n">
        <f aca="false">IFERROR(INDEX('Scoring Model'!$B$5:$B$11,MATCH(C674,'Scoring Model'!$A$5:$A$11,0)),0)</f>
        <v>10</v>
      </c>
      <c r="Y674" s="3" t="n">
        <f aca="false">IFERROR(INDEX('Scoring Model'!$E$5:$E$7,MATCH(F674,'Scoring Model'!$D$5:$D$7,0)),0)</f>
        <v>0</v>
      </c>
      <c r="Z674" s="3" t="n">
        <f aca="false">IFERROR(INDEX('Scoring Model'!$H$5:$H$13,MATCH(J674,'Scoring Model'!$G$5:$G$13,0)),0)</f>
        <v>15</v>
      </c>
      <c r="AA674" s="3" t="n">
        <f aca="false">IF(L674&gt;='Scoring Model'!$B$14,'Scoring Model'!$B$15,IF(L674&gt;='Scoring Model'!$B$16,'Scoring Model'!$B$17,0))</f>
        <v>0</v>
      </c>
      <c r="AB674" s="3" t="n">
        <f aca="false">IF(SUMPRODUCT(--ISNUMBER(SEARCH('Scoring Model'!$D$16:$D$25,K674)))&gt;0,'Scoring Model'!$B$18,0)</f>
        <v>0</v>
      </c>
      <c r="AC674" s="3" t="n">
        <f aca="false">IF(SUMPRODUCT(--ISNUMBER(SEARCH('Scoring Model'!$G$16:$G$23,K674)))&gt;0,'Scoring Model'!$B$19,0)</f>
        <v>0</v>
      </c>
      <c r="AD674" s="3" t="str">
        <f aca="false">IF(W674="Likely Spam","",SUM(X674:AC674))</f>
        <v/>
      </c>
      <c r="AE674" s="3" t="str">
        <f aca="false">IF(W674="Likely Spam","Spam",IF(AD674&gt;='Scoring Model'!$B$21,"Hot",IF(AD674&gt;='Scoring Model'!$B$22,"Warm","Nurture")))</f>
        <v>Spam</v>
      </c>
      <c r="AF674" s="3" t="str">
        <f aca="false">IF(W674="Likely Spam","Flagged by spam rules",TRIM(IF(X674&gt;=20,"Strong source. ","")&amp;IF(Y674&gt;0,"Company email. ","")&amp;IF(Z674&gt;=15,"High-value product. ","")&amp;IF(AA674&gt;='Scoring Model'!$B$15,"High engagement. ","")&amp;IF(AB674&gt;0,"Buying intent in message. ","")&amp;IF(AC674&lt;0,"Negative intent in message. ","")))</f>
        <v>Flagged by spam rules</v>
      </c>
      <c r="AG674" s="11" t="str">
        <f aca="false">IF(W674="Likely Spam","",1/(1+EXP(-('Conversion Model'!$B$5+IFERROR(INDEX('Conversion Model'!$B$8:$B$14,MATCH(C674,'Conversion Model'!$A$8:$A$14,0)),0)+IFERROR(INDEX('Conversion Model'!$E$8:$E$9,MATCH(F674,'Conversion Model'!$D$8:$D$9,0)),0)+IFERROR(INDEX('Conversion Model'!$H$8:$H$12,MATCH(IF(LEFT(J674,8)="Payments","Payments",IF(LEFT(J674,7)="Lending","Lending",J674)),'Conversion Model'!$G$8:$G$12,0)),0)+MIN(L674,15)*'Conversion Model'!$B$17+IF(SUMPRODUCT(--ISNUMBER(SEARCH('Scoring Model'!$D$16:$D$25,K674)))&gt;0,'Conversion Model'!$B$18,0)+IF(SUMPRODUCT(--ISNUMBER(SEARCH('Scoring Model'!$G$16:$G$23,K674)))&gt;0,'Conversion Model'!$B$19,0)))))</f>
        <v/>
      </c>
      <c r="AH674" s="3" t="str">
        <f aca="false">IF(OR(O674="Qualified",O674="Won",O674="Lost"),1,IF(O674="Unqualified",0,""))</f>
        <v/>
      </c>
    </row>
    <row r="675" customFormat="false" ht="15" hidden="false" customHeight="true" outlineLevel="0" collapsed="false">
      <c r="A675" s="3" t="s">
        <v>2273</v>
      </c>
      <c r="B675" s="9" t="n">
        <v>46238.7680555556</v>
      </c>
      <c r="C675" s="3" t="s">
        <v>51</v>
      </c>
      <c r="D675" s="3" t="s">
        <v>975</v>
      </c>
      <c r="E675" s="3" t="s">
        <v>387</v>
      </c>
      <c r="F675" s="3" t="s">
        <v>54</v>
      </c>
      <c r="G675" s="3"/>
      <c r="H675" s="3"/>
      <c r="I675" s="3" t="s">
        <v>107</v>
      </c>
      <c r="J675" s="3" t="s">
        <v>65</v>
      </c>
      <c r="K675" s="3" t="s">
        <v>126</v>
      </c>
      <c r="L675" s="3" t="n">
        <v>1</v>
      </c>
      <c r="M675" s="3" t="n">
        <v>13.5</v>
      </c>
      <c r="N675" s="3" t="s">
        <v>96</v>
      </c>
      <c r="O675" s="3" t="s">
        <v>68</v>
      </c>
      <c r="P675" s="10"/>
      <c r="Q675" s="3" t="n">
        <f aca="false">IF(F675="Disposable",1,0)</f>
        <v>0</v>
      </c>
      <c r="R675" s="3" t="n">
        <f aca="false">IF(SUMPRODUCT(--ISNUMBER(SEARCH('Spam Rules'!$A$22:$A$35,K675)))&gt;0,1,0)</f>
        <v>0</v>
      </c>
      <c r="S675" s="3" t="n">
        <f aca="false">IF(AND(F675="Free",G675=""),1,0)</f>
        <v>1</v>
      </c>
      <c r="T675" s="3" t="n">
        <f aca="false">IF(LEN(TRIM(K675))&lt;15,1,0)</f>
        <v>1</v>
      </c>
      <c r="U675" s="3" t="n">
        <f aca="false">IF(COUNTIF($E$2:$E$801,E675)&gt;1,1,0)</f>
        <v>1</v>
      </c>
      <c r="V675" s="3" t="n">
        <f aca="false">Q675*'Spam Rules'!$H$6+R675*'Spam Rules'!$H$7+S675*'Spam Rules'!$H$8+T675*'Spam Rules'!$H$9+U675*'Spam Rules'!$H$10</f>
        <v>1</v>
      </c>
      <c r="W675" s="3" t="str">
        <f aca="false">IF(V675&gt;='Spam Rules'!$B$3,"Likely Spam","Genuine")</f>
        <v>Likely Spam</v>
      </c>
      <c r="X675" s="3" t="n">
        <f aca="false">IFERROR(INDEX('Scoring Model'!$B$5:$B$11,MATCH(C675,'Scoring Model'!$A$5:$A$11,0)),0)</f>
        <v>10</v>
      </c>
      <c r="Y675" s="3" t="n">
        <f aca="false">IFERROR(INDEX('Scoring Model'!$E$5:$E$7,MATCH(F675,'Scoring Model'!$D$5:$D$7,0)),0)</f>
        <v>0</v>
      </c>
      <c r="Z675" s="3" t="n">
        <f aca="false">IFERROR(INDEX('Scoring Model'!$H$5:$H$13,MATCH(J675,'Scoring Model'!$G$5:$G$13,0)),0)</f>
        <v>0</v>
      </c>
      <c r="AA675" s="3" t="n">
        <f aca="false">IF(L675&gt;='Scoring Model'!$B$14,'Scoring Model'!$B$15,IF(L675&gt;='Scoring Model'!$B$16,'Scoring Model'!$B$17,0))</f>
        <v>0</v>
      </c>
      <c r="AB675" s="3" t="n">
        <f aca="false">IF(SUMPRODUCT(--ISNUMBER(SEARCH('Scoring Model'!$D$16:$D$25,K675)))&gt;0,'Scoring Model'!$B$18,0)</f>
        <v>0</v>
      </c>
      <c r="AC675" s="3" t="n">
        <f aca="false">IF(SUMPRODUCT(--ISNUMBER(SEARCH('Scoring Model'!$G$16:$G$23,K675)))&gt;0,'Scoring Model'!$B$19,0)</f>
        <v>0</v>
      </c>
      <c r="AD675" s="3" t="str">
        <f aca="false">IF(W675="Likely Spam","",SUM(X675:AC675))</f>
        <v/>
      </c>
      <c r="AE675" s="3" t="str">
        <f aca="false">IF(W675="Likely Spam","Spam",IF(AD675&gt;='Scoring Model'!$B$21,"Hot",IF(AD675&gt;='Scoring Model'!$B$22,"Warm","Nurture")))</f>
        <v>Spam</v>
      </c>
      <c r="AF675" s="3" t="str">
        <f aca="false">IF(W675="Likely Spam","Flagged by spam rules",TRIM(IF(X675&gt;=20,"Strong source. ","")&amp;IF(Y675&gt;0,"Company email. ","")&amp;IF(Z675&gt;=15,"High-value product. ","")&amp;IF(AA675&gt;='Scoring Model'!$B$15,"High engagement. ","")&amp;IF(AB675&gt;0,"Buying intent in message. ","")&amp;IF(AC675&lt;0,"Negative intent in message. ","")))</f>
        <v>Flagged by spam rules</v>
      </c>
      <c r="AG675" s="11" t="str">
        <f aca="false">IF(W675="Likely Spam","",1/(1+EXP(-('Conversion Model'!$B$5+IFERROR(INDEX('Conversion Model'!$B$8:$B$14,MATCH(C675,'Conversion Model'!$A$8:$A$14,0)),0)+IFERROR(INDEX('Conversion Model'!$E$8:$E$9,MATCH(F675,'Conversion Model'!$D$8:$D$9,0)),0)+IFERROR(INDEX('Conversion Model'!$H$8:$H$12,MATCH(IF(LEFT(J675,8)="Payments","Payments",IF(LEFT(J675,7)="Lending","Lending",J675)),'Conversion Model'!$G$8:$G$12,0)),0)+MIN(L675,15)*'Conversion Model'!$B$17+IF(SUMPRODUCT(--ISNUMBER(SEARCH('Scoring Model'!$D$16:$D$25,K675)))&gt;0,'Conversion Model'!$B$18,0)+IF(SUMPRODUCT(--ISNUMBER(SEARCH('Scoring Model'!$G$16:$G$23,K675)))&gt;0,'Conversion Model'!$B$19,0)))))</f>
        <v/>
      </c>
      <c r="AH675" s="3" t="str">
        <f aca="false">IF(OR(O675="Qualified",O675="Won",O675="Lost"),1,IF(O675="Unqualified",0,""))</f>
        <v/>
      </c>
    </row>
    <row r="676" customFormat="false" ht="15" hidden="false" customHeight="true" outlineLevel="0" collapsed="false">
      <c r="A676" s="3" t="s">
        <v>2274</v>
      </c>
      <c r="B676" s="9" t="n">
        <v>46239.1090277778</v>
      </c>
      <c r="C676" s="3" t="s">
        <v>91</v>
      </c>
      <c r="D676" s="3" t="s">
        <v>2275</v>
      </c>
      <c r="E676" s="3" t="s">
        <v>2276</v>
      </c>
      <c r="F676" s="3" t="s">
        <v>22</v>
      </c>
      <c r="G676" s="3" t="s">
        <v>2241</v>
      </c>
      <c r="H676" s="3" t="s">
        <v>2277</v>
      </c>
      <c r="I676" s="3" t="s">
        <v>188</v>
      </c>
      <c r="J676" s="3" t="s">
        <v>245</v>
      </c>
      <c r="K676" s="3" t="s">
        <v>303</v>
      </c>
      <c r="L676" s="3" t="n">
        <v>4</v>
      </c>
      <c r="M676" s="3" t="n">
        <v>19.5</v>
      </c>
      <c r="N676" s="3" t="s">
        <v>171</v>
      </c>
      <c r="O676" s="3" t="s">
        <v>147</v>
      </c>
      <c r="P676" s="10" t="n">
        <v>24000</v>
      </c>
      <c r="Q676" s="3" t="n">
        <f aca="false">IF(F676="Disposable",1,0)</f>
        <v>0</v>
      </c>
      <c r="R676" s="3" t="n">
        <f aca="false">IF(SUMPRODUCT(--ISNUMBER(SEARCH('Spam Rules'!$A$22:$A$35,K676)))&gt;0,1,0)</f>
        <v>0</v>
      </c>
      <c r="S676" s="3" t="n">
        <f aca="false">IF(AND(F676="Free",G676=""),1,0)</f>
        <v>0</v>
      </c>
      <c r="T676" s="3" t="n">
        <f aca="false">IF(LEN(TRIM(K676))&lt;15,1,0)</f>
        <v>0</v>
      </c>
      <c r="U676" s="3" t="n">
        <f aca="false">IF(COUNTIF($E$2:$E$801,E676)&gt;1,1,0)</f>
        <v>0</v>
      </c>
      <c r="V676" s="3" t="n">
        <f aca="false">Q676*'Spam Rules'!$H$6+R676*'Spam Rules'!$H$7+S676*'Spam Rules'!$H$8+T676*'Spam Rules'!$H$9+U676*'Spam Rules'!$H$10</f>
        <v>0</v>
      </c>
      <c r="W676" s="3" t="str">
        <f aca="false">IF(V676&gt;='Spam Rules'!$B$3,"Likely Spam","Genuine")</f>
        <v>Genuine</v>
      </c>
      <c r="X676" s="3" t="n">
        <f aca="false">IFERROR(INDEX('Scoring Model'!$B$5:$B$11,MATCH(C676,'Scoring Model'!$A$5:$A$11,0)),0)</f>
        <v>5</v>
      </c>
      <c r="Y676" s="3" t="n">
        <f aca="false">IFERROR(INDEX('Scoring Model'!$E$5:$E$7,MATCH(F676,'Scoring Model'!$D$5:$D$7,0)),0)</f>
        <v>20</v>
      </c>
      <c r="Z676" s="3" t="n">
        <f aca="false">IFERROR(INDEX('Scoring Model'!$H$5:$H$13,MATCH(J676,'Scoring Model'!$G$5:$G$13,0)),0)</f>
        <v>15</v>
      </c>
      <c r="AA676" s="3" t="n">
        <f aca="false">IF(L676&gt;='Scoring Model'!$B$14,'Scoring Model'!$B$15,IF(L676&gt;='Scoring Model'!$B$16,'Scoring Model'!$B$17,0))</f>
        <v>8</v>
      </c>
      <c r="AB676" s="3" t="n">
        <f aca="false">IF(SUMPRODUCT(--ISNUMBER(SEARCH('Scoring Model'!$D$16:$D$25,K676)))&gt;0,'Scoring Model'!$B$18,0)</f>
        <v>15</v>
      </c>
      <c r="AC676" s="3" t="n">
        <f aca="false">IF(SUMPRODUCT(--ISNUMBER(SEARCH('Scoring Model'!$G$16:$G$23,K676)))&gt;0,'Scoring Model'!$B$19,0)</f>
        <v>0</v>
      </c>
      <c r="AD676" s="3" t="n">
        <f aca="false">IF(W676="Likely Spam","",SUM(X676:AC676))</f>
        <v>63</v>
      </c>
      <c r="AE676" s="3" t="str">
        <f aca="false">IF(W676="Likely Spam","Spam",IF(AD676&gt;='Scoring Model'!$B$21,"Hot",IF(AD676&gt;='Scoring Model'!$B$22,"Warm","Nurture")))</f>
        <v>Warm</v>
      </c>
      <c r="AF676" s="3" t="str">
        <f aca="false">IF(W676="Likely Spam","Flagged by spam rules",TRIM(IF(X676&gt;=20,"Strong source. ","")&amp;IF(Y676&gt;0,"Company email. ","")&amp;IF(Z676&gt;=15,"High-value product. ","")&amp;IF(AA676&gt;='Scoring Model'!$B$15,"High engagement. ","")&amp;IF(AB676&gt;0,"Buying intent in message. ","")&amp;IF(AC676&lt;0,"Negative intent in message. ","")))</f>
        <v>Company email. High-value product. Buying intent in message.</v>
      </c>
      <c r="AG676" s="11" t="n">
        <f aca="false">IF(W676="Likely Spam","",1/(1+EXP(-('Conversion Model'!$B$5+IFERROR(INDEX('Conversion Model'!$B$8:$B$14,MATCH(C676,'Conversion Model'!$A$8:$A$14,0)),0)+IFERROR(INDEX('Conversion Model'!$E$8:$E$9,MATCH(F676,'Conversion Model'!$D$8:$D$9,0)),0)+IFERROR(INDEX('Conversion Model'!$H$8:$H$12,MATCH(IF(LEFT(J676,8)="Payments","Payments",IF(LEFT(J676,7)="Lending","Lending",J676)),'Conversion Model'!$G$8:$G$12,0)),0)+MIN(L676,15)*'Conversion Model'!$B$17+IF(SUMPRODUCT(--ISNUMBER(SEARCH('Scoring Model'!$D$16:$D$25,K676)))&gt;0,'Conversion Model'!$B$18,0)+IF(SUMPRODUCT(--ISNUMBER(SEARCH('Scoring Model'!$G$16:$G$23,K676)))&gt;0,'Conversion Model'!$B$19,0)))))</f>
        <v>0.647027808945908</v>
      </c>
      <c r="AH676" s="3" t="n">
        <f aca="false">IF(OR(O676="Qualified",O676="Won",O676="Lost"),1,IF(O676="Unqualified",0,""))</f>
        <v>1</v>
      </c>
    </row>
    <row r="677" customFormat="false" ht="15" hidden="false" customHeight="true" outlineLevel="0" collapsed="false">
      <c r="A677" s="3" t="s">
        <v>2278</v>
      </c>
      <c r="B677" s="9" t="n">
        <v>46239.25625</v>
      </c>
      <c r="C677" s="3" t="s">
        <v>135</v>
      </c>
      <c r="D677" s="3" t="s">
        <v>1304</v>
      </c>
      <c r="E677" s="3" t="s">
        <v>2279</v>
      </c>
      <c r="F677" s="3" t="s">
        <v>22</v>
      </c>
      <c r="G677" s="3" t="s">
        <v>1267</v>
      </c>
      <c r="H677" s="3" t="s">
        <v>1268</v>
      </c>
      <c r="I677" s="3" t="s">
        <v>73</v>
      </c>
      <c r="J677" s="3" t="s">
        <v>145</v>
      </c>
      <c r="K677" s="3" t="s">
        <v>378</v>
      </c>
      <c r="L677" s="3" t="n">
        <v>1</v>
      </c>
      <c r="M677" s="3" t="n">
        <v>65.3</v>
      </c>
      <c r="N677" s="3" t="s">
        <v>59</v>
      </c>
      <c r="O677" s="3" t="s">
        <v>194</v>
      </c>
      <c r="P677" s="10"/>
      <c r="Q677" s="3" t="n">
        <f aca="false">IF(F677="Disposable",1,0)</f>
        <v>0</v>
      </c>
      <c r="R677" s="3" t="n">
        <f aca="false">IF(SUMPRODUCT(--ISNUMBER(SEARCH('Spam Rules'!$A$22:$A$35,K677)))&gt;0,1,0)</f>
        <v>0</v>
      </c>
      <c r="S677" s="3" t="n">
        <f aca="false">IF(AND(F677="Free",G677=""),1,0)</f>
        <v>0</v>
      </c>
      <c r="T677" s="3" t="n">
        <f aca="false">IF(LEN(TRIM(K677))&lt;15,1,0)</f>
        <v>0</v>
      </c>
      <c r="U677" s="3" t="n">
        <f aca="false">IF(COUNTIF($E$2:$E$801,E677)&gt;1,1,0)</f>
        <v>0</v>
      </c>
      <c r="V677" s="3" t="n">
        <f aca="false">Q677*'Spam Rules'!$H$6+R677*'Spam Rules'!$H$7+S677*'Spam Rules'!$H$8+T677*'Spam Rules'!$H$9+U677*'Spam Rules'!$H$10</f>
        <v>0</v>
      </c>
      <c r="W677" s="3" t="str">
        <f aca="false">IF(V677&gt;='Spam Rules'!$B$3,"Likely Spam","Genuine")</f>
        <v>Genuine</v>
      </c>
      <c r="X677" s="3" t="n">
        <f aca="false">IFERROR(INDEX('Scoring Model'!$B$5:$B$11,MATCH(C677,'Scoring Model'!$A$5:$A$11,0)),0)</f>
        <v>20</v>
      </c>
      <c r="Y677" s="3" t="n">
        <f aca="false">IFERROR(INDEX('Scoring Model'!$E$5:$E$7,MATCH(F677,'Scoring Model'!$D$5:$D$7,0)),0)</f>
        <v>20</v>
      </c>
      <c r="Z677" s="3" t="n">
        <f aca="false">IFERROR(INDEX('Scoring Model'!$H$5:$H$13,MATCH(J677,'Scoring Model'!$G$5:$G$13,0)),0)</f>
        <v>5</v>
      </c>
      <c r="AA677" s="3" t="n">
        <f aca="false">IF(L677&gt;='Scoring Model'!$B$14,'Scoring Model'!$B$15,IF(L677&gt;='Scoring Model'!$B$16,'Scoring Model'!$B$17,0))</f>
        <v>0</v>
      </c>
      <c r="AB677" s="3" t="n">
        <f aca="false">IF(SUMPRODUCT(--ISNUMBER(SEARCH('Scoring Model'!$D$16:$D$25,K677)))&gt;0,'Scoring Model'!$B$18,0)</f>
        <v>0</v>
      </c>
      <c r="AC677" s="3" t="n">
        <f aca="false">IF(SUMPRODUCT(--ISNUMBER(SEARCH('Scoring Model'!$G$16:$G$23,K677)))&gt;0,'Scoring Model'!$B$19,0)</f>
        <v>-30</v>
      </c>
      <c r="AD677" s="3" t="n">
        <f aca="false">IF(W677="Likely Spam","",SUM(X677:AC677))</f>
        <v>15</v>
      </c>
      <c r="AE677" s="3" t="str">
        <f aca="false">IF(W677="Likely Spam","Spam",IF(AD677&gt;='Scoring Model'!$B$21,"Hot",IF(AD677&gt;='Scoring Model'!$B$22,"Warm","Nurture")))</f>
        <v>Nurture</v>
      </c>
      <c r="AF677" s="3" t="str">
        <f aca="false">IF(W677="Likely Spam","Flagged by spam rules",TRIM(IF(X677&gt;=20,"Strong source. ","")&amp;IF(Y677&gt;0,"Company email. ","")&amp;IF(Z677&gt;=15,"High-value product. ","")&amp;IF(AA677&gt;='Scoring Model'!$B$15,"High engagement. ","")&amp;IF(AB677&gt;0,"Buying intent in message. ","")&amp;IF(AC677&lt;0,"Negative intent in message. ","")))</f>
        <v>Strong source. Company email. Negative intent in message.</v>
      </c>
      <c r="AG677" s="11" t="n">
        <f aca="false">IF(W677="Likely Spam","",1/(1+EXP(-('Conversion Model'!$B$5+IFERROR(INDEX('Conversion Model'!$B$8:$B$14,MATCH(C677,'Conversion Model'!$A$8:$A$14,0)),0)+IFERROR(INDEX('Conversion Model'!$E$8:$E$9,MATCH(F677,'Conversion Model'!$D$8:$D$9,0)),0)+IFERROR(INDEX('Conversion Model'!$H$8:$H$12,MATCH(IF(LEFT(J677,8)="Payments","Payments",IF(LEFT(J677,7)="Lending","Lending",J677)),'Conversion Model'!$G$8:$G$12,0)),0)+MIN(L677,15)*'Conversion Model'!$B$17+IF(SUMPRODUCT(--ISNUMBER(SEARCH('Scoring Model'!$D$16:$D$25,K677)))&gt;0,'Conversion Model'!$B$18,0)+IF(SUMPRODUCT(--ISNUMBER(SEARCH('Scoring Model'!$G$16:$G$23,K677)))&gt;0,'Conversion Model'!$B$19,0)))))</f>
        <v>0.00744307718801781</v>
      </c>
      <c r="AH677" s="3" t="n">
        <f aca="false">IF(OR(O677="Qualified",O677="Won",O677="Lost"),1,IF(O677="Unqualified",0,""))</f>
        <v>0</v>
      </c>
    </row>
    <row r="678" customFormat="false" ht="15" hidden="false" customHeight="true" outlineLevel="0" collapsed="false">
      <c r="A678" s="3" t="s">
        <v>2280</v>
      </c>
      <c r="B678" s="9" t="n">
        <v>46239.5979166667</v>
      </c>
      <c r="C678" s="3" t="s">
        <v>51</v>
      </c>
      <c r="D678" s="3" t="s">
        <v>2038</v>
      </c>
      <c r="E678" s="3" t="s">
        <v>2281</v>
      </c>
      <c r="F678" s="3" t="s">
        <v>22</v>
      </c>
      <c r="G678" s="3" t="s">
        <v>1212</v>
      </c>
      <c r="H678" s="3" t="s">
        <v>1213</v>
      </c>
      <c r="I678" s="3" t="s">
        <v>56</v>
      </c>
      <c r="J678" s="3" t="s">
        <v>245</v>
      </c>
      <c r="K678" s="3" t="s">
        <v>189</v>
      </c>
      <c r="L678" s="3" t="n">
        <v>12</v>
      </c>
      <c r="M678" s="3" t="n">
        <v>17.8</v>
      </c>
      <c r="N678" s="3" t="s">
        <v>171</v>
      </c>
      <c r="O678" s="3" t="s">
        <v>331</v>
      </c>
      <c r="P678" s="10"/>
      <c r="Q678" s="3" t="n">
        <f aca="false">IF(F678="Disposable",1,0)</f>
        <v>0</v>
      </c>
      <c r="R678" s="3" t="n">
        <f aca="false">IF(SUMPRODUCT(--ISNUMBER(SEARCH('Spam Rules'!$A$22:$A$35,K678)))&gt;0,1,0)</f>
        <v>0</v>
      </c>
      <c r="S678" s="3" t="n">
        <f aca="false">IF(AND(F678="Free",G678=""),1,0)</f>
        <v>0</v>
      </c>
      <c r="T678" s="3" t="n">
        <f aca="false">IF(LEN(TRIM(K678))&lt;15,1,0)</f>
        <v>0</v>
      </c>
      <c r="U678" s="3" t="n">
        <f aca="false">IF(COUNTIF($E$2:$E$801,E678)&gt;1,1,0)</f>
        <v>0</v>
      </c>
      <c r="V678" s="3" t="n">
        <f aca="false">Q678*'Spam Rules'!$H$6+R678*'Spam Rules'!$H$7+S678*'Spam Rules'!$H$8+T678*'Spam Rules'!$H$9+U678*'Spam Rules'!$H$10</f>
        <v>0</v>
      </c>
      <c r="W678" s="3" t="str">
        <f aca="false">IF(V678&gt;='Spam Rules'!$B$3,"Likely Spam","Genuine")</f>
        <v>Genuine</v>
      </c>
      <c r="X678" s="3" t="n">
        <f aca="false">IFERROR(INDEX('Scoring Model'!$B$5:$B$11,MATCH(C678,'Scoring Model'!$A$5:$A$11,0)),0)</f>
        <v>10</v>
      </c>
      <c r="Y678" s="3" t="n">
        <f aca="false">IFERROR(INDEX('Scoring Model'!$E$5:$E$7,MATCH(F678,'Scoring Model'!$D$5:$D$7,0)),0)</f>
        <v>20</v>
      </c>
      <c r="Z678" s="3" t="n">
        <f aca="false">IFERROR(INDEX('Scoring Model'!$H$5:$H$13,MATCH(J678,'Scoring Model'!$G$5:$G$13,0)),0)</f>
        <v>15</v>
      </c>
      <c r="AA678" s="3" t="n">
        <f aca="false">IF(L678&gt;='Scoring Model'!$B$14,'Scoring Model'!$B$15,IF(L678&gt;='Scoring Model'!$B$16,'Scoring Model'!$B$17,0))</f>
        <v>15</v>
      </c>
      <c r="AB678" s="3" t="n">
        <f aca="false">IF(SUMPRODUCT(--ISNUMBER(SEARCH('Scoring Model'!$D$16:$D$25,K678)))&gt;0,'Scoring Model'!$B$18,0)</f>
        <v>15</v>
      </c>
      <c r="AC678" s="3" t="n">
        <f aca="false">IF(SUMPRODUCT(--ISNUMBER(SEARCH('Scoring Model'!$G$16:$G$23,K678)))&gt;0,'Scoring Model'!$B$19,0)</f>
        <v>0</v>
      </c>
      <c r="AD678" s="3" t="n">
        <f aca="false">IF(W678="Likely Spam","",SUM(X678:AC678))</f>
        <v>75</v>
      </c>
      <c r="AE678" s="3" t="str">
        <f aca="false">IF(W678="Likely Spam","Spam",IF(AD678&gt;='Scoring Model'!$B$21,"Hot",IF(AD678&gt;='Scoring Model'!$B$22,"Warm","Nurture")))</f>
        <v>Hot</v>
      </c>
      <c r="AF678" s="3" t="str">
        <f aca="false">IF(W678="Likely Spam","Flagged by spam rules",TRIM(IF(X678&gt;=20,"Strong source. ","")&amp;IF(Y678&gt;0,"Company email. ","")&amp;IF(Z678&gt;=15,"High-value product. ","")&amp;IF(AA678&gt;='Scoring Model'!$B$15,"High engagement. ","")&amp;IF(AB678&gt;0,"Buying intent in message. ","")&amp;IF(AC678&lt;0,"Negative intent in message. ","")))</f>
        <v>Company email. High-value product. High engagement. Buying intent in message.</v>
      </c>
      <c r="AG678" s="11" t="n">
        <f aca="false">IF(W678="Likely Spam","",1/(1+EXP(-('Conversion Model'!$B$5+IFERROR(INDEX('Conversion Model'!$B$8:$B$14,MATCH(C678,'Conversion Model'!$A$8:$A$14,0)),0)+IFERROR(INDEX('Conversion Model'!$E$8:$E$9,MATCH(F678,'Conversion Model'!$D$8:$D$9,0)),0)+IFERROR(INDEX('Conversion Model'!$H$8:$H$12,MATCH(IF(LEFT(J678,8)="Payments","Payments",IF(LEFT(J678,7)="Lending","Lending",J678)),'Conversion Model'!$G$8:$G$12,0)),0)+MIN(L678,15)*'Conversion Model'!$B$17+IF(SUMPRODUCT(--ISNUMBER(SEARCH('Scoring Model'!$D$16:$D$25,K678)))&gt;0,'Conversion Model'!$B$18,0)+IF(SUMPRODUCT(--ISNUMBER(SEARCH('Scoring Model'!$G$16:$G$23,K678)))&gt;0,'Conversion Model'!$B$19,0)))))</f>
        <v>0.999347469543643</v>
      </c>
      <c r="AH678" s="3" t="n">
        <f aca="false">IF(OR(O678="Qualified",O678="Won",O678="Lost"),1,IF(O678="Unqualified",0,""))</f>
        <v>1</v>
      </c>
    </row>
    <row r="679" customFormat="false" ht="15" hidden="false" customHeight="true" outlineLevel="0" collapsed="false">
      <c r="A679" s="3" t="s">
        <v>2282</v>
      </c>
      <c r="B679" s="9" t="n">
        <v>46242.5236111111</v>
      </c>
      <c r="C679" s="3" t="s">
        <v>128</v>
      </c>
      <c r="D679" s="3" t="s">
        <v>2044</v>
      </c>
      <c r="E679" s="3" t="s">
        <v>2283</v>
      </c>
      <c r="F679" s="3" t="s">
        <v>22</v>
      </c>
      <c r="G679" s="3" t="s">
        <v>1894</v>
      </c>
      <c r="H679" s="3" t="s">
        <v>1895</v>
      </c>
      <c r="I679" s="3" t="s">
        <v>107</v>
      </c>
      <c r="J679" s="3" t="s">
        <v>122</v>
      </c>
      <c r="K679" s="3" t="s">
        <v>345</v>
      </c>
      <c r="L679" s="3" t="n">
        <v>7</v>
      </c>
      <c r="M679" s="3" t="n">
        <v>5.9</v>
      </c>
      <c r="N679" s="3" t="s">
        <v>96</v>
      </c>
      <c r="O679" s="3" t="s">
        <v>147</v>
      </c>
      <c r="P679" s="10" t="n">
        <v>24000</v>
      </c>
      <c r="Q679" s="3" t="n">
        <f aca="false">IF(F679="Disposable",1,0)</f>
        <v>0</v>
      </c>
      <c r="R679" s="3" t="n">
        <f aca="false">IF(SUMPRODUCT(--ISNUMBER(SEARCH('Spam Rules'!$A$22:$A$35,K679)))&gt;0,1,0)</f>
        <v>0</v>
      </c>
      <c r="S679" s="3" t="n">
        <f aca="false">IF(AND(F679="Free",G679=""),1,0)</f>
        <v>0</v>
      </c>
      <c r="T679" s="3" t="n">
        <f aca="false">IF(LEN(TRIM(K679))&lt;15,1,0)</f>
        <v>0</v>
      </c>
      <c r="U679" s="3" t="n">
        <f aca="false">IF(COUNTIF($E$2:$E$801,E679)&gt;1,1,0)</f>
        <v>0</v>
      </c>
      <c r="V679" s="3" t="n">
        <f aca="false">Q679*'Spam Rules'!$H$6+R679*'Spam Rules'!$H$7+S679*'Spam Rules'!$H$8+T679*'Spam Rules'!$H$9+U679*'Spam Rules'!$H$10</f>
        <v>0</v>
      </c>
      <c r="W679" s="3" t="str">
        <f aca="false">IF(V679&gt;='Spam Rules'!$B$3,"Likely Spam","Genuine")</f>
        <v>Genuine</v>
      </c>
      <c r="X679" s="3" t="n">
        <f aca="false">IFERROR(INDEX('Scoring Model'!$B$5:$B$11,MATCH(C679,'Scoring Model'!$A$5:$A$11,0)),0)</f>
        <v>30</v>
      </c>
      <c r="Y679" s="3" t="n">
        <f aca="false">IFERROR(INDEX('Scoring Model'!$E$5:$E$7,MATCH(F679,'Scoring Model'!$D$5:$D$7,0)),0)</f>
        <v>20</v>
      </c>
      <c r="Z679" s="3" t="n">
        <f aca="false">IFERROR(INDEX('Scoring Model'!$H$5:$H$13,MATCH(J679,'Scoring Model'!$G$5:$G$13,0)),0)</f>
        <v>15</v>
      </c>
      <c r="AA679" s="3" t="n">
        <f aca="false">IF(L679&gt;='Scoring Model'!$B$14,'Scoring Model'!$B$15,IF(L679&gt;='Scoring Model'!$B$16,'Scoring Model'!$B$17,0))</f>
        <v>8</v>
      </c>
      <c r="AB679" s="3" t="n">
        <f aca="false">IF(SUMPRODUCT(--ISNUMBER(SEARCH('Scoring Model'!$D$16:$D$25,K679)))&gt;0,'Scoring Model'!$B$18,0)</f>
        <v>15</v>
      </c>
      <c r="AC679" s="3" t="n">
        <f aca="false">IF(SUMPRODUCT(--ISNUMBER(SEARCH('Scoring Model'!$G$16:$G$23,K679)))&gt;0,'Scoring Model'!$B$19,0)</f>
        <v>0</v>
      </c>
      <c r="AD679" s="3" t="n">
        <f aca="false">IF(W679="Likely Spam","",SUM(X679:AC679))</f>
        <v>88</v>
      </c>
      <c r="AE679" s="3" t="str">
        <f aca="false">IF(W679="Likely Spam","Spam",IF(AD679&gt;='Scoring Model'!$B$21,"Hot",IF(AD679&gt;='Scoring Model'!$B$22,"Warm","Nurture")))</f>
        <v>Hot</v>
      </c>
      <c r="AF679" s="3" t="str">
        <f aca="false">IF(W679="Likely Spam","Flagged by spam rules",TRIM(IF(X679&gt;=20,"Strong source. ","")&amp;IF(Y679&gt;0,"Company email. ","")&amp;IF(Z679&gt;=15,"High-value product. ","")&amp;IF(AA679&gt;='Scoring Model'!$B$15,"High engagement. ","")&amp;IF(AB679&gt;0,"Buying intent in message. ","")&amp;IF(AC679&lt;0,"Negative intent in message. ","")))</f>
        <v>Strong source. Company email. High-value product. Buying intent in message.</v>
      </c>
      <c r="AG679" s="11" t="n">
        <f aca="false">IF(W679="Likely Spam","",1/(1+EXP(-('Conversion Model'!$B$5+IFERROR(INDEX('Conversion Model'!$B$8:$B$14,MATCH(C679,'Conversion Model'!$A$8:$A$14,0)),0)+IFERROR(INDEX('Conversion Model'!$E$8:$E$9,MATCH(F679,'Conversion Model'!$D$8:$D$9,0)),0)+IFERROR(INDEX('Conversion Model'!$H$8:$H$12,MATCH(IF(LEFT(J679,8)="Payments","Payments",IF(LEFT(J679,7)="Lending","Lending",J679)),'Conversion Model'!$G$8:$G$12,0)),0)+MIN(L679,15)*'Conversion Model'!$B$17+IF(SUMPRODUCT(--ISNUMBER(SEARCH('Scoring Model'!$D$16:$D$25,K679)))&gt;0,'Conversion Model'!$B$18,0)+IF(SUMPRODUCT(--ISNUMBER(SEARCH('Scoring Model'!$G$16:$G$23,K679)))&gt;0,'Conversion Model'!$B$19,0)))))</f>
        <v>0.973011892536502</v>
      </c>
      <c r="AH679" s="3" t="n">
        <f aca="false">IF(OR(O679="Qualified",O679="Won",O679="Lost"),1,IF(O679="Unqualified",0,""))</f>
        <v>1</v>
      </c>
    </row>
    <row r="680" customFormat="false" ht="15" hidden="false" customHeight="true" outlineLevel="0" collapsed="false">
      <c r="A680" s="3" t="s">
        <v>2284</v>
      </c>
      <c r="B680" s="9" t="n">
        <v>46242.6368055556</v>
      </c>
      <c r="C680" s="3" t="s">
        <v>51</v>
      </c>
      <c r="D680" s="3" t="s">
        <v>1563</v>
      </c>
      <c r="E680" s="3" t="s">
        <v>2285</v>
      </c>
      <c r="F680" s="3" t="s">
        <v>22</v>
      </c>
      <c r="G680" s="3" t="s">
        <v>917</v>
      </c>
      <c r="H680" s="3" t="s">
        <v>1099</v>
      </c>
      <c r="I680" s="3" t="s">
        <v>188</v>
      </c>
      <c r="J680" s="3" t="s">
        <v>145</v>
      </c>
      <c r="K680" s="3" t="s">
        <v>2286</v>
      </c>
      <c r="L680" s="3" t="n">
        <v>1</v>
      </c>
      <c r="M680" s="3" t="n">
        <v>43.8</v>
      </c>
      <c r="N680" s="3" t="s">
        <v>67</v>
      </c>
      <c r="O680" s="3" t="s">
        <v>133</v>
      </c>
      <c r="P680" s="10"/>
      <c r="Q680" s="3" t="n">
        <f aca="false">IF(F680="Disposable",1,0)</f>
        <v>0</v>
      </c>
      <c r="R680" s="3" t="n">
        <f aca="false">IF(SUMPRODUCT(--ISNUMBER(SEARCH('Spam Rules'!$A$22:$A$35,K680)))&gt;0,1,0)</f>
        <v>0</v>
      </c>
      <c r="S680" s="3" t="n">
        <f aca="false">IF(AND(F680="Free",G680=""),1,0)</f>
        <v>0</v>
      </c>
      <c r="T680" s="3" t="n">
        <f aca="false">IF(LEN(TRIM(K680))&lt;15,1,0)</f>
        <v>0</v>
      </c>
      <c r="U680" s="3" t="n">
        <f aca="false">IF(COUNTIF($E$2:$E$801,E680)&gt;1,1,0)</f>
        <v>0</v>
      </c>
      <c r="V680" s="3" t="n">
        <f aca="false">Q680*'Spam Rules'!$H$6+R680*'Spam Rules'!$H$7+S680*'Spam Rules'!$H$8+T680*'Spam Rules'!$H$9+U680*'Spam Rules'!$H$10</f>
        <v>0</v>
      </c>
      <c r="W680" s="3" t="str">
        <f aca="false">IF(V680&gt;='Spam Rules'!$B$3,"Likely Spam","Genuine")</f>
        <v>Genuine</v>
      </c>
      <c r="X680" s="3" t="n">
        <f aca="false">IFERROR(INDEX('Scoring Model'!$B$5:$B$11,MATCH(C680,'Scoring Model'!$A$5:$A$11,0)),0)</f>
        <v>10</v>
      </c>
      <c r="Y680" s="3" t="n">
        <f aca="false">IFERROR(INDEX('Scoring Model'!$E$5:$E$7,MATCH(F680,'Scoring Model'!$D$5:$D$7,0)),0)</f>
        <v>20</v>
      </c>
      <c r="Z680" s="3" t="n">
        <f aca="false">IFERROR(INDEX('Scoring Model'!$H$5:$H$13,MATCH(J680,'Scoring Model'!$G$5:$G$13,0)),0)</f>
        <v>5</v>
      </c>
      <c r="AA680" s="3" t="n">
        <f aca="false">IF(L680&gt;='Scoring Model'!$B$14,'Scoring Model'!$B$15,IF(L680&gt;='Scoring Model'!$B$16,'Scoring Model'!$B$17,0))</f>
        <v>0</v>
      </c>
      <c r="AB680" s="3" t="n">
        <f aca="false">IF(SUMPRODUCT(--ISNUMBER(SEARCH('Scoring Model'!$D$16:$D$25,K680)))&gt;0,'Scoring Model'!$B$18,0)</f>
        <v>15</v>
      </c>
      <c r="AC680" s="3" t="n">
        <f aca="false">IF(SUMPRODUCT(--ISNUMBER(SEARCH('Scoring Model'!$G$16:$G$23,K680)))&gt;0,'Scoring Model'!$B$19,0)</f>
        <v>0</v>
      </c>
      <c r="AD680" s="3" t="n">
        <f aca="false">IF(W680="Likely Spam","",SUM(X680:AC680))</f>
        <v>50</v>
      </c>
      <c r="AE680" s="3" t="str">
        <f aca="false">IF(W680="Likely Spam","Spam",IF(AD680&gt;='Scoring Model'!$B$21,"Hot",IF(AD680&gt;='Scoring Model'!$B$22,"Warm","Nurture")))</f>
        <v>Warm</v>
      </c>
      <c r="AF680" s="3" t="str">
        <f aca="false">IF(W680="Likely Spam","Flagged by spam rules",TRIM(IF(X680&gt;=20,"Strong source. ","")&amp;IF(Y680&gt;0,"Company email. ","")&amp;IF(Z680&gt;=15,"High-value product. ","")&amp;IF(AA680&gt;='Scoring Model'!$B$15,"High engagement. ","")&amp;IF(AB680&gt;0,"Buying intent in message. ","")&amp;IF(AC680&lt;0,"Negative intent in message. ","")))</f>
        <v>Company email. Buying intent in message.</v>
      </c>
      <c r="AG680" s="11" t="n">
        <f aca="false">IF(W680="Likely Spam","",1/(1+EXP(-('Conversion Model'!$B$5+IFERROR(INDEX('Conversion Model'!$B$8:$B$14,MATCH(C680,'Conversion Model'!$A$8:$A$14,0)),0)+IFERROR(INDEX('Conversion Model'!$E$8:$E$9,MATCH(F680,'Conversion Model'!$D$8:$D$9,0)),0)+IFERROR(INDEX('Conversion Model'!$H$8:$H$12,MATCH(IF(LEFT(J680,8)="Payments","Payments",IF(LEFT(J680,7)="Lending","Lending",J680)),'Conversion Model'!$G$8:$G$12,0)),0)+MIN(L680,15)*'Conversion Model'!$B$17+IF(SUMPRODUCT(--ISNUMBER(SEARCH('Scoring Model'!$D$16:$D$25,K680)))&gt;0,'Conversion Model'!$B$18,0)+IF(SUMPRODUCT(--ISNUMBER(SEARCH('Scoring Model'!$G$16:$G$23,K680)))&gt;0,'Conversion Model'!$B$19,0)))))</f>
        <v>0.0944903689501593</v>
      </c>
      <c r="AH680" s="3" t="str">
        <f aca="false">IF(OR(O680="Qualified",O680="Won",O680="Lost"),1,IF(O680="Unqualified",0,""))</f>
        <v/>
      </c>
    </row>
    <row r="681" customFormat="false" ht="15" hidden="false" customHeight="true" outlineLevel="0" collapsed="false">
      <c r="A681" s="3" t="s">
        <v>2287</v>
      </c>
      <c r="B681" s="9" t="n">
        <v>46243.0277777778</v>
      </c>
      <c r="C681" s="3" t="s">
        <v>51</v>
      </c>
      <c r="D681" s="3" t="s">
        <v>1786</v>
      </c>
      <c r="E681" s="3" t="s">
        <v>2288</v>
      </c>
      <c r="F681" s="3" t="s">
        <v>22</v>
      </c>
      <c r="G681" s="3" t="s">
        <v>321</v>
      </c>
      <c r="H681" s="3" t="s">
        <v>388</v>
      </c>
      <c r="I681" s="3" t="s">
        <v>64</v>
      </c>
      <c r="J681" s="3" t="s">
        <v>122</v>
      </c>
      <c r="K681" s="3" t="s">
        <v>126</v>
      </c>
      <c r="L681" s="3" t="n">
        <v>1</v>
      </c>
      <c r="M681" s="3" t="n">
        <v>47.5</v>
      </c>
      <c r="N681" s="3" t="s">
        <v>67</v>
      </c>
      <c r="O681" s="3" t="s">
        <v>68</v>
      </c>
      <c r="P681" s="10"/>
      <c r="Q681" s="3" t="n">
        <f aca="false">IF(F681="Disposable",1,0)</f>
        <v>0</v>
      </c>
      <c r="R681" s="3" t="n">
        <f aca="false">IF(SUMPRODUCT(--ISNUMBER(SEARCH('Spam Rules'!$A$22:$A$35,K681)))&gt;0,1,0)</f>
        <v>0</v>
      </c>
      <c r="S681" s="3" t="n">
        <f aca="false">IF(AND(F681="Free",G681=""),1,0)</f>
        <v>0</v>
      </c>
      <c r="T681" s="3" t="n">
        <f aca="false">IF(LEN(TRIM(K681))&lt;15,1,0)</f>
        <v>1</v>
      </c>
      <c r="U681" s="3" t="n">
        <f aca="false">IF(COUNTIF($E$2:$E$801,E681)&gt;1,1,0)</f>
        <v>0</v>
      </c>
      <c r="V681" s="3" t="n">
        <f aca="false">Q681*'Spam Rules'!$H$6+R681*'Spam Rules'!$H$7+S681*'Spam Rules'!$H$8+T681*'Spam Rules'!$H$9+U681*'Spam Rules'!$H$10</f>
        <v>1</v>
      </c>
      <c r="W681" s="3" t="str">
        <f aca="false">IF(V681&gt;='Spam Rules'!$B$3,"Likely Spam","Genuine")</f>
        <v>Likely Spam</v>
      </c>
      <c r="X681" s="3" t="n">
        <f aca="false">IFERROR(INDEX('Scoring Model'!$B$5:$B$11,MATCH(C681,'Scoring Model'!$A$5:$A$11,0)),0)</f>
        <v>10</v>
      </c>
      <c r="Y681" s="3" t="n">
        <f aca="false">IFERROR(INDEX('Scoring Model'!$E$5:$E$7,MATCH(F681,'Scoring Model'!$D$5:$D$7,0)),0)</f>
        <v>20</v>
      </c>
      <c r="Z681" s="3" t="n">
        <f aca="false">IFERROR(INDEX('Scoring Model'!$H$5:$H$13,MATCH(J681,'Scoring Model'!$G$5:$G$13,0)),0)</f>
        <v>15</v>
      </c>
      <c r="AA681" s="3" t="n">
        <f aca="false">IF(L681&gt;='Scoring Model'!$B$14,'Scoring Model'!$B$15,IF(L681&gt;='Scoring Model'!$B$16,'Scoring Model'!$B$17,0))</f>
        <v>0</v>
      </c>
      <c r="AB681" s="3" t="n">
        <f aca="false">IF(SUMPRODUCT(--ISNUMBER(SEARCH('Scoring Model'!$D$16:$D$25,K681)))&gt;0,'Scoring Model'!$B$18,0)</f>
        <v>0</v>
      </c>
      <c r="AC681" s="3" t="n">
        <f aca="false">IF(SUMPRODUCT(--ISNUMBER(SEARCH('Scoring Model'!$G$16:$G$23,K681)))&gt;0,'Scoring Model'!$B$19,0)</f>
        <v>0</v>
      </c>
      <c r="AD681" s="3" t="str">
        <f aca="false">IF(W681="Likely Spam","",SUM(X681:AC681))</f>
        <v/>
      </c>
      <c r="AE681" s="3" t="str">
        <f aca="false">IF(W681="Likely Spam","Spam",IF(AD681&gt;='Scoring Model'!$B$21,"Hot",IF(AD681&gt;='Scoring Model'!$B$22,"Warm","Nurture")))</f>
        <v>Spam</v>
      </c>
      <c r="AF681" s="3" t="str">
        <f aca="false">IF(W681="Likely Spam","Flagged by spam rules",TRIM(IF(X681&gt;=20,"Strong source. ","")&amp;IF(Y681&gt;0,"Company email. ","")&amp;IF(Z681&gt;=15,"High-value product. ","")&amp;IF(AA681&gt;='Scoring Model'!$B$15,"High engagement. ","")&amp;IF(AB681&gt;0,"Buying intent in message. ","")&amp;IF(AC681&lt;0,"Negative intent in message. ","")))</f>
        <v>Flagged by spam rules</v>
      </c>
      <c r="AG681" s="11" t="str">
        <f aca="false">IF(W681="Likely Spam","",1/(1+EXP(-('Conversion Model'!$B$5+IFERROR(INDEX('Conversion Model'!$B$8:$B$14,MATCH(C681,'Conversion Model'!$A$8:$A$14,0)),0)+IFERROR(INDEX('Conversion Model'!$E$8:$E$9,MATCH(F681,'Conversion Model'!$D$8:$D$9,0)),0)+IFERROR(INDEX('Conversion Model'!$H$8:$H$12,MATCH(IF(LEFT(J681,8)="Payments","Payments",IF(LEFT(J681,7)="Lending","Lending",J681)),'Conversion Model'!$G$8:$G$12,0)),0)+MIN(L681,15)*'Conversion Model'!$B$17+IF(SUMPRODUCT(--ISNUMBER(SEARCH('Scoring Model'!$D$16:$D$25,K681)))&gt;0,'Conversion Model'!$B$18,0)+IF(SUMPRODUCT(--ISNUMBER(SEARCH('Scoring Model'!$G$16:$G$23,K681)))&gt;0,'Conversion Model'!$B$19,0)))))</f>
        <v/>
      </c>
      <c r="AH681" s="3" t="str">
        <f aca="false">IF(OR(O681="Qualified",O681="Won",O681="Lost"),1,IF(O681="Unqualified",0,""))</f>
        <v/>
      </c>
    </row>
    <row r="682" customFormat="false" ht="15" hidden="false" customHeight="true" outlineLevel="0" collapsed="false">
      <c r="A682" s="3" t="s">
        <v>2289</v>
      </c>
      <c r="B682" s="9" t="n">
        <v>46243.7833333333</v>
      </c>
      <c r="C682" s="3" t="s">
        <v>76</v>
      </c>
      <c r="D682" s="3" t="s">
        <v>336</v>
      </c>
      <c r="E682" s="3" t="s">
        <v>2290</v>
      </c>
      <c r="F682" s="3" t="s">
        <v>22</v>
      </c>
      <c r="G682" s="3" t="s">
        <v>487</v>
      </c>
      <c r="H682" s="3" t="s">
        <v>488</v>
      </c>
      <c r="I682" s="3" t="s">
        <v>116</v>
      </c>
      <c r="J682" s="3" t="s">
        <v>122</v>
      </c>
      <c r="K682" s="3" t="s">
        <v>89</v>
      </c>
      <c r="L682" s="3" t="n">
        <v>1</v>
      </c>
      <c r="M682" s="3" t="n">
        <v>21.1</v>
      </c>
      <c r="N682" s="3" t="s">
        <v>96</v>
      </c>
      <c r="O682" s="3" t="s">
        <v>68</v>
      </c>
      <c r="P682" s="10"/>
      <c r="Q682" s="3" t="n">
        <f aca="false">IF(F682="Disposable",1,0)</f>
        <v>0</v>
      </c>
      <c r="R682" s="3" t="n">
        <f aca="false">IF(SUMPRODUCT(--ISNUMBER(SEARCH('Spam Rules'!$A$22:$A$35,K682)))&gt;0,1,0)</f>
        <v>1</v>
      </c>
      <c r="S682" s="3" t="n">
        <f aca="false">IF(AND(F682="Free",G682=""),1,0)</f>
        <v>0</v>
      </c>
      <c r="T682" s="3" t="n">
        <f aca="false">IF(LEN(TRIM(K682))&lt;15,1,0)</f>
        <v>0</v>
      </c>
      <c r="U682" s="3" t="n">
        <f aca="false">IF(COUNTIF($E$2:$E$801,E682)&gt;1,1,0)</f>
        <v>0</v>
      </c>
      <c r="V682" s="3" t="n">
        <f aca="false">Q682*'Spam Rules'!$H$6+R682*'Spam Rules'!$H$7+S682*'Spam Rules'!$H$8+T682*'Spam Rules'!$H$9+U682*'Spam Rules'!$H$10</f>
        <v>1</v>
      </c>
      <c r="W682" s="3" t="str">
        <f aca="false">IF(V682&gt;='Spam Rules'!$B$3,"Likely Spam","Genuine")</f>
        <v>Likely Spam</v>
      </c>
      <c r="X682" s="3" t="n">
        <f aca="false">IFERROR(INDEX('Scoring Model'!$B$5:$B$11,MATCH(C682,'Scoring Model'!$A$5:$A$11,0)),0)</f>
        <v>0</v>
      </c>
      <c r="Y682" s="3" t="n">
        <f aca="false">IFERROR(INDEX('Scoring Model'!$E$5:$E$7,MATCH(F682,'Scoring Model'!$D$5:$D$7,0)),0)</f>
        <v>20</v>
      </c>
      <c r="Z682" s="3" t="n">
        <f aca="false">IFERROR(INDEX('Scoring Model'!$H$5:$H$13,MATCH(J682,'Scoring Model'!$G$5:$G$13,0)),0)</f>
        <v>15</v>
      </c>
      <c r="AA682" s="3" t="n">
        <f aca="false">IF(L682&gt;='Scoring Model'!$B$14,'Scoring Model'!$B$15,IF(L682&gt;='Scoring Model'!$B$16,'Scoring Model'!$B$17,0))</f>
        <v>0</v>
      </c>
      <c r="AB682" s="3" t="n">
        <f aca="false">IF(SUMPRODUCT(--ISNUMBER(SEARCH('Scoring Model'!$D$16:$D$25,K682)))&gt;0,'Scoring Model'!$B$18,0)</f>
        <v>0</v>
      </c>
      <c r="AC682" s="3" t="n">
        <f aca="false">IF(SUMPRODUCT(--ISNUMBER(SEARCH('Scoring Model'!$G$16:$G$23,K682)))&gt;0,'Scoring Model'!$B$19,0)</f>
        <v>0</v>
      </c>
      <c r="AD682" s="3" t="str">
        <f aca="false">IF(W682="Likely Spam","",SUM(X682:AC682))</f>
        <v/>
      </c>
      <c r="AE682" s="3" t="str">
        <f aca="false">IF(W682="Likely Spam","Spam",IF(AD682&gt;='Scoring Model'!$B$21,"Hot",IF(AD682&gt;='Scoring Model'!$B$22,"Warm","Nurture")))</f>
        <v>Spam</v>
      </c>
      <c r="AF682" s="3" t="str">
        <f aca="false">IF(W682="Likely Spam","Flagged by spam rules",TRIM(IF(X682&gt;=20,"Strong source. ","")&amp;IF(Y682&gt;0,"Company email. ","")&amp;IF(Z682&gt;=15,"High-value product. ","")&amp;IF(AA682&gt;='Scoring Model'!$B$15,"High engagement. ","")&amp;IF(AB682&gt;0,"Buying intent in message. ","")&amp;IF(AC682&lt;0,"Negative intent in message. ","")))</f>
        <v>Flagged by spam rules</v>
      </c>
      <c r="AG682" s="11" t="str">
        <f aca="false">IF(W682="Likely Spam","",1/(1+EXP(-('Conversion Model'!$B$5+IFERROR(INDEX('Conversion Model'!$B$8:$B$14,MATCH(C682,'Conversion Model'!$A$8:$A$14,0)),0)+IFERROR(INDEX('Conversion Model'!$E$8:$E$9,MATCH(F682,'Conversion Model'!$D$8:$D$9,0)),0)+IFERROR(INDEX('Conversion Model'!$H$8:$H$12,MATCH(IF(LEFT(J682,8)="Payments","Payments",IF(LEFT(J682,7)="Lending","Lending",J682)),'Conversion Model'!$G$8:$G$12,0)),0)+MIN(L682,15)*'Conversion Model'!$B$17+IF(SUMPRODUCT(--ISNUMBER(SEARCH('Scoring Model'!$D$16:$D$25,K682)))&gt;0,'Conversion Model'!$B$18,0)+IF(SUMPRODUCT(--ISNUMBER(SEARCH('Scoring Model'!$G$16:$G$23,K682)))&gt;0,'Conversion Model'!$B$19,0)))))</f>
        <v/>
      </c>
      <c r="AH682" s="3" t="str">
        <f aca="false">IF(OR(O682="Qualified",O682="Won",O682="Lost"),1,IF(O682="Unqualified",0,""))</f>
        <v/>
      </c>
    </row>
    <row r="683" customFormat="false" ht="15" hidden="false" customHeight="true" outlineLevel="0" collapsed="false">
      <c r="A683" s="3" t="s">
        <v>2291</v>
      </c>
      <c r="B683" s="9" t="n">
        <v>46244.4423611111</v>
      </c>
      <c r="C683" s="3" t="s">
        <v>160</v>
      </c>
      <c r="D683" s="3" t="s">
        <v>740</v>
      </c>
      <c r="E683" s="3" t="s">
        <v>2292</v>
      </c>
      <c r="F683" s="3" t="s">
        <v>22</v>
      </c>
      <c r="G683" s="3" t="s">
        <v>338</v>
      </c>
      <c r="H683" s="3" t="s">
        <v>339</v>
      </c>
      <c r="I683" s="3" t="s">
        <v>260</v>
      </c>
      <c r="J683" s="3" t="s">
        <v>165</v>
      </c>
      <c r="K683" s="3" t="s">
        <v>1845</v>
      </c>
      <c r="L683" s="3" t="n">
        <v>3</v>
      </c>
      <c r="M683" s="3" t="n">
        <v>35</v>
      </c>
      <c r="N683" s="3" t="s">
        <v>67</v>
      </c>
      <c r="O683" s="3" t="s">
        <v>133</v>
      </c>
      <c r="P683" s="10"/>
      <c r="Q683" s="3" t="n">
        <f aca="false">IF(F683="Disposable",1,0)</f>
        <v>0</v>
      </c>
      <c r="R683" s="3" t="n">
        <f aca="false">IF(SUMPRODUCT(--ISNUMBER(SEARCH('Spam Rules'!$A$22:$A$35,K683)))&gt;0,1,0)</f>
        <v>0</v>
      </c>
      <c r="S683" s="3" t="n">
        <f aca="false">IF(AND(F683="Free",G683=""),1,0)</f>
        <v>0</v>
      </c>
      <c r="T683" s="3" t="n">
        <f aca="false">IF(LEN(TRIM(K683))&lt;15,1,0)</f>
        <v>0</v>
      </c>
      <c r="U683" s="3" t="n">
        <f aca="false">IF(COUNTIF($E$2:$E$801,E683)&gt;1,1,0)</f>
        <v>0</v>
      </c>
      <c r="V683" s="3" t="n">
        <f aca="false">Q683*'Spam Rules'!$H$6+R683*'Spam Rules'!$H$7+S683*'Spam Rules'!$H$8+T683*'Spam Rules'!$H$9+U683*'Spam Rules'!$H$10</f>
        <v>0</v>
      </c>
      <c r="W683" s="3" t="str">
        <f aca="false">IF(V683&gt;='Spam Rules'!$B$3,"Likely Spam","Genuine")</f>
        <v>Genuine</v>
      </c>
      <c r="X683" s="3" t="n">
        <f aca="false">IFERROR(INDEX('Scoring Model'!$B$5:$B$11,MATCH(C683,'Scoring Model'!$A$5:$A$11,0)),0)</f>
        <v>25</v>
      </c>
      <c r="Y683" s="3" t="n">
        <f aca="false">IFERROR(INDEX('Scoring Model'!$E$5:$E$7,MATCH(F683,'Scoring Model'!$D$5:$D$7,0)),0)</f>
        <v>20</v>
      </c>
      <c r="Z683" s="3" t="n">
        <f aca="false">IFERROR(INDEX('Scoring Model'!$H$5:$H$13,MATCH(J683,'Scoring Model'!$G$5:$G$13,0)),0)</f>
        <v>15</v>
      </c>
      <c r="AA683" s="3" t="n">
        <f aca="false">IF(L683&gt;='Scoring Model'!$B$14,'Scoring Model'!$B$15,IF(L683&gt;='Scoring Model'!$B$16,'Scoring Model'!$B$17,0))</f>
        <v>0</v>
      </c>
      <c r="AB683" s="3" t="n">
        <f aca="false">IF(SUMPRODUCT(--ISNUMBER(SEARCH('Scoring Model'!$D$16:$D$25,K683)))&gt;0,'Scoring Model'!$B$18,0)</f>
        <v>15</v>
      </c>
      <c r="AC683" s="3" t="n">
        <f aca="false">IF(SUMPRODUCT(--ISNUMBER(SEARCH('Scoring Model'!$G$16:$G$23,K683)))&gt;0,'Scoring Model'!$B$19,0)</f>
        <v>0</v>
      </c>
      <c r="AD683" s="3" t="n">
        <f aca="false">IF(W683="Likely Spam","",SUM(X683:AC683))</f>
        <v>75</v>
      </c>
      <c r="AE683" s="3" t="str">
        <f aca="false">IF(W683="Likely Spam","Spam",IF(AD683&gt;='Scoring Model'!$B$21,"Hot",IF(AD683&gt;='Scoring Model'!$B$22,"Warm","Nurture")))</f>
        <v>Hot</v>
      </c>
      <c r="AF683" s="3" t="str">
        <f aca="false">IF(W683="Likely Spam","Flagged by spam rules",TRIM(IF(X683&gt;=20,"Strong source. ","")&amp;IF(Y683&gt;0,"Company email. ","")&amp;IF(Z683&gt;=15,"High-value product. ","")&amp;IF(AA683&gt;='Scoring Model'!$B$15,"High engagement. ","")&amp;IF(AB683&gt;0,"Buying intent in message. ","")&amp;IF(AC683&lt;0,"Negative intent in message. ","")))</f>
        <v>Strong source. Company email. High-value product. Buying intent in message.</v>
      </c>
      <c r="AG683" s="11" t="n">
        <f aca="false">IF(W683="Likely Spam","",1/(1+EXP(-('Conversion Model'!$B$5+IFERROR(INDEX('Conversion Model'!$B$8:$B$14,MATCH(C683,'Conversion Model'!$A$8:$A$14,0)),0)+IFERROR(INDEX('Conversion Model'!$E$8:$E$9,MATCH(F683,'Conversion Model'!$D$8:$D$9,0)),0)+IFERROR(INDEX('Conversion Model'!$H$8:$H$12,MATCH(IF(LEFT(J683,8)="Payments","Payments",IF(LEFT(J683,7)="Lending","Lending",J683)),'Conversion Model'!$G$8:$G$12,0)),0)+MIN(L683,15)*'Conversion Model'!$B$17+IF(SUMPRODUCT(--ISNUMBER(SEARCH('Scoring Model'!$D$16:$D$25,K683)))&gt;0,'Conversion Model'!$B$18,0)+IF(SUMPRODUCT(--ISNUMBER(SEARCH('Scoring Model'!$G$16:$G$23,K683)))&gt;0,'Conversion Model'!$B$19,0)))))</f>
        <v>0.425068639509415</v>
      </c>
      <c r="AH683" s="3" t="str">
        <f aca="false">IF(OR(O683="Qualified",O683="Won",O683="Lost"),1,IF(O683="Unqualified",0,""))</f>
        <v/>
      </c>
    </row>
    <row r="684" customFormat="false" ht="15" hidden="false" customHeight="true" outlineLevel="0" collapsed="false">
      <c r="A684" s="3" t="s">
        <v>2293</v>
      </c>
      <c r="B684" s="9" t="n">
        <v>46245.6833333333</v>
      </c>
      <c r="C684" s="3" t="s">
        <v>51</v>
      </c>
      <c r="D684" s="3" t="s">
        <v>1630</v>
      </c>
      <c r="E684" s="3" t="s">
        <v>1907</v>
      </c>
      <c r="F684" s="3" t="s">
        <v>54</v>
      </c>
      <c r="G684" s="3" t="s">
        <v>1621</v>
      </c>
      <c r="H684" s="3"/>
      <c r="I684" s="3" t="s">
        <v>116</v>
      </c>
      <c r="J684" s="3" t="s">
        <v>81</v>
      </c>
      <c r="K684" s="3" t="s">
        <v>228</v>
      </c>
      <c r="L684" s="3" t="n">
        <v>4</v>
      </c>
      <c r="M684" s="3" t="n">
        <v>52.8</v>
      </c>
      <c r="N684" s="3" t="s">
        <v>67</v>
      </c>
      <c r="O684" s="3"/>
      <c r="P684" s="10"/>
      <c r="Q684" s="3" t="n">
        <f aca="false">IF(F684="Disposable",1,0)</f>
        <v>0</v>
      </c>
      <c r="R684" s="3" t="n">
        <f aca="false">IF(SUMPRODUCT(--ISNUMBER(SEARCH('Spam Rules'!$A$22:$A$35,K684)))&gt;0,1,0)</f>
        <v>0</v>
      </c>
      <c r="S684" s="3" t="n">
        <f aca="false">IF(AND(F684="Free",G684=""),1,0)</f>
        <v>0</v>
      </c>
      <c r="T684" s="3" t="n">
        <f aca="false">IF(LEN(TRIM(K684))&lt;15,1,0)</f>
        <v>0</v>
      </c>
      <c r="U684" s="3" t="n">
        <f aca="false">IF(COUNTIF($E$2:$E$801,E684)&gt;1,1,0)</f>
        <v>1</v>
      </c>
      <c r="V684" s="3" t="n">
        <f aca="false">Q684*'Spam Rules'!$H$6+R684*'Spam Rules'!$H$7+S684*'Spam Rules'!$H$8+T684*'Spam Rules'!$H$9+U684*'Spam Rules'!$H$10</f>
        <v>0</v>
      </c>
      <c r="W684" s="3" t="str">
        <f aca="false">IF(V684&gt;='Spam Rules'!$B$3,"Likely Spam","Genuine")</f>
        <v>Genuine</v>
      </c>
      <c r="X684" s="3" t="n">
        <f aca="false">IFERROR(INDEX('Scoring Model'!$B$5:$B$11,MATCH(C684,'Scoring Model'!$A$5:$A$11,0)),0)</f>
        <v>10</v>
      </c>
      <c r="Y684" s="3" t="n">
        <f aca="false">IFERROR(INDEX('Scoring Model'!$E$5:$E$7,MATCH(F684,'Scoring Model'!$D$5:$D$7,0)),0)</f>
        <v>0</v>
      </c>
      <c r="Z684" s="3" t="n">
        <f aca="false">IFERROR(INDEX('Scoring Model'!$H$5:$H$13,MATCH(J684,'Scoring Model'!$G$5:$G$13,0)),0)</f>
        <v>5</v>
      </c>
      <c r="AA684" s="3" t="n">
        <f aca="false">IF(L684&gt;='Scoring Model'!$B$14,'Scoring Model'!$B$15,IF(L684&gt;='Scoring Model'!$B$16,'Scoring Model'!$B$17,0))</f>
        <v>8</v>
      </c>
      <c r="AB684" s="3" t="n">
        <f aca="false">IF(SUMPRODUCT(--ISNUMBER(SEARCH('Scoring Model'!$D$16:$D$25,K684)))&gt;0,'Scoring Model'!$B$18,0)</f>
        <v>15</v>
      </c>
      <c r="AC684" s="3" t="n">
        <f aca="false">IF(SUMPRODUCT(--ISNUMBER(SEARCH('Scoring Model'!$G$16:$G$23,K684)))&gt;0,'Scoring Model'!$B$19,0)</f>
        <v>0</v>
      </c>
      <c r="AD684" s="3" t="n">
        <f aca="false">IF(W684="Likely Spam","",SUM(X684:AC684))</f>
        <v>38</v>
      </c>
      <c r="AE684" s="3" t="str">
        <f aca="false">IF(W684="Likely Spam","Spam",IF(AD684&gt;='Scoring Model'!$B$21,"Hot",IF(AD684&gt;='Scoring Model'!$B$22,"Warm","Nurture")))</f>
        <v>Nurture</v>
      </c>
      <c r="AF684" s="3" t="str">
        <f aca="false">IF(W684="Likely Spam","Flagged by spam rules",TRIM(IF(X684&gt;=20,"Strong source. ","")&amp;IF(Y684&gt;0,"Company email. ","")&amp;IF(Z684&gt;=15,"High-value product. ","")&amp;IF(AA684&gt;='Scoring Model'!$B$15,"High engagement. ","")&amp;IF(AB684&gt;0,"Buying intent in message. ","")&amp;IF(AC684&lt;0,"Negative intent in message. ","")))</f>
        <v>Buying intent in message.</v>
      </c>
      <c r="AG684" s="11" t="n">
        <f aca="false">IF(W684="Likely Spam","",1/(1+EXP(-('Conversion Model'!$B$5+IFERROR(INDEX('Conversion Model'!$B$8:$B$14,MATCH(C684,'Conversion Model'!$A$8:$A$14,0)),0)+IFERROR(INDEX('Conversion Model'!$E$8:$E$9,MATCH(F684,'Conversion Model'!$D$8:$D$9,0)),0)+IFERROR(INDEX('Conversion Model'!$H$8:$H$12,MATCH(IF(LEFT(J684,8)="Payments","Payments",IF(LEFT(J684,7)="Lending","Lending",J684)),'Conversion Model'!$G$8:$G$12,0)),0)+MIN(L684,15)*'Conversion Model'!$B$17+IF(SUMPRODUCT(--ISNUMBER(SEARCH('Scoring Model'!$D$16:$D$25,K684)))&gt;0,'Conversion Model'!$B$18,0)+IF(SUMPRODUCT(--ISNUMBER(SEARCH('Scoring Model'!$G$16:$G$23,K684)))&gt;0,'Conversion Model'!$B$19,0)))))</f>
        <v>0.216870104386572</v>
      </c>
      <c r="AH684" s="3" t="str">
        <f aca="false">IF(OR(O684="Qualified",O684="Won",O684="Lost"),1,IF(O684="Unqualified",0,""))</f>
        <v/>
      </c>
    </row>
    <row r="685" customFormat="false" ht="15" hidden="false" customHeight="true" outlineLevel="0" collapsed="false">
      <c r="A685" s="3" t="s">
        <v>2294</v>
      </c>
      <c r="B685" s="9" t="n">
        <v>46245.7659722222</v>
      </c>
      <c r="C685" s="3" t="s">
        <v>112</v>
      </c>
      <c r="D685" s="3" t="s">
        <v>179</v>
      </c>
      <c r="E685" s="3" t="s">
        <v>2295</v>
      </c>
      <c r="F685" s="3" t="s">
        <v>54</v>
      </c>
      <c r="G685" s="3" t="s">
        <v>232</v>
      </c>
      <c r="H685" s="3"/>
      <c r="I685" s="3" t="s">
        <v>204</v>
      </c>
      <c r="J685" s="3" t="s">
        <v>122</v>
      </c>
      <c r="K685" s="3" t="s">
        <v>58</v>
      </c>
      <c r="L685" s="3" t="n">
        <v>3</v>
      </c>
      <c r="M685" s="3" t="n">
        <v>2.4</v>
      </c>
      <c r="N685" s="3" t="s">
        <v>59</v>
      </c>
      <c r="O685" s="3" t="s">
        <v>194</v>
      </c>
      <c r="P685" s="10"/>
      <c r="Q685" s="3" t="n">
        <f aca="false">IF(F685="Disposable",1,0)</f>
        <v>0</v>
      </c>
      <c r="R685" s="3" t="n">
        <f aca="false">IF(SUMPRODUCT(--ISNUMBER(SEARCH('Spam Rules'!$A$22:$A$35,K685)))&gt;0,1,0)</f>
        <v>0</v>
      </c>
      <c r="S685" s="3" t="n">
        <f aca="false">IF(AND(F685="Free",G685=""),1,0)</f>
        <v>0</v>
      </c>
      <c r="T685" s="3" t="n">
        <f aca="false">IF(LEN(TRIM(K685))&lt;15,1,0)</f>
        <v>0</v>
      </c>
      <c r="U685" s="3" t="n">
        <f aca="false">IF(COUNTIF($E$2:$E$801,E685)&gt;1,1,0)</f>
        <v>0</v>
      </c>
      <c r="V685" s="3" t="n">
        <f aca="false">Q685*'Spam Rules'!$H$6+R685*'Spam Rules'!$H$7+S685*'Spam Rules'!$H$8+T685*'Spam Rules'!$H$9+U685*'Spam Rules'!$H$10</f>
        <v>0</v>
      </c>
      <c r="W685" s="3" t="str">
        <f aca="false">IF(V685&gt;='Spam Rules'!$B$3,"Likely Spam","Genuine")</f>
        <v>Genuine</v>
      </c>
      <c r="X685" s="3" t="n">
        <f aca="false">IFERROR(INDEX('Scoring Model'!$B$5:$B$11,MATCH(C685,'Scoring Model'!$A$5:$A$11,0)),0)</f>
        <v>15</v>
      </c>
      <c r="Y685" s="3" t="n">
        <f aca="false">IFERROR(INDEX('Scoring Model'!$E$5:$E$7,MATCH(F685,'Scoring Model'!$D$5:$D$7,0)),0)</f>
        <v>0</v>
      </c>
      <c r="Z685" s="3" t="n">
        <f aca="false">IFERROR(INDEX('Scoring Model'!$H$5:$H$13,MATCH(J685,'Scoring Model'!$G$5:$G$13,0)),0)</f>
        <v>15</v>
      </c>
      <c r="AA685" s="3" t="n">
        <f aca="false">IF(L685&gt;='Scoring Model'!$B$14,'Scoring Model'!$B$15,IF(L685&gt;='Scoring Model'!$B$16,'Scoring Model'!$B$17,0))</f>
        <v>0</v>
      </c>
      <c r="AB685" s="3" t="n">
        <f aca="false">IF(SUMPRODUCT(--ISNUMBER(SEARCH('Scoring Model'!$D$16:$D$25,K685)))&gt;0,'Scoring Model'!$B$18,0)</f>
        <v>15</v>
      </c>
      <c r="AC685" s="3" t="n">
        <f aca="false">IF(SUMPRODUCT(--ISNUMBER(SEARCH('Scoring Model'!$G$16:$G$23,K685)))&gt;0,'Scoring Model'!$B$19,0)</f>
        <v>0</v>
      </c>
      <c r="AD685" s="3" t="n">
        <f aca="false">IF(W685="Likely Spam","",SUM(X685:AC685))</f>
        <v>45</v>
      </c>
      <c r="AE685" s="3" t="str">
        <f aca="false">IF(W685="Likely Spam","Spam",IF(AD685&gt;='Scoring Model'!$B$21,"Hot",IF(AD685&gt;='Scoring Model'!$B$22,"Warm","Nurture")))</f>
        <v>Warm</v>
      </c>
      <c r="AF685" s="3" t="str">
        <f aca="false">IF(W685="Likely Spam","Flagged by spam rules",TRIM(IF(X685&gt;=20,"Strong source. ","")&amp;IF(Y685&gt;0,"Company email. ","")&amp;IF(Z685&gt;=15,"High-value product. ","")&amp;IF(AA685&gt;='Scoring Model'!$B$15,"High engagement. ","")&amp;IF(AB685&gt;0,"Buying intent in message. ","")&amp;IF(AC685&lt;0,"Negative intent in message. ","")))</f>
        <v>High-value product. Buying intent in message.</v>
      </c>
      <c r="AG685" s="11" t="n">
        <f aca="false">IF(W685="Likely Spam","",1/(1+EXP(-('Conversion Model'!$B$5+IFERROR(INDEX('Conversion Model'!$B$8:$B$14,MATCH(C685,'Conversion Model'!$A$8:$A$14,0)),0)+IFERROR(INDEX('Conversion Model'!$E$8:$E$9,MATCH(F685,'Conversion Model'!$D$8:$D$9,0)),0)+IFERROR(INDEX('Conversion Model'!$H$8:$H$12,MATCH(IF(LEFT(J685,8)="Payments","Payments",IF(LEFT(J685,7)="Lending","Lending",J685)),'Conversion Model'!$G$8:$G$12,0)),0)+MIN(L685,15)*'Conversion Model'!$B$17+IF(SUMPRODUCT(--ISNUMBER(SEARCH('Scoring Model'!$D$16:$D$25,K685)))&gt;0,'Conversion Model'!$B$18,0)+IF(SUMPRODUCT(--ISNUMBER(SEARCH('Scoring Model'!$G$16:$G$23,K685)))&gt;0,'Conversion Model'!$B$19,0)))))</f>
        <v>0.158557550348725</v>
      </c>
      <c r="AH685" s="3" t="n">
        <f aca="false">IF(OR(O685="Qualified",O685="Won",O685="Lost"),1,IF(O685="Unqualified",0,""))</f>
        <v>0</v>
      </c>
    </row>
    <row r="686" customFormat="false" ht="15" hidden="false" customHeight="true" outlineLevel="0" collapsed="false">
      <c r="A686" s="3" t="s">
        <v>2296</v>
      </c>
      <c r="B686" s="9" t="n">
        <v>46246.0951388889</v>
      </c>
      <c r="C686" s="3" t="s">
        <v>91</v>
      </c>
      <c r="D686" s="3" t="s">
        <v>670</v>
      </c>
      <c r="E686" s="3" t="s">
        <v>2297</v>
      </c>
      <c r="F686" s="3" t="s">
        <v>54</v>
      </c>
      <c r="G686" s="3" t="s">
        <v>1875</v>
      </c>
      <c r="H686" s="3"/>
      <c r="I686" s="3" t="s">
        <v>56</v>
      </c>
      <c r="J686" s="3" t="s">
        <v>145</v>
      </c>
      <c r="K686" s="3" t="s">
        <v>378</v>
      </c>
      <c r="L686" s="3" t="n">
        <v>3</v>
      </c>
      <c r="M686" s="3" t="n">
        <v>30.9</v>
      </c>
      <c r="N686" s="3" t="s">
        <v>171</v>
      </c>
      <c r="O686" s="3" t="s">
        <v>194</v>
      </c>
      <c r="P686" s="10"/>
      <c r="Q686" s="3" t="n">
        <f aca="false">IF(F686="Disposable",1,0)</f>
        <v>0</v>
      </c>
      <c r="R686" s="3" t="n">
        <f aca="false">IF(SUMPRODUCT(--ISNUMBER(SEARCH('Spam Rules'!$A$22:$A$35,K686)))&gt;0,1,0)</f>
        <v>0</v>
      </c>
      <c r="S686" s="3" t="n">
        <f aca="false">IF(AND(F686="Free",G686=""),1,0)</f>
        <v>0</v>
      </c>
      <c r="T686" s="3" t="n">
        <f aca="false">IF(LEN(TRIM(K686))&lt;15,1,0)</f>
        <v>0</v>
      </c>
      <c r="U686" s="3" t="n">
        <f aca="false">IF(COUNTIF($E$2:$E$801,E686)&gt;1,1,0)</f>
        <v>0</v>
      </c>
      <c r="V686" s="3" t="n">
        <f aca="false">Q686*'Spam Rules'!$H$6+R686*'Spam Rules'!$H$7+S686*'Spam Rules'!$H$8+T686*'Spam Rules'!$H$9+U686*'Spam Rules'!$H$10</f>
        <v>0</v>
      </c>
      <c r="W686" s="3" t="str">
        <f aca="false">IF(V686&gt;='Spam Rules'!$B$3,"Likely Spam","Genuine")</f>
        <v>Genuine</v>
      </c>
      <c r="X686" s="3" t="n">
        <f aca="false">IFERROR(INDEX('Scoring Model'!$B$5:$B$11,MATCH(C686,'Scoring Model'!$A$5:$A$11,0)),0)</f>
        <v>5</v>
      </c>
      <c r="Y686" s="3" t="n">
        <f aca="false">IFERROR(INDEX('Scoring Model'!$E$5:$E$7,MATCH(F686,'Scoring Model'!$D$5:$D$7,0)),0)</f>
        <v>0</v>
      </c>
      <c r="Z686" s="3" t="n">
        <f aca="false">IFERROR(INDEX('Scoring Model'!$H$5:$H$13,MATCH(J686,'Scoring Model'!$G$5:$G$13,0)),0)</f>
        <v>5</v>
      </c>
      <c r="AA686" s="3" t="n">
        <f aca="false">IF(L686&gt;='Scoring Model'!$B$14,'Scoring Model'!$B$15,IF(L686&gt;='Scoring Model'!$B$16,'Scoring Model'!$B$17,0))</f>
        <v>0</v>
      </c>
      <c r="AB686" s="3" t="n">
        <f aca="false">IF(SUMPRODUCT(--ISNUMBER(SEARCH('Scoring Model'!$D$16:$D$25,K686)))&gt;0,'Scoring Model'!$B$18,0)</f>
        <v>0</v>
      </c>
      <c r="AC686" s="3" t="n">
        <f aca="false">IF(SUMPRODUCT(--ISNUMBER(SEARCH('Scoring Model'!$G$16:$G$23,K686)))&gt;0,'Scoring Model'!$B$19,0)</f>
        <v>-30</v>
      </c>
      <c r="AD686" s="3" t="n">
        <f aca="false">IF(W686="Likely Spam","",SUM(X686:AC686))</f>
        <v>-20</v>
      </c>
      <c r="AE686" s="3" t="str">
        <f aca="false">IF(W686="Likely Spam","Spam",IF(AD686&gt;='Scoring Model'!$B$21,"Hot",IF(AD686&gt;='Scoring Model'!$B$22,"Warm","Nurture")))</f>
        <v>Nurture</v>
      </c>
      <c r="AF686" s="3" t="str">
        <f aca="false">IF(W686="Likely Spam","Flagged by spam rules",TRIM(IF(X686&gt;=20,"Strong source. ","")&amp;IF(Y686&gt;0,"Company email. ","")&amp;IF(Z686&gt;=15,"High-value product. ","")&amp;IF(AA686&gt;='Scoring Model'!$B$15,"High engagement. ","")&amp;IF(AB686&gt;0,"Buying intent in message. ","")&amp;IF(AC686&lt;0,"Negative intent in message. ","")))</f>
        <v>Negative intent in message.</v>
      </c>
      <c r="AG686" s="11" t="n">
        <f aca="false">IF(W686="Likely Spam","",1/(1+EXP(-('Conversion Model'!$B$5+IFERROR(INDEX('Conversion Model'!$B$8:$B$14,MATCH(C686,'Conversion Model'!$A$8:$A$14,0)),0)+IFERROR(INDEX('Conversion Model'!$E$8:$E$9,MATCH(F686,'Conversion Model'!$D$8:$D$9,0)),0)+IFERROR(INDEX('Conversion Model'!$H$8:$H$12,MATCH(IF(LEFT(J686,8)="Payments","Payments",IF(LEFT(J686,7)="Lending","Lending",J686)),'Conversion Model'!$G$8:$G$12,0)),0)+MIN(L686,15)*'Conversion Model'!$B$17+IF(SUMPRODUCT(--ISNUMBER(SEARCH('Scoring Model'!$D$16:$D$25,K686)))&gt;0,'Conversion Model'!$B$18,0)+IF(SUMPRODUCT(--ISNUMBER(SEARCH('Scoring Model'!$G$16:$G$23,K686)))&gt;0,'Conversion Model'!$B$19,0)))))</f>
        <v>0.00468823425682458</v>
      </c>
      <c r="AH686" s="3" t="n">
        <f aca="false">IF(OR(O686="Qualified",O686="Won",O686="Lost"),1,IF(O686="Unqualified",0,""))</f>
        <v>0</v>
      </c>
    </row>
    <row r="687" customFormat="false" ht="15" hidden="false" customHeight="true" outlineLevel="0" collapsed="false">
      <c r="A687" s="3" t="s">
        <v>2298</v>
      </c>
      <c r="B687" s="9" t="n">
        <v>46246.3236111111</v>
      </c>
      <c r="C687" s="3" t="s">
        <v>51</v>
      </c>
      <c r="D687" s="3" t="s">
        <v>2299</v>
      </c>
      <c r="E687" s="3" t="s">
        <v>2300</v>
      </c>
      <c r="F687" s="3" t="s">
        <v>22</v>
      </c>
      <c r="G687" s="3" t="s">
        <v>1894</v>
      </c>
      <c r="H687" s="3" t="s">
        <v>1895</v>
      </c>
      <c r="I687" s="3" t="s">
        <v>94</v>
      </c>
      <c r="J687" s="3" t="s">
        <v>165</v>
      </c>
      <c r="K687" s="3" t="s">
        <v>2301</v>
      </c>
      <c r="L687" s="3" t="n">
        <v>4</v>
      </c>
      <c r="M687" s="3" t="n">
        <v>12.6</v>
      </c>
      <c r="N687" s="3" t="s">
        <v>171</v>
      </c>
      <c r="O687" s="3" t="s">
        <v>331</v>
      </c>
      <c r="P687" s="10"/>
      <c r="Q687" s="3" t="n">
        <f aca="false">IF(F687="Disposable",1,0)</f>
        <v>0</v>
      </c>
      <c r="R687" s="3" t="n">
        <f aca="false">IF(SUMPRODUCT(--ISNUMBER(SEARCH('Spam Rules'!$A$22:$A$35,K687)))&gt;0,1,0)</f>
        <v>0</v>
      </c>
      <c r="S687" s="3" t="n">
        <f aca="false">IF(AND(F687="Free",G687=""),1,0)</f>
        <v>0</v>
      </c>
      <c r="T687" s="3" t="n">
        <f aca="false">IF(LEN(TRIM(K687))&lt;15,1,0)</f>
        <v>0</v>
      </c>
      <c r="U687" s="3" t="n">
        <f aca="false">IF(COUNTIF($E$2:$E$801,E687)&gt;1,1,0)</f>
        <v>0</v>
      </c>
      <c r="V687" s="3" t="n">
        <f aca="false">Q687*'Spam Rules'!$H$6+R687*'Spam Rules'!$H$7+S687*'Spam Rules'!$H$8+T687*'Spam Rules'!$H$9+U687*'Spam Rules'!$H$10</f>
        <v>0</v>
      </c>
      <c r="W687" s="3" t="str">
        <f aca="false">IF(V687&gt;='Spam Rules'!$B$3,"Likely Spam","Genuine")</f>
        <v>Genuine</v>
      </c>
      <c r="X687" s="3" t="n">
        <f aca="false">IFERROR(INDEX('Scoring Model'!$B$5:$B$11,MATCH(C687,'Scoring Model'!$A$5:$A$11,0)),0)</f>
        <v>10</v>
      </c>
      <c r="Y687" s="3" t="n">
        <f aca="false">IFERROR(INDEX('Scoring Model'!$E$5:$E$7,MATCH(F687,'Scoring Model'!$D$5:$D$7,0)),0)</f>
        <v>20</v>
      </c>
      <c r="Z687" s="3" t="n">
        <f aca="false">IFERROR(INDEX('Scoring Model'!$H$5:$H$13,MATCH(J687,'Scoring Model'!$G$5:$G$13,0)),0)</f>
        <v>15</v>
      </c>
      <c r="AA687" s="3" t="n">
        <f aca="false">IF(L687&gt;='Scoring Model'!$B$14,'Scoring Model'!$B$15,IF(L687&gt;='Scoring Model'!$B$16,'Scoring Model'!$B$17,0))</f>
        <v>8</v>
      </c>
      <c r="AB687" s="3" t="n">
        <f aca="false">IF(SUMPRODUCT(--ISNUMBER(SEARCH('Scoring Model'!$D$16:$D$25,K687)))&gt;0,'Scoring Model'!$B$18,0)</f>
        <v>15</v>
      </c>
      <c r="AC687" s="3" t="n">
        <f aca="false">IF(SUMPRODUCT(--ISNUMBER(SEARCH('Scoring Model'!$G$16:$G$23,K687)))&gt;0,'Scoring Model'!$B$19,0)</f>
        <v>0</v>
      </c>
      <c r="AD687" s="3" t="n">
        <f aca="false">IF(W687="Likely Spam","",SUM(X687:AC687))</f>
        <v>68</v>
      </c>
      <c r="AE687" s="3" t="str">
        <f aca="false">IF(W687="Likely Spam","Spam",IF(AD687&gt;='Scoring Model'!$B$21,"Hot",IF(AD687&gt;='Scoring Model'!$B$22,"Warm","Nurture")))</f>
        <v>Warm</v>
      </c>
      <c r="AF687" s="3" t="str">
        <f aca="false">IF(W687="Likely Spam","Flagged by spam rules",TRIM(IF(X687&gt;=20,"Strong source. ","")&amp;IF(Y687&gt;0,"Company email. ","")&amp;IF(Z687&gt;=15,"High-value product. ","")&amp;IF(AA687&gt;='Scoring Model'!$B$15,"High engagement. ","")&amp;IF(AB687&gt;0,"Buying intent in message. ","")&amp;IF(AC687&lt;0,"Negative intent in message. ","")))</f>
        <v>Company email. High-value product. Buying intent in message.</v>
      </c>
      <c r="AG687" s="11" t="n">
        <f aca="false">IF(W687="Likely Spam","",1/(1+EXP(-('Conversion Model'!$B$5+IFERROR(INDEX('Conversion Model'!$B$8:$B$14,MATCH(C687,'Conversion Model'!$A$8:$A$14,0)),0)+IFERROR(INDEX('Conversion Model'!$E$8:$E$9,MATCH(F687,'Conversion Model'!$D$8:$D$9,0)),0)+IFERROR(INDEX('Conversion Model'!$H$8:$H$12,MATCH(IF(LEFT(J687,8)="Payments","Payments",IF(LEFT(J687,7)="Lending","Lending",J687)),'Conversion Model'!$G$8:$G$12,0)),0)+MIN(L687,15)*'Conversion Model'!$B$17+IF(SUMPRODUCT(--ISNUMBER(SEARCH('Scoring Model'!$D$16:$D$25,K687)))&gt;0,'Conversion Model'!$B$18,0)+IF(SUMPRODUCT(--ISNUMBER(SEARCH('Scoring Model'!$G$16:$G$23,K687)))&gt;0,'Conversion Model'!$B$19,0)))))</f>
        <v>0.495750102351209</v>
      </c>
      <c r="AH687" s="3" t="n">
        <f aca="false">IF(OR(O687="Qualified",O687="Won",O687="Lost"),1,IF(O687="Unqualified",0,""))</f>
        <v>1</v>
      </c>
    </row>
    <row r="688" customFormat="false" ht="15" hidden="false" customHeight="true" outlineLevel="0" collapsed="false">
      <c r="A688" s="3" t="s">
        <v>2302</v>
      </c>
      <c r="B688" s="9" t="n">
        <v>46246.3951388889</v>
      </c>
      <c r="C688" s="3" t="s">
        <v>51</v>
      </c>
      <c r="D688" s="3" t="s">
        <v>450</v>
      </c>
      <c r="E688" s="3" t="s">
        <v>2303</v>
      </c>
      <c r="F688" s="3" t="s">
        <v>54</v>
      </c>
      <c r="G688" s="3" t="s">
        <v>79</v>
      </c>
      <c r="H688" s="3"/>
      <c r="I688" s="3" t="s">
        <v>227</v>
      </c>
      <c r="J688" s="3" t="s">
        <v>65</v>
      </c>
      <c r="K688" s="3" t="s">
        <v>657</v>
      </c>
      <c r="L688" s="3" t="n">
        <v>2</v>
      </c>
      <c r="M688" s="3" t="n">
        <v>26.9</v>
      </c>
      <c r="N688" s="3" t="s">
        <v>67</v>
      </c>
      <c r="O688" s="3" t="s">
        <v>68</v>
      </c>
      <c r="P688" s="10"/>
      <c r="Q688" s="3" t="n">
        <f aca="false">IF(F688="Disposable",1,0)</f>
        <v>0</v>
      </c>
      <c r="R688" s="3" t="n">
        <f aca="false">IF(SUMPRODUCT(--ISNUMBER(SEARCH('Spam Rules'!$A$22:$A$35,K688)))&gt;0,1,0)</f>
        <v>1</v>
      </c>
      <c r="S688" s="3" t="n">
        <f aca="false">IF(AND(F688="Free",G688=""),1,0)</f>
        <v>0</v>
      </c>
      <c r="T688" s="3" t="n">
        <f aca="false">IF(LEN(TRIM(K688))&lt;15,1,0)</f>
        <v>0</v>
      </c>
      <c r="U688" s="3" t="n">
        <f aca="false">IF(COUNTIF($E$2:$E$801,E688)&gt;1,1,0)</f>
        <v>0</v>
      </c>
      <c r="V688" s="3" t="n">
        <f aca="false">Q688*'Spam Rules'!$H$6+R688*'Spam Rules'!$H$7+S688*'Spam Rules'!$H$8+T688*'Spam Rules'!$H$9+U688*'Spam Rules'!$H$10</f>
        <v>1</v>
      </c>
      <c r="W688" s="3" t="str">
        <f aca="false">IF(V688&gt;='Spam Rules'!$B$3,"Likely Spam","Genuine")</f>
        <v>Likely Spam</v>
      </c>
      <c r="X688" s="3" t="n">
        <f aca="false">IFERROR(INDEX('Scoring Model'!$B$5:$B$11,MATCH(C688,'Scoring Model'!$A$5:$A$11,0)),0)</f>
        <v>10</v>
      </c>
      <c r="Y688" s="3" t="n">
        <f aca="false">IFERROR(INDEX('Scoring Model'!$E$5:$E$7,MATCH(F688,'Scoring Model'!$D$5:$D$7,0)),0)</f>
        <v>0</v>
      </c>
      <c r="Z688" s="3" t="n">
        <f aca="false">IFERROR(INDEX('Scoring Model'!$H$5:$H$13,MATCH(J688,'Scoring Model'!$G$5:$G$13,0)),0)</f>
        <v>0</v>
      </c>
      <c r="AA688" s="3" t="n">
        <f aca="false">IF(L688&gt;='Scoring Model'!$B$14,'Scoring Model'!$B$15,IF(L688&gt;='Scoring Model'!$B$16,'Scoring Model'!$B$17,0))</f>
        <v>0</v>
      </c>
      <c r="AB688" s="3" t="n">
        <f aca="false">IF(SUMPRODUCT(--ISNUMBER(SEARCH('Scoring Model'!$D$16:$D$25,K688)))&gt;0,'Scoring Model'!$B$18,0)</f>
        <v>0</v>
      </c>
      <c r="AC688" s="3" t="n">
        <f aca="false">IF(SUMPRODUCT(--ISNUMBER(SEARCH('Scoring Model'!$G$16:$G$23,K688)))&gt;0,'Scoring Model'!$B$19,0)</f>
        <v>0</v>
      </c>
      <c r="AD688" s="3" t="str">
        <f aca="false">IF(W688="Likely Spam","",SUM(X688:AC688))</f>
        <v/>
      </c>
      <c r="AE688" s="3" t="str">
        <f aca="false">IF(W688="Likely Spam","Spam",IF(AD688&gt;='Scoring Model'!$B$21,"Hot",IF(AD688&gt;='Scoring Model'!$B$22,"Warm","Nurture")))</f>
        <v>Spam</v>
      </c>
      <c r="AF688" s="3" t="str">
        <f aca="false">IF(W688="Likely Spam","Flagged by spam rules",TRIM(IF(X688&gt;=20,"Strong source. ","")&amp;IF(Y688&gt;0,"Company email. ","")&amp;IF(Z688&gt;=15,"High-value product. ","")&amp;IF(AA688&gt;='Scoring Model'!$B$15,"High engagement. ","")&amp;IF(AB688&gt;0,"Buying intent in message. ","")&amp;IF(AC688&lt;0,"Negative intent in message. ","")))</f>
        <v>Flagged by spam rules</v>
      </c>
      <c r="AG688" s="11" t="str">
        <f aca="false">IF(W688="Likely Spam","",1/(1+EXP(-('Conversion Model'!$B$5+IFERROR(INDEX('Conversion Model'!$B$8:$B$14,MATCH(C688,'Conversion Model'!$A$8:$A$14,0)),0)+IFERROR(INDEX('Conversion Model'!$E$8:$E$9,MATCH(F688,'Conversion Model'!$D$8:$D$9,0)),0)+IFERROR(INDEX('Conversion Model'!$H$8:$H$12,MATCH(IF(LEFT(J688,8)="Payments","Payments",IF(LEFT(J688,7)="Lending","Lending",J688)),'Conversion Model'!$G$8:$G$12,0)),0)+MIN(L688,15)*'Conversion Model'!$B$17+IF(SUMPRODUCT(--ISNUMBER(SEARCH('Scoring Model'!$D$16:$D$25,K688)))&gt;0,'Conversion Model'!$B$18,0)+IF(SUMPRODUCT(--ISNUMBER(SEARCH('Scoring Model'!$G$16:$G$23,K688)))&gt;0,'Conversion Model'!$B$19,0)))))</f>
        <v/>
      </c>
      <c r="AH688" s="3" t="str">
        <f aca="false">IF(OR(O688="Qualified",O688="Won",O688="Lost"),1,IF(O688="Unqualified",0,""))</f>
        <v/>
      </c>
    </row>
    <row r="689" customFormat="false" ht="15" hidden="false" customHeight="true" outlineLevel="0" collapsed="false">
      <c r="A689" s="3" t="s">
        <v>2304</v>
      </c>
      <c r="B689" s="9" t="n">
        <v>46246.9486111111</v>
      </c>
      <c r="C689" s="3" t="s">
        <v>76</v>
      </c>
      <c r="D689" s="3" t="s">
        <v>2305</v>
      </c>
      <c r="E689" s="3" t="s">
        <v>1430</v>
      </c>
      <c r="F689" s="3" t="s">
        <v>63</v>
      </c>
      <c r="G689" s="3"/>
      <c r="H689" s="3"/>
      <c r="I689" s="3" t="s">
        <v>188</v>
      </c>
      <c r="J689" s="3" t="s">
        <v>65</v>
      </c>
      <c r="K689" s="3" t="s">
        <v>170</v>
      </c>
      <c r="L689" s="3" t="n">
        <v>2</v>
      </c>
      <c r="M689" s="3" t="n">
        <v>18.9</v>
      </c>
      <c r="N689" s="3" t="s">
        <v>67</v>
      </c>
      <c r="O689" s="3" t="s">
        <v>68</v>
      </c>
      <c r="P689" s="10"/>
      <c r="Q689" s="3" t="n">
        <f aca="false">IF(F689="Disposable",1,0)</f>
        <v>1</v>
      </c>
      <c r="R689" s="3" t="n">
        <f aca="false">IF(SUMPRODUCT(--ISNUMBER(SEARCH('Spam Rules'!$A$22:$A$35,K689)))&gt;0,1,0)</f>
        <v>0</v>
      </c>
      <c r="S689" s="3" t="n">
        <f aca="false">IF(AND(F689="Free",G689=""),1,0)</f>
        <v>0</v>
      </c>
      <c r="T689" s="3" t="n">
        <f aca="false">IF(LEN(TRIM(K689))&lt;15,1,0)</f>
        <v>1</v>
      </c>
      <c r="U689" s="3" t="n">
        <f aca="false">IF(COUNTIF($E$2:$E$801,E689)&gt;1,1,0)</f>
        <v>1</v>
      </c>
      <c r="V689" s="3" t="n">
        <f aca="false">Q689*'Spam Rules'!$H$6+R689*'Spam Rules'!$H$7+S689*'Spam Rules'!$H$8+T689*'Spam Rules'!$H$9+U689*'Spam Rules'!$H$10</f>
        <v>2</v>
      </c>
      <c r="W689" s="3" t="str">
        <f aca="false">IF(V689&gt;='Spam Rules'!$B$3,"Likely Spam","Genuine")</f>
        <v>Likely Spam</v>
      </c>
      <c r="X689" s="3" t="n">
        <f aca="false">IFERROR(INDEX('Scoring Model'!$B$5:$B$11,MATCH(C689,'Scoring Model'!$A$5:$A$11,0)),0)</f>
        <v>0</v>
      </c>
      <c r="Y689" s="3" t="n">
        <f aca="false">IFERROR(INDEX('Scoring Model'!$E$5:$E$7,MATCH(F689,'Scoring Model'!$D$5:$D$7,0)),0)</f>
        <v>0</v>
      </c>
      <c r="Z689" s="3" t="n">
        <f aca="false">IFERROR(INDEX('Scoring Model'!$H$5:$H$13,MATCH(J689,'Scoring Model'!$G$5:$G$13,0)),0)</f>
        <v>0</v>
      </c>
      <c r="AA689" s="3" t="n">
        <f aca="false">IF(L689&gt;='Scoring Model'!$B$14,'Scoring Model'!$B$15,IF(L689&gt;='Scoring Model'!$B$16,'Scoring Model'!$B$17,0))</f>
        <v>0</v>
      </c>
      <c r="AB689" s="3" t="n">
        <f aca="false">IF(SUMPRODUCT(--ISNUMBER(SEARCH('Scoring Model'!$D$16:$D$25,K689)))&gt;0,'Scoring Model'!$B$18,0)</f>
        <v>0</v>
      </c>
      <c r="AC689" s="3" t="n">
        <f aca="false">IF(SUMPRODUCT(--ISNUMBER(SEARCH('Scoring Model'!$G$16:$G$23,K689)))&gt;0,'Scoring Model'!$B$19,0)</f>
        <v>0</v>
      </c>
      <c r="AD689" s="3" t="str">
        <f aca="false">IF(W689="Likely Spam","",SUM(X689:AC689))</f>
        <v/>
      </c>
      <c r="AE689" s="3" t="str">
        <f aca="false">IF(W689="Likely Spam","Spam",IF(AD689&gt;='Scoring Model'!$B$21,"Hot",IF(AD689&gt;='Scoring Model'!$B$22,"Warm","Nurture")))</f>
        <v>Spam</v>
      </c>
      <c r="AF689" s="3" t="str">
        <f aca="false">IF(W689="Likely Spam","Flagged by spam rules",TRIM(IF(X689&gt;=20,"Strong source. ","")&amp;IF(Y689&gt;0,"Company email. ","")&amp;IF(Z689&gt;=15,"High-value product. ","")&amp;IF(AA689&gt;='Scoring Model'!$B$15,"High engagement. ","")&amp;IF(AB689&gt;0,"Buying intent in message. ","")&amp;IF(AC689&lt;0,"Negative intent in message. ","")))</f>
        <v>Flagged by spam rules</v>
      </c>
      <c r="AG689" s="11" t="str">
        <f aca="false">IF(W689="Likely Spam","",1/(1+EXP(-('Conversion Model'!$B$5+IFERROR(INDEX('Conversion Model'!$B$8:$B$14,MATCH(C689,'Conversion Model'!$A$8:$A$14,0)),0)+IFERROR(INDEX('Conversion Model'!$E$8:$E$9,MATCH(F689,'Conversion Model'!$D$8:$D$9,0)),0)+IFERROR(INDEX('Conversion Model'!$H$8:$H$12,MATCH(IF(LEFT(J689,8)="Payments","Payments",IF(LEFT(J689,7)="Lending","Lending",J689)),'Conversion Model'!$G$8:$G$12,0)),0)+MIN(L689,15)*'Conversion Model'!$B$17+IF(SUMPRODUCT(--ISNUMBER(SEARCH('Scoring Model'!$D$16:$D$25,K689)))&gt;0,'Conversion Model'!$B$18,0)+IF(SUMPRODUCT(--ISNUMBER(SEARCH('Scoring Model'!$G$16:$G$23,K689)))&gt;0,'Conversion Model'!$B$19,0)))))</f>
        <v/>
      </c>
      <c r="AH689" s="3" t="str">
        <f aca="false">IF(OR(O689="Qualified",O689="Won",O689="Lost"),1,IF(O689="Unqualified",0,""))</f>
        <v/>
      </c>
    </row>
    <row r="690" customFormat="false" ht="15" hidden="false" customHeight="true" outlineLevel="0" collapsed="false">
      <c r="A690" s="3" t="s">
        <v>2306</v>
      </c>
      <c r="B690" s="9" t="n">
        <v>46247.125</v>
      </c>
      <c r="C690" s="3" t="s">
        <v>91</v>
      </c>
      <c r="D690" s="3" t="s">
        <v>2307</v>
      </c>
      <c r="E690" s="3" t="s">
        <v>2308</v>
      </c>
      <c r="F690" s="3" t="s">
        <v>22</v>
      </c>
      <c r="G690" s="3" t="s">
        <v>2309</v>
      </c>
      <c r="H690" s="3" t="s">
        <v>2310</v>
      </c>
      <c r="I690" s="3" t="s">
        <v>334</v>
      </c>
      <c r="J690" s="3" t="s">
        <v>145</v>
      </c>
      <c r="K690" s="3" t="s">
        <v>2311</v>
      </c>
      <c r="L690" s="3" t="n">
        <v>3</v>
      </c>
      <c r="M690" s="3" t="n">
        <v>84.1</v>
      </c>
      <c r="N690" s="3" t="s">
        <v>96</v>
      </c>
      <c r="O690" s="3" t="s">
        <v>133</v>
      </c>
      <c r="P690" s="10"/>
      <c r="Q690" s="3" t="n">
        <f aca="false">IF(F690="Disposable",1,0)</f>
        <v>0</v>
      </c>
      <c r="R690" s="3" t="n">
        <f aca="false">IF(SUMPRODUCT(--ISNUMBER(SEARCH('Spam Rules'!$A$22:$A$35,K690)))&gt;0,1,0)</f>
        <v>0</v>
      </c>
      <c r="S690" s="3" t="n">
        <f aca="false">IF(AND(F690="Free",G690=""),1,0)</f>
        <v>0</v>
      </c>
      <c r="T690" s="3" t="n">
        <f aca="false">IF(LEN(TRIM(K690))&lt;15,1,0)</f>
        <v>0</v>
      </c>
      <c r="U690" s="3" t="n">
        <f aca="false">IF(COUNTIF($E$2:$E$801,E690)&gt;1,1,0)</f>
        <v>0</v>
      </c>
      <c r="V690" s="3" t="n">
        <f aca="false">Q690*'Spam Rules'!$H$6+R690*'Spam Rules'!$H$7+S690*'Spam Rules'!$H$8+T690*'Spam Rules'!$H$9+U690*'Spam Rules'!$H$10</f>
        <v>0</v>
      </c>
      <c r="W690" s="3" t="str">
        <f aca="false">IF(V690&gt;='Spam Rules'!$B$3,"Likely Spam","Genuine")</f>
        <v>Genuine</v>
      </c>
      <c r="X690" s="3" t="n">
        <f aca="false">IFERROR(INDEX('Scoring Model'!$B$5:$B$11,MATCH(C690,'Scoring Model'!$A$5:$A$11,0)),0)</f>
        <v>5</v>
      </c>
      <c r="Y690" s="3" t="n">
        <f aca="false">IFERROR(INDEX('Scoring Model'!$E$5:$E$7,MATCH(F690,'Scoring Model'!$D$5:$D$7,0)),0)</f>
        <v>20</v>
      </c>
      <c r="Z690" s="3" t="n">
        <f aca="false">IFERROR(INDEX('Scoring Model'!$H$5:$H$13,MATCH(J690,'Scoring Model'!$G$5:$G$13,0)),0)</f>
        <v>5</v>
      </c>
      <c r="AA690" s="3" t="n">
        <f aca="false">IF(L690&gt;='Scoring Model'!$B$14,'Scoring Model'!$B$15,IF(L690&gt;='Scoring Model'!$B$16,'Scoring Model'!$B$17,0))</f>
        <v>0</v>
      </c>
      <c r="AB690" s="3" t="n">
        <f aca="false">IF(SUMPRODUCT(--ISNUMBER(SEARCH('Scoring Model'!$D$16:$D$25,K690)))&gt;0,'Scoring Model'!$B$18,0)</f>
        <v>15</v>
      </c>
      <c r="AC690" s="3" t="n">
        <f aca="false">IF(SUMPRODUCT(--ISNUMBER(SEARCH('Scoring Model'!$G$16:$G$23,K690)))&gt;0,'Scoring Model'!$B$19,0)</f>
        <v>0</v>
      </c>
      <c r="AD690" s="3" t="n">
        <f aca="false">IF(W690="Likely Spam","",SUM(X690:AC690))</f>
        <v>45</v>
      </c>
      <c r="AE690" s="3" t="str">
        <f aca="false">IF(W690="Likely Spam","Spam",IF(AD690&gt;='Scoring Model'!$B$21,"Hot",IF(AD690&gt;='Scoring Model'!$B$22,"Warm","Nurture")))</f>
        <v>Warm</v>
      </c>
      <c r="AF690" s="3" t="str">
        <f aca="false">IF(W690="Likely Spam","Flagged by spam rules",TRIM(IF(X690&gt;=20,"Strong source. ","")&amp;IF(Y690&gt;0,"Company email. ","")&amp;IF(Z690&gt;=15,"High-value product. ","")&amp;IF(AA690&gt;='Scoring Model'!$B$15,"High engagement. ","")&amp;IF(AB690&gt;0,"Buying intent in message. ","")&amp;IF(AC690&lt;0,"Negative intent in message. ","")))</f>
        <v>Company email. Buying intent in message.</v>
      </c>
      <c r="AG690" s="11" t="n">
        <f aca="false">IF(W690="Likely Spam","",1/(1+EXP(-('Conversion Model'!$B$5+IFERROR(INDEX('Conversion Model'!$B$8:$B$14,MATCH(C690,'Conversion Model'!$A$8:$A$14,0)),0)+IFERROR(INDEX('Conversion Model'!$E$8:$E$9,MATCH(F690,'Conversion Model'!$D$8:$D$9,0)),0)+IFERROR(INDEX('Conversion Model'!$H$8:$H$12,MATCH(IF(LEFT(J690,8)="Payments","Payments",IF(LEFT(J690,7)="Lending","Lending",J690)),'Conversion Model'!$G$8:$G$12,0)),0)+MIN(L690,15)*'Conversion Model'!$B$17+IF(SUMPRODUCT(--ISNUMBER(SEARCH('Scoring Model'!$D$16:$D$25,K690)))&gt;0,'Conversion Model'!$B$18,0)+IF(SUMPRODUCT(--ISNUMBER(SEARCH('Scoring Model'!$G$16:$G$23,K690)))&gt;0,'Conversion Model'!$B$19,0)))))</f>
        <v>0.275279324065818</v>
      </c>
      <c r="AH690" s="3" t="str">
        <f aca="false">IF(OR(O690="Qualified",O690="Won",O690="Lost"),1,IF(O690="Unqualified",0,""))</f>
        <v/>
      </c>
    </row>
    <row r="691" customFormat="false" ht="15" hidden="false" customHeight="true" outlineLevel="0" collapsed="false">
      <c r="A691" s="3" t="s">
        <v>2312</v>
      </c>
      <c r="B691" s="9" t="n">
        <v>46247.6173611111</v>
      </c>
      <c r="C691" s="3" t="s">
        <v>76</v>
      </c>
      <c r="D691" s="3" t="s">
        <v>1719</v>
      </c>
      <c r="E691" s="3" t="s">
        <v>2313</v>
      </c>
      <c r="F691" s="3" t="s">
        <v>54</v>
      </c>
      <c r="G691" s="3" t="s">
        <v>574</v>
      </c>
      <c r="H691" s="3"/>
      <c r="I691" s="3" t="s">
        <v>94</v>
      </c>
      <c r="J691" s="3" t="s">
        <v>81</v>
      </c>
      <c r="K691" s="3" t="s">
        <v>74</v>
      </c>
      <c r="L691" s="3" t="n">
        <v>4</v>
      </c>
      <c r="M691" s="3" t="n">
        <v>0.5</v>
      </c>
      <c r="N691" s="3" t="s">
        <v>171</v>
      </c>
      <c r="O691" s="3" t="s">
        <v>194</v>
      </c>
      <c r="P691" s="10"/>
      <c r="Q691" s="3" t="n">
        <f aca="false">IF(F691="Disposable",1,0)</f>
        <v>0</v>
      </c>
      <c r="R691" s="3" t="n">
        <f aca="false">IF(SUMPRODUCT(--ISNUMBER(SEARCH('Spam Rules'!$A$22:$A$35,K691)))&gt;0,1,0)</f>
        <v>0</v>
      </c>
      <c r="S691" s="3" t="n">
        <f aca="false">IF(AND(F691="Free",G691=""),1,0)</f>
        <v>0</v>
      </c>
      <c r="T691" s="3" t="n">
        <f aca="false">IF(LEN(TRIM(K691))&lt;15,1,0)</f>
        <v>0</v>
      </c>
      <c r="U691" s="3" t="n">
        <f aca="false">IF(COUNTIF($E$2:$E$801,E691)&gt;1,1,0)</f>
        <v>0</v>
      </c>
      <c r="V691" s="3" t="n">
        <f aca="false">Q691*'Spam Rules'!$H$6+R691*'Spam Rules'!$H$7+S691*'Spam Rules'!$H$8+T691*'Spam Rules'!$H$9+U691*'Spam Rules'!$H$10</f>
        <v>0</v>
      </c>
      <c r="W691" s="3" t="str">
        <f aca="false">IF(V691&gt;='Spam Rules'!$B$3,"Likely Spam","Genuine")</f>
        <v>Genuine</v>
      </c>
      <c r="X691" s="3" t="n">
        <f aca="false">IFERROR(INDEX('Scoring Model'!$B$5:$B$11,MATCH(C691,'Scoring Model'!$A$5:$A$11,0)),0)</f>
        <v>0</v>
      </c>
      <c r="Y691" s="3" t="n">
        <f aca="false">IFERROR(INDEX('Scoring Model'!$E$5:$E$7,MATCH(F691,'Scoring Model'!$D$5:$D$7,0)),0)</f>
        <v>0</v>
      </c>
      <c r="Z691" s="3" t="n">
        <f aca="false">IFERROR(INDEX('Scoring Model'!$H$5:$H$13,MATCH(J691,'Scoring Model'!$G$5:$G$13,0)),0)</f>
        <v>5</v>
      </c>
      <c r="AA691" s="3" t="n">
        <f aca="false">IF(L691&gt;='Scoring Model'!$B$14,'Scoring Model'!$B$15,IF(L691&gt;='Scoring Model'!$B$16,'Scoring Model'!$B$17,0))</f>
        <v>8</v>
      </c>
      <c r="AB691" s="3" t="n">
        <f aca="false">IF(SUMPRODUCT(--ISNUMBER(SEARCH('Scoring Model'!$D$16:$D$25,K691)))&gt;0,'Scoring Model'!$B$18,0)</f>
        <v>0</v>
      </c>
      <c r="AC691" s="3" t="n">
        <f aca="false">IF(SUMPRODUCT(--ISNUMBER(SEARCH('Scoring Model'!$G$16:$G$23,K691)))&gt;0,'Scoring Model'!$B$19,0)</f>
        <v>-30</v>
      </c>
      <c r="AD691" s="3" t="n">
        <f aca="false">IF(W691="Likely Spam","",SUM(X691:AC691))</f>
        <v>-17</v>
      </c>
      <c r="AE691" s="3" t="str">
        <f aca="false">IF(W691="Likely Spam","Spam",IF(AD691&gt;='Scoring Model'!$B$21,"Hot",IF(AD691&gt;='Scoring Model'!$B$22,"Warm","Nurture")))</f>
        <v>Nurture</v>
      </c>
      <c r="AF691" s="3" t="str">
        <f aca="false">IF(W691="Likely Spam","Flagged by spam rules",TRIM(IF(X691&gt;=20,"Strong source. ","")&amp;IF(Y691&gt;0,"Company email. ","")&amp;IF(Z691&gt;=15,"High-value product. ","")&amp;IF(AA691&gt;='Scoring Model'!$B$15,"High engagement. ","")&amp;IF(AB691&gt;0,"Buying intent in message. ","")&amp;IF(AC691&lt;0,"Negative intent in message. ","")))</f>
        <v>Negative intent in message.</v>
      </c>
      <c r="AG691" s="11" t="n">
        <f aca="false">IF(W691="Likely Spam","",1/(1+EXP(-('Conversion Model'!$B$5+IFERROR(INDEX('Conversion Model'!$B$8:$B$14,MATCH(C691,'Conversion Model'!$A$8:$A$14,0)),0)+IFERROR(INDEX('Conversion Model'!$E$8:$E$9,MATCH(F691,'Conversion Model'!$D$8:$D$9,0)),0)+IFERROR(INDEX('Conversion Model'!$H$8:$H$12,MATCH(IF(LEFT(J691,8)="Payments","Payments",IF(LEFT(J691,7)="Lending","Lending",J691)),'Conversion Model'!$G$8:$G$12,0)),0)+MIN(L691,15)*'Conversion Model'!$B$17+IF(SUMPRODUCT(--ISNUMBER(SEARCH('Scoring Model'!$D$16:$D$25,K691)))&gt;0,'Conversion Model'!$B$18,0)+IF(SUMPRODUCT(--ISNUMBER(SEARCH('Scoring Model'!$G$16:$G$23,K691)))&gt;0,'Conversion Model'!$B$19,0)))))</f>
        <v>0.0060357567091923</v>
      </c>
      <c r="AH691" s="3" t="n">
        <f aca="false">IF(OR(O691="Qualified",O691="Won",O691="Lost"),1,IF(O691="Unqualified",0,""))</f>
        <v>0</v>
      </c>
    </row>
    <row r="692" customFormat="false" ht="15" hidden="false" customHeight="true" outlineLevel="0" collapsed="false">
      <c r="A692" s="3" t="s">
        <v>2314</v>
      </c>
      <c r="B692" s="9" t="n">
        <v>46247.6881944445</v>
      </c>
      <c r="C692" s="3" t="s">
        <v>128</v>
      </c>
      <c r="D692" s="3" t="s">
        <v>919</v>
      </c>
      <c r="E692" s="3" t="s">
        <v>2315</v>
      </c>
      <c r="F692" s="3" t="s">
        <v>22</v>
      </c>
      <c r="G692" s="3" t="s">
        <v>891</v>
      </c>
      <c r="H692" s="3" t="s">
        <v>892</v>
      </c>
      <c r="I692" s="3" t="s">
        <v>139</v>
      </c>
      <c r="J692" s="3" t="s">
        <v>57</v>
      </c>
      <c r="K692" s="3" t="s">
        <v>644</v>
      </c>
      <c r="L692" s="3" t="n">
        <v>3</v>
      </c>
      <c r="M692" s="3" t="n">
        <v>29.6</v>
      </c>
      <c r="N692" s="3" t="s">
        <v>59</v>
      </c>
      <c r="O692" s="3" t="s">
        <v>331</v>
      </c>
      <c r="P692" s="10"/>
      <c r="Q692" s="3" t="n">
        <f aca="false">IF(F692="Disposable",1,0)</f>
        <v>0</v>
      </c>
      <c r="R692" s="3" t="n">
        <f aca="false">IF(SUMPRODUCT(--ISNUMBER(SEARCH('Spam Rules'!$A$22:$A$35,K692)))&gt;0,1,0)</f>
        <v>0</v>
      </c>
      <c r="S692" s="3" t="n">
        <f aca="false">IF(AND(F692="Free",G692=""),1,0)</f>
        <v>0</v>
      </c>
      <c r="T692" s="3" t="n">
        <f aca="false">IF(LEN(TRIM(K692))&lt;15,1,0)</f>
        <v>0</v>
      </c>
      <c r="U692" s="3" t="n">
        <f aca="false">IF(COUNTIF($E$2:$E$801,E692)&gt;1,1,0)</f>
        <v>0</v>
      </c>
      <c r="V692" s="3" t="n">
        <f aca="false">Q692*'Spam Rules'!$H$6+R692*'Spam Rules'!$H$7+S692*'Spam Rules'!$H$8+T692*'Spam Rules'!$H$9+U692*'Spam Rules'!$H$10</f>
        <v>0</v>
      </c>
      <c r="W692" s="3" t="str">
        <f aca="false">IF(V692&gt;='Spam Rules'!$B$3,"Likely Spam","Genuine")</f>
        <v>Genuine</v>
      </c>
      <c r="X692" s="3" t="n">
        <f aca="false">IFERROR(INDEX('Scoring Model'!$B$5:$B$11,MATCH(C692,'Scoring Model'!$A$5:$A$11,0)),0)</f>
        <v>30</v>
      </c>
      <c r="Y692" s="3" t="n">
        <f aca="false">IFERROR(INDEX('Scoring Model'!$E$5:$E$7,MATCH(F692,'Scoring Model'!$D$5:$D$7,0)),0)</f>
        <v>20</v>
      </c>
      <c r="Z692" s="3" t="n">
        <f aca="false">IFERROR(INDEX('Scoring Model'!$H$5:$H$13,MATCH(J692,'Scoring Model'!$G$5:$G$13,0)),0)</f>
        <v>15</v>
      </c>
      <c r="AA692" s="3" t="n">
        <f aca="false">IF(L692&gt;='Scoring Model'!$B$14,'Scoring Model'!$B$15,IF(L692&gt;='Scoring Model'!$B$16,'Scoring Model'!$B$17,0))</f>
        <v>0</v>
      </c>
      <c r="AB692" s="3" t="n">
        <f aca="false">IF(SUMPRODUCT(--ISNUMBER(SEARCH('Scoring Model'!$D$16:$D$25,K692)))&gt;0,'Scoring Model'!$B$18,0)</f>
        <v>15</v>
      </c>
      <c r="AC692" s="3" t="n">
        <f aca="false">IF(SUMPRODUCT(--ISNUMBER(SEARCH('Scoring Model'!$G$16:$G$23,K692)))&gt;0,'Scoring Model'!$B$19,0)</f>
        <v>0</v>
      </c>
      <c r="AD692" s="3" t="n">
        <f aca="false">IF(W692="Likely Spam","",SUM(X692:AC692))</f>
        <v>80</v>
      </c>
      <c r="AE692" s="3" t="str">
        <f aca="false">IF(W692="Likely Spam","Spam",IF(AD692&gt;='Scoring Model'!$B$21,"Hot",IF(AD692&gt;='Scoring Model'!$B$22,"Warm","Nurture")))</f>
        <v>Hot</v>
      </c>
      <c r="AF692" s="3" t="str">
        <f aca="false">IF(W692="Likely Spam","Flagged by spam rules",TRIM(IF(X692&gt;=20,"Strong source. ","")&amp;IF(Y692&gt;0,"Company email. ","")&amp;IF(Z692&gt;=15,"High-value product. ","")&amp;IF(AA692&gt;='Scoring Model'!$B$15,"High engagement. ","")&amp;IF(AB692&gt;0,"Buying intent in message. ","")&amp;IF(AC692&lt;0,"Negative intent in message. ","")))</f>
        <v>Strong source. Company email. High-value product. Buying intent in message.</v>
      </c>
      <c r="AG692" s="11" t="n">
        <f aca="false">IF(W692="Likely Spam","",1/(1+EXP(-('Conversion Model'!$B$5+IFERROR(INDEX('Conversion Model'!$B$8:$B$14,MATCH(C692,'Conversion Model'!$A$8:$A$14,0)),0)+IFERROR(INDEX('Conversion Model'!$E$8:$E$9,MATCH(F692,'Conversion Model'!$D$8:$D$9,0)),0)+IFERROR(INDEX('Conversion Model'!$H$8:$H$12,MATCH(IF(LEFT(J692,8)="Payments","Payments",IF(LEFT(J692,7)="Lending","Lending",J692)),'Conversion Model'!$G$8:$G$12,0)),0)+MIN(L692,15)*'Conversion Model'!$B$17+IF(SUMPRODUCT(--ISNUMBER(SEARCH('Scoring Model'!$D$16:$D$25,K692)))&gt;0,'Conversion Model'!$B$18,0)+IF(SUMPRODUCT(--ISNUMBER(SEARCH('Scoring Model'!$G$16:$G$23,K692)))&gt;0,'Conversion Model'!$B$19,0)))))</f>
        <v>0.593149336128624</v>
      </c>
      <c r="AH692" s="3" t="n">
        <f aca="false">IF(OR(O692="Qualified",O692="Won",O692="Lost"),1,IF(O692="Unqualified",0,""))</f>
        <v>1</v>
      </c>
    </row>
    <row r="693" customFormat="false" ht="15" hidden="false" customHeight="true" outlineLevel="0" collapsed="false">
      <c r="A693" s="3" t="s">
        <v>2316</v>
      </c>
      <c r="B693" s="9" t="n">
        <v>46247.7076388889</v>
      </c>
      <c r="C693" s="3" t="s">
        <v>135</v>
      </c>
      <c r="D693" s="3" t="s">
        <v>591</v>
      </c>
      <c r="E693" s="3" t="s">
        <v>2317</v>
      </c>
      <c r="F693" s="3" t="s">
        <v>54</v>
      </c>
      <c r="G693" s="3" t="s">
        <v>79</v>
      </c>
      <c r="H693" s="3"/>
      <c r="I693" s="3" t="s">
        <v>88</v>
      </c>
      <c r="J693" s="3" t="s">
        <v>122</v>
      </c>
      <c r="K693" s="3" t="s">
        <v>82</v>
      </c>
      <c r="L693" s="3" t="n">
        <v>1</v>
      </c>
      <c r="M693" s="3"/>
      <c r="N693" s="3" t="s">
        <v>67</v>
      </c>
      <c r="O693" s="3" t="s">
        <v>68</v>
      </c>
      <c r="P693" s="10"/>
      <c r="Q693" s="3" t="n">
        <f aca="false">IF(F693="Disposable",1,0)</f>
        <v>0</v>
      </c>
      <c r="R693" s="3" t="n">
        <f aca="false">IF(SUMPRODUCT(--ISNUMBER(SEARCH('Spam Rules'!$A$22:$A$35,K693)))&gt;0,1,0)</f>
        <v>1</v>
      </c>
      <c r="S693" s="3" t="n">
        <f aca="false">IF(AND(F693="Free",G693=""),1,0)</f>
        <v>0</v>
      </c>
      <c r="T693" s="3" t="n">
        <f aca="false">IF(LEN(TRIM(K693))&lt;15,1,0)</f>
        <v>0</v>
      </c>
      <c r="U693" s="3" t="n">
        <f aca="false">IF(COUNTIF($E$2:$E$801,E693)&gt;1,1,0)</f>
        <v>0</v>
      </c>
      <c r="V693" s="3" t="n">
        <f aca="false">Q693*'Spam Rules'!$H$6+R693*'Spam Rules'!$H$7+S693*'Spam Rules'!$H$8+T693*'Spam Rules'!$H$9+U693*'Spam Rules'!$H$10</f>
        <v>1</v>
      </c>
      <c r="W693" s="3" t="str">
        <f aca="false">IF(V693&gt;='Spam Rules'!$B$3,"Likely Spam","Genuine")</f>
        <v>Likely Spam</v>
      </c>
      <c r="X693" s="3" t="n">
        <f aca="false">IFERROR(INDEX('Scoring Model'!$B$5:$B$11,MATCH(C693,'Scoring Model'!$A$5:$A$11,0)),0)</f>
        <v>20</v>
      </c>
      <c r="Y693" s="3" t="n">
        <f aca="false">IFERROR(INDEX('Scoring Model'!$E$5:$E$7,MATCH(F693,'Scoring Model'!$D$5:$D$7,0)),0)</f>
        <v>0</v>
      </c>
      <c r="Z693" s="3" t="n">
        <f aca="false">IFERROR(INDEX('Scoring Model'!$H$5:$H$13,MATCH(J693,'Scoring Model'!$G$5:$G$13,0)),0)</f>
        <v>15</v>
      </c>
      <c r="AA693" s="3" t="n">
        <f aca="false">IF(L693&gt;='Scoring Model'!$B$14,'Scoring Model'!$B$15,IF(L693&gt;='Scoring Model'!$B$16,'Scoring Model'!$B$17,0))</f>
        <v>0</v>
      </c>
      <c r="AB693" s="3" t="n">
        <f aca="false">IF(SUMPRODUCT(--ISNUMBER(SEARCH('Scoring Model'!$D$16:$D$25,K693)))&gt;0,'Scoring Model'!$B$18,0)</f>
        <v>0</v>
      </c>
      <c r="AC693" s="3" t="n">
        <f aca="false">IF(SUMPRODUCT(--ISNUMBER(SEARCH('Scoring Model'!$G$16:$G$23,K693)))&gt;0,'Scoring Model'!$B$19,0)</f>
        <v>0</v>
      </c>
      <c r="AD693" s="3" t="str">
        <f aca="false">IF(W693="Likely Spam","",SUM(X693:AC693))</f>
        <v/>
      </c>
      <c r="AE693" s="3" t="str">
        <f aca="false">IF(W693="Likely Spam","Spam",IF(AD693&gt;='Scoring Model'!$B$21,"Hot",IF(AD693&gt;='Scoring Model'!$B$22,"Warm","Nurture")))</f>
        <v>Spam</v>
      </c>
      <c r="AF693" s="3" t="str">
        <f aca="false">IF(W693="Likely Spam","Flagged by spam rules",TRIM(IF(X693&gt;=20,"Strong source. ","")&amp;IF(Y693&gt;0,"Company email. ","")&amp;IF(Z693&gt;=15,"High-value product. ","")&amp;IF(AA693&gt;='Scoring Model'!$B$15,"High engagement. ","")&amp;IF(AB693&gt;0,"Buying intent in message. ","")&amp;IF(AC693&lt;0,"Negative intent in message. ","")))</f>
        <v>Flagged by spam rules</v>
      </c>
      <c r="AG693" s="11" t="str">
        <f aca="false">IF(W693="Likely Spam","",1/(1+EXP(-('Conversion Model'!$B$5+IFERROR(INDEX('Conversion Model'!$B$8:$B$14,MATCH(C693,'Conversion Model'!$A$8:$A$14,0)),0)+IFERROR(INDEX('Conversion Model'!$E$8:$E$9,MATCH(F693,'Conversion Model'!$D$8:$D$9,0)),0)+IFERROR(INDEX('Conversion Model'!$H$8:$H$12,MATCH(IF(LEFT(J693,8)="Payments","Payments",IF(LEFT(J693,7)="Lending","Lending",J693)),'Conversion Model'!$G$8:$G$12,0)),0)+MIN(L693,15)*'Conversion Model'!$B$17+IF(SUMPRODUCT(--ISNUMBER(SEARCH('Scoring Model'!$D$16:$D$25,K693)))&gt;0,'Conversion Model'!$B$18,0)+IF(SUMPRODUCT(--ISNUMBER(SEARCH('Scoring Model'!$G$16:$G$23,K693)))&gt;0,'Conversion Model'!$B$19,0)))))</f>
        <v/>
      </c>
      <c r="AH693" s="3" t="str">
        <f aca="false">IF(OR(O693="Qualified",O693="Won",O693="Lost"),1,IF(O693="Unqualified",0,""))</f>
        <v/>
      </c>
    </row>
    <row r="694" customFormat="false" ht="15" hidden="false" customHeight="true" outlineLevel="0" collapsed="false">
      <c r="A694" s="3" t="s">
        <v>2318</v>
      </c>
      <c r="B694" s="9" t="n">
        <v>46247.8479166667</v>
      </c>
      <c r="C694" s="3" t="s">
        <v>91</v>
      </c>
      <c r="D694" s="3" t="s">
        <v>1539</v>
      </c>
      <c r="E694" s="3" t="s">
        <v>2319</v>
      </c>
      <c r="F694" s="3" t="s">
        <v>54</v>
      </c>
      <c r="G694" s="3" t="s">
        <v>211</v>
      </c>
      <c r="H694" s="3"/>
      <c r="I694" s="3" t="s">
        <v>188</v>
      </c>
      <c r="J694" s="3" t="s">
        <v>117</v>
      </c>
      <c r="K694" s="3" t="s">
        <v>58</v>
      </c>
      <c r="L694" s="3" t="n">
        <v>2</v>
      </c>
      <c r="M694" s="3" t="n">
        <v>8.6</v>
      </c>
      <c r="N694" s="3" t="s">
        <v>59</v>
      </c>
      <c r="O694" s="3" t="s">
        <v>133</v>
      </c>
      <c r="P694" s="10"/>
      <c r="Q694" s="3" t="n">
        <f aca="false">IF(F694="Disposable",1,0)</f>
        <v>0</v>
      </c>
      <c r="R694" s="3" t="n">
        <f aca="false">IF(SUMPRODUCT(--ISNUMBER(SEARCH('Spam Rules'!$A$22:$A$35,K694)))&gt;0,1,0)</f>
        <v>0</v>
      </c>
      <c r="S694" s="3" t="n">
        <f aca="false">IF(AND(F694="Free",G694=""),1,0)</f>
        <v>0</v>
      </c>
      <c r="T694" s="3" t="n">
        <f aca="false">IF(LEN(TRIM(K694))&lt;15,1,0)</f>
        <v>0</v>
      </c>
      <c r="U694" s="3" t="n">
        <f aca="false">IF(COUNTIF($E$2:$E$801,E694)&gt;1,1,0)</f>
        <v>0</v>
      </c>
      <c r="V694" s="3" t="n">
        <f aca="false">Q694*'Spam Rules'!$H$6+R694*'Spam Rules'!$H$7+S694*'Spam Rules'!$H$8+T694*'Spam Rules'!$H$9+U694*'Spam Rules'!$H$10</f>
        <v>0</v>
      </c>
      <c r="W694" s="3" t="str">
        <f aca="false">IF(V694&gt;='Spam Rules'!$B$3,"Likely Spam","Genuine")</f>
        <v>Genuine</v>
      </c>
      <c r="X694" s="3" t="n">
        <f aca="false">IFERROR(INDEX('Scoring Model'!$B$5:$B$11,MATCH(C694,'Scoring Model'!$A$5:$A$11,0)),0)</f>
        <v>5</v>
      </c>
      <c r="Y694" s="3" t="n">
        <f aca="false">IFERROR(INDEX('Scoring Model'!$E$5:$E$7,MATCH(F694,'Scoring Model'!$D$5:$D$7,0)),0)</f>
        <v>0</v>
      </c>
      <c r="Z694" s="3" t="n">
        <f aca="false">IFERROR(INDEX('Scoring Model'!$H$5:$H$13,MATCH(J694,'Scoring Model'!$G$5:$G$13,0)),0)</f>
        <v>15</v>
      </c>
      <c r="AA694" s="3" t="n">
        <f aca="false">IF(L694&gt;='Scoring Model'!$B$14,'Scoring Model'!$B$15,IF(L694&gt;='Scoring Model'!$B$16,'Scoring Model'!$B$17,0))</f>
        <v>0</v>
      </c>
      <c r="AB694" s="3" t="n">
        <f aca="false">IF(SUMPRODUCT(--ISNUMBER(SEARCH('Scoring Model'!$D$16:$D$25,K694)))&gt;0,'Scoring Model'!$B$18,0)</f>
        <v>15</v>
      </c>
      <c r="AC694" s="3" t="n">
        <f aca="false">IF(SUMPRODUCT(--ISNUMBER(SEARCH('Scoring Model'!$G$16:$G$23,K694)))&gt;0,'Scoring Model'!$B$19,0)</f>
        <v>0</v>
      </c>
      <c r="AD694" s="3" t="n">
        <f aca="false">IF(W694="Likely Spam","",SUM(X694:AC694))</f>
        <v>35</v>
      </c>
      <c r="AE694" s="3" t="str">
        <f aca="false">IF(W694="Likely Spam","Spam",IF(AD694&gt;='Scoring Model'!$B$21,"Hot",IF(AD694&gt;='Scoring Model'!$B$22,"Warm","Nurture")))</f>
        <v>Nurture</v>
      </c>
      <c r="AF694" s="3" t="str">
        <f aca="false">IF(W694="Likely Spam","Flagged by spam rules",TRIM(IF(X694&gt;=20,"Strong source. ","")&amp;IF(Y694&gt;0,"Company email. ","")&amp;IF(Z694&gt;=15,"High-value product. ","")&amp;IF(AA694&gt;='Scoring Model'!$B$15,"High engagement. ","")&amp;IF(AB694&gt;0,"Buying intent in message. ","")&amp;IF(AC694&lt;0,"Negative intent in message. ","")))</f>
        <v>High-value product. Buying intent in message.</v>
      </c>
      <c r="AG694" s="11" t="n">
        <f aca="false">IF(W694="Likely Spam","",1/(1+EXP(-('Conversion Model'!$B$5+IFERROR(INDEX('Conversion Model'!$B$8:$B$14,MATCH(C694,'Conversion Model'!$A$8:$A$14,0)),0)+IFERROR(INDEX('Conversion Model'!$E$8:$E$9,MATCH(F694,'Conversion Model'!$D$8:$D$9,0)),0)+IFERROR(INDEX('Conversion Model'!$H$8:$H$12,MATCH(IF(LEFT(J694,8)="Payments","Payments",IF(LEFT(J694,7)="Lending","Lending",J694)),'Conversion Model'!$G$8:$G$12,0)),0)+MIN(L694,15)*'Conversion Model'!$B$17+IF(SUMPRODUCT(--ISNUMBER(SEARCH('Scoring Model'!$D$16:$D$25,K694)))&gt;0,'Conversion Model'!$B$18,0)+IF(SUMPRODUCT(--ISNUMBER(SEARCH('Scoring Model'!$G$16:$G$23,K694)))&gt;0,'Conversion Model'!$B$19,0)))))</f>
        <v>0.13250377783229</v>
      </c>
      <c r="AH694" s="3" t="str">
        <f aca="false">IF(OR(O694="Qualified",O694="Won",O694="Lost"),1,IF(O694="Unqualified",0,""))</f>
        <v/>
      </c>
    </row>
    <row r="695" customFormat="false" ht="15" hidden="false" customHeight="true" outlineLevel="0" collapsed="false">
      <c r="A695" s="3" t="s">
        <v>2320</v>
      </c>
      <c r="B695" s="9" t="n">
        <v>46247.9201388889</v>
      </c>
      <c r="C695" s="3" t="s">
        <v>51</v>
      </c>
      <c r="D695" s="3" t="s">
        <v>124</v>
      </c>
      <c r="E695" s="3" t="s">
        <v>2321</v>
      </c>
      <c r="F695" s="3" t="s">
        <v>54</v>
      </c>
      <c r="G695" s="3"/>
      <c r="H695" s="3"/>
      <c r="I695" s="3" t="s">
        <v>88</v>
      </c>
      <c r="J695" s="3" t="s">
        <v>145</v>
      </c>
      <c r="K695" s="3" t="s">
        <v>193</v>
      </c>
      <c r="L695" s="3" t="n">
        <v>3</v>
      </c>
      <c r="M695" s="3" t="n">
        <v>5.1</v>
      </c>
      <c r="N695" s="3" t="s">
        <v>67</v>
      </c>
      <c r="O695" s="3" t="s">
        <v>194</v>
      </c>
      <c r="P695" s="10"/>
      <c r="Q695" s="3" t="n">
        <f aca="false">IF(F695="Disposable",1,0)</f>
        <v>0</v>
      </c>
      <c r="R695" s="3" t="n">
        <f aca="false">IF(SUMPRODUCT(--ISNUMBER(SEARCH('Spam Rules'!$A$22:$A$35,K695)))&gt;0,1,0)</f>
        <v>0</v>
      </c>
      <c r="S695" s="3" t="n">
        <f aca="false">IF(AND(F695="Free",G695=""),1,0)</f>
        <v>1</v>
      </c>
      <c r="T695" s="3" t="n">
        <f aca="false">IF(LEN(TRIM(K695))&lt;15,1,0)</f>
        <v>0</v>
      </c>
      <c r="U695" s="3" t="n">
        <f aca="false">IF(COUNTIF($E$2:$E$801,E695)&gt;1,1,0)</f>
        <v>0</v>
      </c>
      <c r="V695" s="3" t="n">
        <f aca="false">Q695*'Spam Rules'!$H$6+R695*'Spam Rules'!$H$7+S695*'Spam Rules'!$H$8+T695*'Spam Rules'!$H$9+U695*'Spam Rules'!$H$10</f>
        <v>0</v>
      </c>
      <c r="W695" s="3" t="str">
        <f aca="false">IF(V695&gt;='Spam Rules'!$B$3,"Likely Spam","Genuine")</f>
        <v>Genuine</v>
      </c>
      <c r="X695" s="3" t="n">
        <f aca="false">IFERROR(INDEX('Scoring Model'!$B$5:$B$11,MATCH(C695,'Scoring Model'!$A$5:$A$11,0)),0)</f>
        <v>10</v>
      </c>
      <c r="Y695" s="3" t="n">
        <f aca="false">IFERROR(INDEX('Scoring Model'!$E$5:$E$7,MATCH(F695,'Scoring Model'!$D$5:$D$7,0)),0)</f>
        <v>0</v>
      </c>
      <c r="Z695" s="3" t="n">
        <f aca="false">IFERROR(INDEX('Scoring Model'!$H$5:$H$13,MATCH(J695,'Scoring Model'!$G$5:$G$13,0)),0)</f>
        <v>5</v>
      </c>
      <c r="AA695" s="3" t="n">
        <f aca="false">IF(L695&gt;='Scoring Model'!$B$14,'Scoring Model'!$B$15,IF(L695&gt;='Scoring Model'!$B$16,'Scoring Model'!$B$17,0))</f>
        <v>0</v>
      </c>
      <c r="AB695" s="3" t="n">
        <f aca="false">IF(SUMPRODUCT(--ISNUMBER(SEARCH('Scoring Model'!$D$16:$D$25,K695)))&gt;0,'Scoring Model'!$B$18,0)</f>
        <v>0</v>
      </c>
      <c r="AC695" s="3" t="n">
        <f aca="false">IF(SUMPRODUCT(--ISNUMBER(SEARCH('Scoring Model'!$G$16:$G$23,K695)))&gt;0,'Scoring Model'!$B$19,0)</f>
        <v>-30</v>
      </c>
      <c r="AD695" s="3" t="n">
        <f aca="false">IF(W695="Likely Spam","",SUM(X695:AC695))</f>
        <v>-15</v>
      </c>
      <c r="AE695" s="3" t="str">
        <f aca="false">IF(W695="Likely Spam","Spam",IF(AD695&gt;='Scoring Model'!$B$21,"Hot",IF(AD695&gt;='Scoring Model'!$B$22,"Warm","Nurture")))</f>
        <v>Nurture</v>
      </c>
      <c r="AF695" s="3" t="str">
        <f aca="false">IF(W695="Likely Spam","Flagged by spam rules",TRIM(IF(X695&gt;=20,"Strong source. ","")&amp;IF(Y695&gt;0,"Company email. ","")&amp;IF(Z695&gt;=15,"High-value product. ","")&amp;IF(AA695&gt;='Scoring Model'!$B$15,"High engagement. ","")&amp;IF(AB695&gt;0,"Buying intent in message. ","")&amp;IF(AC695&lt;0,"Negative intent in message. ","")))</f>
        <v>Negative intent in message.</v>
      </c>
      <c r="AG695" s="11" t="n">
        <f aca="false">IF(W695="Likely Spam","",1/(1+EXP(-('Conversion Model'!$B$5+IFERROR(INDEX('Conversion Model'!$B$8:$B$14,MATCH(C695,'Conversion Model'!$A$8:$A$14,0)),0)+IFERROR(INDEX('Conversion Model'!$E$8:$E$9,MATCH(F695,'Conversion Model'!$D$8:$D$9,0)),0)+IFERROR(INDEX('Conversion Model'!$H$8:$H$12,MATCH(IF(LEFT(J695,8)="Payments","Payments",IF(LEFT(J695,7)="Lending","Lending",J695)),'Conversion Model'!$G$8:$G$12,0)),0)+MIN(L695,15)*'Conversion Model'!$B$17+IF(SUMPRODUCT(--ISNUMBER(SEARCH('Scoring Model'!$D$16:$D$25,K695)))&gt;0,'Conversion Model'!$B$18,0)+IF(SUMPRODUCT(--ISNUMBER(SEARCH('Scoring Model'!$G$16:$G$23,K695)))&gt;0,'Conversion Model'!$B$19,0)))))</f>
        <v>0.00639387738074586</v>
      </c>
      <c r="AH695" s="3" t="n">
        <f aca="false">IF(OR(O695="Qualified",O695="Won",O695="Lost"),1,IF(O695="Unqualified",0,""))</f>
        <v>0</v>
      </c>
    </row>
    <row r="696" customFormat="false" ht="15" hidden="false" customHeight="true" outlineLevel="0" collapsed="false">
      <c r="A696" s="3" t="s">
        <v>2322</v>
      </c>
      <c r="B696" s="9" t="n">
        <v>46247.9791666667</v>
      </c>
      <c r="C696" s="3" t="s">
        <v>160</v>
      </c>
      <c r="D696" s="3" t="s">
        <v>1101</v>
      </c>
      <c r="E696" s="3" t="s">
        <v>2323</v>
      </c>
      <c r="F696" s="3" t="s">
        <v>22</v>
      </c>
      <c r="G696" s="3" t="s">
        <v>1491</v>
      </c>
      <c r="H696" s="3" t="s">
        <v>1492</v>
      </c>
      <c r="I696" s="3" t="s">
        <v>227</v>
      </c>
      <c r="J696" s="3" t="s">
        <v>117</v>
      </c>
      <c r="K696" s="3" t="s">
        <v>1493</v>
      </c>
      <c r="L696" s="3" t="n">
        <v>5</v>
      </c>
      <c r="M696" s="3" t="n">
        <v>12.1</v>
      </c>
      <c r="N696" s="3" t="s">
        <v>96</v>
      </c>
      <c r="O696" s="3" t="s">
        <v>110</v>
      </c>
      <c r="P696" s="10"/>
      <c r="Q696" s="3" t="n">
        <f aca="false">IF(F696="Disposable",1,0)</f>
        <v>0</v>
      </c>
      <c r="R696" s="3" t="n">
        <f aca="false">IF(SUMPRODUCT(--ISNUMBER(SEARCH('Spam Rules'!$A$22:$A$35,K696)))&gt;0,1,0)</f>
        <v>0</v>
      </c>
      <c r="S696" s="3" t="n">
        <f aca="false">IF(AND(F696="Free",G696=""),1,0)</f>
        <v>0</v>
      </c>
      <c r="T696" s="3" t="n">
        <f aca="false">IF(LEN(TRIM(K696))&lt;15,1,0)</f>
        <v>0</v>
      </c>
      <c r="U696" s="3" t="n">
        <f aca="false">IF(COUNTIF($E$2:$E$801,E696)&gt;1,1,0)</f>
        <v>0</v>
      </c>
      <c r="V696" s="3" t="n">
        <f aca="false">Q696*'Spam Rules'!$H$6+R696*'Spam Rules'!$H$7+S696*'Spam Rules'!$H$8+T696*'Spam Rules'!$H$9+U696*'Spam Rules'!$H$10</f>
        <v>0</v>
      </c>
      <c r="W696" s="3" t="str">
        <f aca="false">IF(V696&gt;='Spam Rules'!$B$3,"Likely Spam","Genuine")</f>
        <v>Genuine</v>
      </c>
      <c r="X696" s="3" t="n">
        <f aca="false">IFERROR(INDEX('Scoring Model'!$B$5:$B$11,MATCH(C696,'Scoring Model'!$A$5:$A$11,0)),0)</f>
        <v>25</v>
      </c>
      <c r="Y696" s="3" t="n">
        <f aca="false">IFERROR(INDEX('Scoring Model'!$E$5:$E$7,MATCH(F696,'Scoring Model'!$D$5:$D$7,0)),0)</f>
        <v>20</v>
      </c>
      <c r="Z696" s="3" t="n">
        <f aca="false">IFERROR(INDEX('Scoring Model'!$H$5:$H$13,MATCH(J696,'Scoring Model'!$G$5:$G$13,0)),0)</f>
        <v>15</v>
      </c>
      <c r="AA696" s="3" t="n">
        <f aca="false">IF(L696&gt;='Scoring Model'!$B$14,'Scoring Model'!$B$15,IF(L696&gt;='Scoring Model'!$B$16,'Scoring Model'!$B$17,0))</f>
        <v>8</v>
      </c>
      <c r="AB696" s="3" t="n">
        <f aca="false">IF(SUMPRODUCT(--ISNUMBER(SEARCH('Scoring Model'!$D$16:$D$25,K696)))&gt;0,'Scoring Model'!$B$18,0)</f>
        <v>15</v>
      </c>
      <c r="AC696" s="3" t="n">
        <f aca="false">IF(SUMPRODUCT(--ISNUMBER(SEARCH('Scoring Model'!$G$16:$G$23,K696)))&gt;0,'Scoring Model'!$B$19,0)</f>
        <v>0</v>
      </c>
      <c r="AD696" s="3" t="n">
        <f aca="false">IF(W696="Likely Spam","",SUM(X696:AC696))</f>
        <v>83</v>
      </c>
      <c r="AE696" s="3" t="str">
        <f aca="false">IF(W696="Likely Spam","Spam",IF(AD696&gt;='Scoring Model'!$B$21,"Hot",IF(AD696&gt;='Scoring Model'!$B$22,"Warm","Nurture")))</f>
        <v>Hot</v>
      </c>
      <c r="AF696" s="3" t="str">
        <f aca="false">IF(W696="Likely Spam","Flagged by spam rules",TRIM(IF(X696&gt;=20,"Strong source. ","")&amp;IF(Y696&gt;0,"Company email. ","")&amp;IF(Z696&gt;=15,"High-value product. ","")&amp;IF(AA696&gt;='Scoring Model'!$B$15,"High engagement. ","")&amp;IF(AB696&gt;0,"Buying intent in message. ","")&amp;IF(AC696&lt;0,"Negative intent in message. ","")))</f>
        <v>Strong source. Company email. High-value product. Buying intent in message.</v>
      </c>
      <c r="AG696" s="11" t="n">
        <f aca="false">IF(W696="Likely Spam","",1/(1+EXP(-('Conversion Model'!$B$5+IFERROR(INDEX('Conversion Model'!$B$8:$B$14,MATCH(C696,'Conversion Model'!$A$8:$A$14,0)),0)+IFERROR(INDEX('Conversion Model'!$E$8:$E$9,MATCH(F696,'Conversion Model'!$D$8:$D$9,0)),0)+IFERROR(INDEX('Conversion Model'!$H$8:$H$12,MATCH(IF(LEFT(J696,8)="Payments","Payments",IF(LEFT(J696,7)="Lending","Lending",J696)),'Conversion Model'!$G$8:$G$12,0)),0)+MIN(L696,15)*'Conversion Model'!$B$17+IF(SUMPRODUCT(--ISNUMBER(SEARCH('Scoring Model'!$D$16:$D$25,K696)))&gt;0,'Conversion Model'!$B$18,0)+IF(SUMPRODUCT(--ISNUMBER(SEARCH('Scoring Model'!$G$16:$G$23,K696)))&gt;0,'Conversion Model'!$B$19,0)))))</f>
        <v>0.903523267757436</v>
      </c>
      <c r="AH696" s="3" t="n">
        <f aca="false">IF(OR(O696="Qualified",O696="Won",O696="Lost"),1,IF(O696="Unqualified",0,""))</f>
        <v>1</v>
      </c>
    </row>
    <row r="697" customFormat="false" ht="15" hidden="false" customHeight="true" outlineLevel="0" collapsed="false">
      <c r="A697" s="3" t="s">
        <v>2324</v>
      </c>
      <c r="B697" s="9" t="n">
        <v>46248.3638888889</v>
      </c>
      <c r="C697" s="3" t="s">
        <v>160</v>
      </c>
      <c r="D697" s="3" t="s">
        <v>1008</v>
      </c>
      <c r="E697" s="3" t="s">
        <v>2325</v>
      </c>
      <c r="F697" s="3" t="s">
        <v>22</v>
      </c>
      <c r="G697" s="3" t="s">
        <v>539</v>
      </c>
      <c r="H697" s="3" t="s">
        <v>540</v>
      </c>
      <c r="I697" s="3" t="s">
        <v>107</v>
      </c>
      <c r="J697" s="3" t="s">
        <v>165</v>
      </c>
      <c r="K697" s="3" t="s">
        <v>1078</v>
      </c>
      <c r="L697" s="3" t="n">
        <v>4</v>
      </c>
      <c r="M697" s="3" t="n">
        <v>9.9</v>
      </c>
      <c r="N697" s="3" t="s">
        <v>96</v>
      </c>
      <c r="O697" s="3" t="s">
        <v>194</v>
      </c>
      <c r="P697" s="10"/>
      <c r="Q697" s="3" t="n">
        <f aca="false">IF(F697="Disposable",1,0)</f>
        <v>0</v>
      </c>
      <c r="R697" s="3" t="n">
        <f aca="false">IF(SUMPRODUCT(--ISNUMBER(SEARCH('Spam Rules'!$A$22:$A$35,K697)))&gt;0,1,0)</f>
        <v>0</v>
      </c>
      <c r="S697" s="3" t="n">
        <f aca="false">IF(AND(F697="Free",G697=""),1,0)</f>
        <v>0</v>
      </c>
      <c r="T697" s="3" t="n">
        <f aca="false">IF(LEN(TRIM(K697))&lt;15,1,0)</f>
        <v>0</v>
      </c>
      <c r="U697" s="3" t="n">
        <f aca="false">IF(COUNTIF($E$2:$E$801,E697)&gt;1,1,0)</f>
        <v>0</v>
      </c>
      <c r="V697" s="3" t="n">
        <f aca="false">Q697*'Spam Rules'!$H$6+R697*'Spam Rules'!$H$7+S697*'Spam Rules'!$H$8+T697*'Spam Rules'!$H$9+U697*'Spam Rules'!$H$10</f>
        <v>0</v>
      </c>
      <c r="W697" s="3" t="str">
        <f aca="false">IF(V697&gt;='Spam Rules'!$B$3,"Likely Spam","Genuine")</f>
        <v>Genuine</v>
      </c>
      <c r="X697" s="3" t="n">
        <f aca="false">IFERROR(INDEX('Scoring Model'!$B$5:$B$11,MATCH(C697,'Scoring Model'!$A$5:$A$11,0)),0)</f>
        <v>25</v>
      </c>
      <c r="Y697" s="3" t="n">
        <f aca="false">IFERROR(INDEX('Scoring Model'!$E$5:$E$7,MATCH(F697,'Scoring Model'!$D$5:$D$7,0)),0)</f>
        <v>20</v>
      </c>
      <c r="Z697" s="3" t="n">
        <f aca="false">IFERROR(INDEX('Scoring Model'!$H$5:$H$13,MATCH(J697,'Scoring Model'!$G$5:$G$13,0)),0)</f>
        <v>15</v>
      </c>
      <c r="AA697" s="3" t="n">
        <f aca="false">IF(L697&gt;='Scoring Model'!$B$14,'Scoring Model'!$B$15,IF(L697&gt;='Scoring Model'!$B$16,'Scoring Model'!$B$17,0))</f>
        <v>8</v>
      </c>
      <c r="AB697" s="3" t="n">
        <f aca="false">IF(SUMPRODUCT(--ISNUMBER(SEARCH('Scoring Model'!$D$16:$D$25,K697)))&gt;0,'Scoring Model'!$B$18,0)</f>
        <v>15</v>
      </c>
      <c r="AC697" s="3" t="n">
        <f aca="false">IF(SUMPRODUCT(--ISNUMBER(SEARCH('Scoring Model'!$G$16:$G$23,K697)))&gt;0,'Scoring Model'!$B$19,0)</f>
        <v>0</v>
      </c>
      <c r="AD697" s="3" t="n">
        <f aca="false">IF(W697="Likely Spam","",SUM(X697:AC697))</f>
        <v>83</v>
      </c>
      <c r="AE697" s="3" t="str">
        <f aca="false">IF(W697="Likely Spam","Spam",IF(AD697&gt;='Scoring Model'!$B$21,"Hot",IF(AD697&gt;='Scoring Model'!$B$22,"Warm","Nurture")))</f>
        <v>Hot</v>
      </c>
      <c r="AF697" s="3" t="str">
        <f aca="false">IF(W697="Likely Spam","Flagged by spam rules",TRIM(IF(X697&gt;=20,"Strong source. ","")&amp;IF(Y697&gt;0,"Company email. ","")&amp;IF(Z697&gt;=15,"High-value product. ","")&amp;IF(AA697&gt;='Scoring Model'!$B$15,"High engagement. ","")&amp;IF(AB697&gt;0,"Buying intent in message. ","")&amp;IF(AC697&lt;0,"Negative intent in message. ","")))</f>
        <v>Strong source. Company email. High-value product. Buying intent in message.</v>
      </c>
      <c r="AG697" s="11" t="n">
        <f aca="false">IF(W697="Likely Spam","",1/(1+EXP(-('Conversion Model'!$B$5+IFERROR(INDEX('Conversion Model'!$B$8:$B$14,MATCH(C697,'Conversion Model'!$A$8:$A$14,0)),0)+IFERROR(INDEX('Conversion Model'!$E$8:$E$9,MATCH(F697,'Conversion Model'!$D$8:$D$9,0)),0)+IFERROR(INDEX('Conversion Model'!$H$8:$H$12,MATCH(IF(LEFT(J697,8)="Payments","Payments",IF(LEFT(J697,7)="Lending","Lending",J697)),'Conversion Model'!$G$8:$G$12,0)),0)+MIN(L697,15)*'Conversion Model'!$B$17+IF(SUMPRODUCT(--ISNUMBER(SEARCH('Scoring Model'!$D$16:$D$25,K697)))&gt;0,'Conversion Model'!$B$18,0)+IF(SUMPRODUCT(--ISNUMBER(SEARCH('Scoring Model'!$G$16:$G$23,K697)))&gt;0,'Conversion Model'!$B$19,0)))))</f>
        <v>0.622459331201855</v>
      </c>
      <c r="AH697" s="3" t="n">
        <f aca="false">IF(OR(O697="Qualified",O697="Won",O697="Lost"),1,IF(O697="Unqualified",0,""))</f>
        <v>0</v>
      </c>
    </row>
    <row r="698" customFormat="false" ht="15" hidden="false" customHeight="true" outlineLevel="0" collapsed="false">
      <c r="A698" s="3" t="s">
        <v>2326</v>
      </c>
      <c r="B698" s="9" t="n">
        <v>46248.4743055556</v>
      </c>
      <c r="C698" s="3" t="s">
        <v>76</v>
      </c>
      <c r="D698" s="3" t="s">
        <v>1539</v>
      </c>
      <c r="E698" s="3" t="s">
        <v>2327</v>
      </c>
      <c r="F698" s="3" t="s">
        <v>22</v>
      </c>
      <c r="G698" s="3" t="s">
        <v>86</v>
      </c>
      <c r="H698" s="3" t="s">
        <v>87</v>
      </c>
      <c r="I698" s="3" t="s">
        <v>56</v>
      </c>
      <c r="J698" s="3" t="s">
        <v>65</v>
      </c>
      <c r="K698" s="3" t="s">
        <v>363</v>
      </c>
      <c r="L698" s="3" t="n">
        <v>2</v>
      </c>
      <c r="M698" s="3" t="n">
        <v>47.5</v>
      </c>
      <c r="N698" s="3" t="s">
        <v>67</v>
      </c>
      <c r="O698" s="3" t="s">
        <v>68</v>
      </c>
      <c r="P698" s="10"/>
      <c r="Q698" s="3" t="n">
        <f aca="false">IF(F698="Disposable",1,0)</f>
        <v>0</v>
      </c>
      <c r="R698" s="3" t="n">
        <f aca="false">IF(SUMPRODUCT(--ISNUMBER(SEARCH('Spam Rules'!$A$22:$A$35,K698)))&gt;0,1,0)</f>
        <v>1</v>
      </c>
      <c r="S698" s="3" t="n">
        <f aca="false">IF(AND(F698="Free",G698=""),1,0)</f>
        <v>0</v>
      </c>
      <c r="T698" s="3" t="n">
        <f aca="false">IF(LEN(TRIM(K698))&lt;15,1,0)</f>
        <v>0</v>
      </c>
      <c r="U698" s="3" t="n">
        <f aca="false">IF(COUNTIF($E$2:$E$801,E698)&gt;1,1,0)</f>
        <v>0</v>
      </c>
      <c r="V698" s="3" t="n">
        <f aca="false">Q698*'Spam Rules'!$H$6+R698*'Spam Rules'!$H$7+S698*'Spam Rules'!$H$8+T698*'Spam Rules'!$H$9+U698*'Spam Rules'!$H$10</f>
        <v>1</v>
      </c>
      <c r="W698" s="3" t="str">
        <f aca="false">IF(V698&gt;='Spam Rules'!$B$3,"Likely Spam","Genuine")</f>
        <v>Likely Spam</v>
      </c>
      <c r="X698" s="3" t="n">
        <f aca="false">IFERROR(INDEX('Scoring Model'!$B$5:$B$11,MATCH(C698,'Scoring Model'!$A$5:$A$11,0)),0)</f>
        <v>0</v>
      </c>
      <c r="Y698" s="3" t="n">
        <f aca="false">IFERROR(INDEX('Scoring Model'!$E$5:$E$7,MATCH(F698,'Scoring Model'!$D$5:$D$7,0)),0)</f>
        <v>20</v>
      </c>
      <c r="Z698" s="3" t="n">
        <f aca="false">IFERROR(INDEX('Scoring Model'!$H$5:$H$13,MATCH(J698,'Scoring Model'!$G$5:$G$13,0)),0)</f>
        <v>0</v>
      </c>
      <c r="AA698" s="3" t="n">
        <f aca="false">IF(L698&gt;='Scoring Model'!$B$14,'Scoring Model'!$B$15,IF(L698&gt;='Scoring Model'!$B$16,'Scoring Model'!$B$17,0))</f>
        <v>0</v>
      </c>
      <c r="AB698" s="3" t="n">
        <f aca="false">IF(SUMPRODUCT(--ISNUMBER(SEARCH('Scoring Model'!$D$16:$D$25,K698)))&gt;0,'Scoring Model'!$B$18,0)</f>
        <v>0</v>
      </c>
      <c r="AC698" s="3" t="n">
        <f aca="false">IF(SUMPRODUCT(--ISNUMBER(SEARCH('Scoring Model'!$G$16:$G$23,K698)))&gt;0,'Scoring Model'!$B$19,0)</f>
        <v>0</v>
      </c>
      <c r="AD698" s="3" t="str">
        <f aca="false">IF(W698="Likely Spam","",SUM(X698:AC698))</f>
        <v/>
      </c>
      <c r="AE698" s="3" t="str">
        <f aca="false">IF(W698="Likely Spam","Spam",IF(AD698&gt;='Scoring Model'!$B$21,"Hot",IF(AD698&gt;='Scoring Model'!$B$22,"Warm","Nurture")))</f>
        <v>Spam</v>
      </c>
      <c r="AF698" s="3" t="str">
        <f aca="false">IF(W698="Likely Spam","Flagged by spam rules",TRIM(IF(X698&gt;=20,"Strong source. ","")&amp;IF(Y698&gt;0,"Company email. ","")&amp;IF(Z698&gt;=15,"High-value product. ","")&amp;IF(AA698&gt;='Scoring Model'!$B$15,"High engagement. ","")&amp;IF(AB698&gt;0,"Buying intent in message. ","")&amp;IF(AC698&lt;0,"Negative intent in message. ","")))</f>
        <v>Flagged by spam rules</v>
      </c>
      <c r="AG698" s="11" t="str">
        <f aca="false">IF(W698="Likely Spam","",1/(1+EXP(-('Conversion Model'!$B$5+IFERROR(INDEX('Conversion Model'!$B$8:$B$14,MATCH(C698,'Conversion Model'!$A$8:$A$14,0)),0)+IFERROR(INDEX('Conversion Model'!$E$8:$E$9,MATCH(F698,'Conversion Model'!$D$8:$D$9,0)),0)+IFERROR(INDEX('Conversion Model'!$H$8:$H$12,MATCH(IF(LEFT(J698,8)="Payments","Payments",IF(LEFT(J698,7)="Lending","Lending",J698)),'Conversion Model'!$G$8:$G$12,0)),0)+MIN(L698,15)*'Conversion Model'!$B$17+IF(SUMPRODUCT(--ISNUMBER(SEARCH('Scoring Model'!$D$16:$D$25,K698)))&gt;0,'Conversion Model'!$B$18,0)+IF(SUMPRODUCT(--ISNUMBER(SEARCH('Scoring Model'!$G$16:$G$23,K698)))&gt;0,'Conversion Model'!$B$19,0)))))</f>
        <v/>
      </c>
      <c r="AH698" s="3" t="str">
        <f aca="false">IF(OR(O698="Qualified",O698="Won",O698="Lost"),1,IF(O698="Unqualified",0,""))</f>
        <v/>
      </c>
    </row>
    <row r="699" customFormat="false" ht="15" hidden="false" customHeight="true" outlineLevel="0" collapsed="false">
      <c r="A699" s="3" t="s">
        <v>2328</v>
      </c>
      <c r="B699" s="9" t="n">
        <v>46250.3708333333</v>
      </c>
      <c r="C699" s="3" t="s">
        <v>135</v>
      </c>
      <c r="D699" s="3" t="s">
        <v>2329</v>
      </c>
      <c r="E699" s="3" t="s">
        <v>2330</v>
      </c>
      <c r="F699" s="3" t="s">
        <v>22</v>
      </c>
      <c r="G699" s="3" t="s">
        <v>1726</v>
      </c>
      <c r="H699" s="3" t="s">
        <v>1727</v>
      </c>
      <c r="I699" s="3" t="s">
        <v>56</v>
      </c>
      <c r="J699" s="3" t="s">
        <v>81</v>
      </c>
      <c r="K699" s="3" t="s">
        <v>246</v>
      </c>
      <c r="L699" s="3" t="n">
        <v>9</v>
      </c>
      <c r="M699" s="3" t="n">
        <v>22.5</v>
      </c>
      <c r="N699" s="3" t="s">
        <v>59</v>
      </c>
      <c r="O699" s="3" t="s">
        <v>147</v>
      </c>
      <c r="P699" s="10" t="n">
        <v>120000</v>
      </c>
      <c r="Q699" s="3" t="n">
        <f aca="false">IF(F699="Disposable",1,0)</f>
        <v>0</v>
      </c>
      <c r="R699" s="3" t="n">
        <f aca="false">IF(SUMPRODUCT(--ISNUMBER(SEARCH('Spam Rules'!$A$22:$A$35,K699)))&gt;0,1,0)</f>
        <v>0</v>
      </c>
      <c r="S699" s="3" t="n">
        <f aca="false">IF(AND(F699="Free",G699=""),1,0)</f>
        <v>0</v>
      </c>
      <c r="T699" s="3" t="n">
        <f aca="false">IF(LEN(TRIM(K699))&lt;15,1,0)</f>
        <v>0</v>
      </c>
      <c r="U699" s="3" t="n">
        <f aca="false">IF(COUNTIF($E$2:$E$801,E699)&gt;1,1,0)</f>
        <v>0</v>
      </c>
      <c r="V699" s="3" t="n">
        <f aca="false">Q699*'Spam Rules'!$H$6+R699*'Spam Rules'!$H$7+S699*'Spam Rules'!$H$8+T699*'Spam Rules'!$H$9+U699*'Spam Rules'!$H$10</f>
        <v>0</v>
      </c>
      <c r="W699" s="3" t="str">
        <f aca="false">IF(V699&gt;='Spam Rules'!$B$3,"Likely Spam","Genuine")</f>
        <v>Genuine</v>
      </c>
      <c r="X699" s="3" t="n">
        <f aca="false">IFERROR(INDEX('Scoring Model'!$B$5:$B$11,MATCH(C699,'Scoring Model'!$A$5:$A$11,0)),0)</f>
        <v>20</v>
      </c>
      <c r="Y699" s="3" t="n">
        <f aca="false">IFERROR(INDEX('Scoring Model'!$E$5:$E$7,MATCH(F699,'Scoring Model'!$D$5:$D$7,0)),0)</f>
        <v>20</v>
      </c>
      <c r="Z699" s="3" t="n">
        <f aca="false">IFERROR(INDEX('Scoring Model'!$H$5:$H$13,MATCH(J699,'Scoring Model'!$G$5:$G$13,0)),0)</f>
        <v>5</v>
      </c>
      <c r="AA699" s="3" t="n">
        <f aca="false">IF(L699&gt;='Scoring Model'!$B$14,'Scoring Model'!$B$15,IF(L699&gt;='Scoring Model'!$B$16,'Scoring Model'!$B$17,0))</f>
        <v>15</v>
      </c>
      <c r="AB699" s="3" t="n">
        <f aca="false">IF(SUMPRODUCT(--ISNUMBER(SEARCH('Scoring Model'!$D$16:$D$25,K699)))&gt;0,'Scoring Model'!$B$18,0)</f>
        <v>15</v>
      </c>
      <c r="AC699" s="3" t="n">
        <f aca="false">IF(SUMPRODUCT(--ISNUMBER(SEARCH('Scoring Model'!$G$16:$G$23,K699)))&gt;0,'Scoring Model'!$B$19,0)</f>
        <v>0</v>
      </c>
      <c r="AD699" s="3" t="n">
        <f aca="false">IF(W699="Likely Spam","",SUM(X699:AC699))</f>
        <v>75</v>
      </c>
      <c r="AE699" s="3" t="str">
        <f aca="false">IF(W699="Likely Spam","Spam",IF(AD699&gt;='Scoring Model'!$B$21,"Hot",IF(AD699&gt;='Scoring Model'!$B$22,"Warm","Nurture")))</f>
        <v>Hot</v>
      </c>
      <c r="AF699" s="3" t="str">
        <f aca="false">IF(W699="Likely Spam","Flagged by spam rules",TRIM(IF(X699&gt;=20,"Strong source. ","")&amp;IF(Y699&gt;0,"Company email. ","")&amp;IF(Z699&gt;=15,"High-value product. ","")&amp;IF(AA699&gt;='Scoring Model'!$B$15,"High engagement. ","")&amp;IF(AB699&gt;0,"Buying intent in message. ","")&amp;IF(AC699&lt;0,"Negative intent in message. ","")))</f>
        <v>Strong source. Company email. High engagement. Buying intent in message.</v>
      </c>
      <c r="AG699" s="11" t="n">
        <f aca="false">IF(W699="Likely Spam","",1/(1+EXP(-('Conversion Model'!$B$5+IFERROR(INDEX('Conversion Model'!$B$8:$B$14,MATCH(C699,'Conversion Model'!$A$8:$A$14,0)),0)+IFERROR(INDEX('Conversion Model'!$E$8:$E$9,MATCH(F699,'Conversion Model'!$D$8:$D$9,0)),0)+IFERROR(INDEX('Conversion Model'!$H$8:$H$12,MATCH(IF(LEFT(J699,8)="Payments","Payments",IF(LEFT(J699,7)="Lending","Lending",J699)),'Conversion Model'!$G$8:$G$12,0)),0)+MIN(L699,15)*'Conversion Model'!$B$17+IF(SUMPRODUCT(--ISNUMBER(SEARCH('Scoring Model'!$D$16:$D$25,K699)))&gt;0,'Conversion Model'!$B$18,0)+IF(SUMPRODUCT(--ISNUMBER(SEARCH('Scoring Model'!$G$16:$G$23,K699)))&gt;0,'Conversion Model'!$B$19,0)))))</f>
        <v>0.988826787446895</v>
      </c>
      <c r="AH699" s="3" t="n">
        <f aca="false">IF(OR(O699="Qualified",O699="Won",O699="Lost"),1,IF(O699="Unqualified",0,""))</f>
        <v>1</v>
      </c>
    </row>
    <row r="700" customFormat="false" ht="15" hidden="false" customHeight="true" outlineLevel="0" collapsed="false">
      <c r="A700" s="3" t="s">
        <v>2331</v>
      </c>
      <c r="B700" s="9" t="n">
        <v>46251.3527777778</v>
      </c>
      <c r="C700" s="3" t="s">
        <v>51</v>
      </c>
      <c r="D700" s="3" t="s">
        <v>1543</v>
      </c>
      <c r="E700" s="3" t="s">
        <v>2332</v>
      </c>
      <c r="F700" s="3" t="s">
        <v>54</v>
      </c>
      <c r="G700" s="3" t="s">
        <v>279</v>
      </c>
      <c r="H700" s="3"/>
      <c r="I700" s="3" t="s">
        <v>188</v>
      </c>
      <c r="J700" s="3" t="s">
        <v>245</v>
      </c>
      <c r="K700" s="3" t="s">
        <v>228</v>
      </c>
      <c r="L700" s="3" t="n">
        <v>3</v>
      </c>
      <c r="M700" s="3" t="n">
        <v>11.7</v>
      </c>
      <c r="N700" s="3" t="s">
        <v>67</v>
      </c>
      <c r="O700" s="3" t="s">
        <v>194</v>
      </c>
      <c r="P700" s="10"/>
      <c r="Q700" s="3" t="n">
        <f aca="false">IF(F700="Disposable",1,0)</f>
        <v>0</v>
      </c>
      <c r="R700" s="3" t="n">
        <f aca="false">IF(SUMPRODUCT(--ISNUMBER(SEARCH('Spam Rules'!$A$22:$A$35,K700)))&gt;0,1,0)</f>
        <v>0</v>
      </c>
      <c r="S700" s="3" t="n">
        <f aca="false">IF(AND(F700="Free",G700=""),1,0)</f>
        <v>0</v>
      </c>
      <c r="T700" s="3" t="n">
        <f aca="false">IF(LEN(TRIM(K700))&lt;15,1,0)</f>
        <v>0</v>
      </c>
      <c r="U700" s="3" t="n">
        <f aca="false">IF(COUNTIF($E$2:$E$801,E700)&gt;1,1,0)</f>
        <v>0</v>
      </c>
      <c r="V700" s="3" t="n">
        <f aca="false">Q700*'Spam Rules'!$H$6+R700*'Spam Rules'!$H$7+S700*'Spam Rules'!$H$8+T700*'Spam Rules'!$H$9+U700*'Spam Rules'!$H$10</f>
        <v>0</v>
      </c>
      <c r="W700" s="3" t="str">
        <f aca="false">IF(V700&gt;='Spam Rules'!$B$3,"Likely Spam","Genuine")</f>
        <v>Genuine</v>
      </c>
      <c r="X700" s="3" t="n">
        <f aca="false">IFERROR(INDEX('Scoring Model'!$B$5:$B$11,MATCH(C700,'Scoring Model'!$A$5:$A$11,0)),0)</f>
        <v>10</v>
      </c>
      <c r="Y700" s="3" t="n">
        <f aca="false">IFERROR(INDEX('Scoring Model'!$E$5:$E$7,MATCH(F700,'Scoring Model'!$D$5:$D$7,0)),0)</f>
        <v>0</v>
      </c>
      <c r="Z700" s="3" t="n">
        <f aca="false">IFERROR(INDEX('Scoring Model'!$H$5:$H$13,MATCH(J700,'Scoring Model'!$G$5:$G$13,0)),0)</f>
        <v>15</v>
      </c>
      <c r="AA700" s="3" t="n">
        <f aca="false">IF(L700&gt;='Scoring Model'!$B$14,'Scoring Model'!$B$15,IF(L700&gt;='Scoring Model'!$B$16,'Scoring Model'!$B$17,0))</f>
        <v>0</v>
      </c>
      <c r="AB700" s="3" t="n">
        <f aca="false">IF(SUMPRODUCT(--ISNUMBER(SEARCH('Scoring Model'!$D$16:$D$25,K700)))&gt;0,'Scoring Model'!$B$18,0)</f>
        <v>15</v>
      </c>
      <c r="AC700" s="3" t="n">
        <f aca="false">IF(SUMPRODUCT(--ISNUMBER(SEARCH('Scoring Model'!$G$16:$G$23,K700)))&gt;0,'Scoring Model'!$B$19,0)</f>
        <v>0</v>
      </c>
      <c r="AD700" s="3" t="n">
        <f aca="false">IF(W700="Likely Spam","",SUM(X700:AC700))</f>
        <v>40</v>
      </c>
      <c r="AE700" s="3" t="str">
        <f aca="false">IF(W700="Likely Spam","Spam",IF(AD700&gt;='Scoring Model'!$B$21,"Hot",IF(AD700&gt;='Scoring Model'!$B$22,"Warm","Nurture")))</f>
        <v>Nurture</v>
      </c>
      <c r="AF700" s="3" t="str">
        <f aca="false">IF(W700="Likely Spam","Flagged by spam rules",TRIM(IF(X700&gt;=20,"Strong source. ","")&amp;IF(Y700&gt;0,"Company email. ","")&amp;IF(Z700&gt;=15,"High-value product. ","")&amp;IF(AA700&gt;='Scoring Model'!$B$15,"High engagement. ","")&amp;IF(AB700&gt;0,"Buying intent in message. ","")&amp;IF(AC700&lt;0,"Negative intent in message. ","")))</f>
        <v>High-value product. Buying intent in message.</v>
      </c>
      <c r="AG700" s="11" t="n">
        <f aca="false">IF(W700="Likely Spam","",1/(1+EXP(-('Conversion Model'!$B$5+IFERROR(INDEX('Conversion Model'!$B$8:$B$14,MATCH(C700,'Conversion Model'!$A$8:$A$14,0)),0)+IFERROR(INDEX('Conversion Model'!$E$8:$E$9,MATCH(F700,'Conversion Model'!$D$8:$D$9,0)),0)+IFERROR(INDEX('Conversion Model'!$H$8:$H$12,MATCH(IF(LEFT(J700,8)="Payments","Payments",IF(LEFT(J700,7)="Lending","Lending",J700)),'Conversion Model'!$G$8:$G$12,0)),0)+MIN(L700,15)*'Conversion Model'!$B$17+IF(SUMPRODUCT(--ISNUMBER(SEARCH('Scoring Model'!$D$16:$D$25,K700)))&gt;0,'Conversion Model'!$B$18,0)+IF(SUMPRODUCT(--ISNUMBER(SEARCH('Scoring Model'!$G$16:$G$23,K700)))&gt;0,'Conversion Model'!$B$19,0)))))</f>
        <v>0.317561697806935</v>
      </c>
      <c r="AH700" s="3" t="n">
        <f aca="false">IF(OR(O700="Qualified",O700="Won",O700="Lost"),1,IF(O700="Unqualified",0,""))</f>
        <v>0</v>
      </c>
    </row>
    <row r="701" customFormat="false" ht="15" hidden="false" customHeight="true" outlineLevel="0" collapsed="false">
      <c r="A701" s="3" t="s">
        <v>2333</v>
      </c>
      <c r="B701" s="9" t="n">
        <v>46251.9305555556</v>
      </c>
      <c r="C701" s="3" t="s">
        <v>51</v>
      </c>
      <c r="D701" s="3" t="s">
        <v>898</v>
      </c>
      <c r="E701" s="3" t="s">
        <v>2334</v>
      </c>
      <c r="F701" s="3" t="s">
        <v>22</v>
      </c>
      <c r="G701" s="3" t="s">
        <v>2335</v>
      </c>
      <c r="H701" s="3" t="s">
        <v>2336</v>
      </c>
      <c r="I701" s="3" t="s">
        <v>64</v>
      </c>
      <c r="J701" s="3" t="s">
        <v>108</v>
      </c>
      <c r="K701" s="3" t="s">
        <v>266</v>
      </c>
      <c r="L701" s="3" t="n">
        <v>5</v>
      </c>
      <c r="M701" s="3" t="n">
        <v>8.4</v>
      </c>
      <c r="N701" s="3" t="s">
        <v>171</v>
      </c>
      <c r="O701" s="3" t="s">
        <v>194</v>
      </c>
      <c r="P701" s="10"/>
      <c r="Q701" s="3" t="n">
        <f aca="false">IF(F701="Disposable",1,0)</f>
        <v>0</v>
      </c>
      <c r="R701" s="3" t="n">
        <f aca="false">IF(SUMPRODUCT(--ISNUMBER(SEARCH('Spam Rules'!$A$22:$A$35,K701)))&gt;0,1,0)</f>
        <v>0</v>
      </c>
      <c r="S701" s="3" t="n">
        <f aca="false">IF(AND(F701="Free",G701=""),1,0)</f>
        <v>0</v>
      </c>
      <c r="T701" s="3" t="n">
        <f aca="false">IF(LEN(TRIM(K701))&lt;15,1,0)</f>
        <v>0</v>
      </c>
      <c r="U701" s="3" t="n">
        <f aca="false">IF(COUNTIF($E$2:$E$801,E701)&gt;1,1,0)</f>
        <v>0</v>
      </c>
      <c r="V701" s="3" t="n">
        <f aca="false">Q701*'Spam Rules'!$H$6+R701*'Spam Rules'!$H$7+S701*'Spam Rules'!$H$8+T701*'Spam Rules'!$H$9+U701*'Spam Rules'!$H$10</f>
        <v>0</v>
      </c>
      <c r="W701" s="3" t="str">
        <f aca="false">IF(V701&gt;='Spam Rules'!$B$3,"Likely Spam","Genuine")</f>
        <v>Genuine</v>
      </c>
      <c r="X701" s="3" t="n">
        <f aca="false">IFERROR(INDEX('Scoring Model'!$B$5:$B$11,MATCH(C701,'Scoring Model'!$A$5:$A$11,0)),0)</f>
        <v>10</v>
      </c>
      <c r="Y701" s="3" t="n">
        <f aca="false">IFERROR(INDEX('Scoring Model'!$E$5:$E$7,MATCH(F701,'Scoring Model'!$D$5:$D$7,0)),0)</f>
        <v>20</v>
      </c>
      <c r="Z701" s="3" t="n">
        <f aca="false">IFERROR(INDEX('Scoring Model'!$H$5:$H$13,MATCH(J701,'Scoring Model'!$G$5:$G$13,0)),0)</f>
        <v>15</v>
      </c>
      <c r="AA701" s="3" t="n">
        <f aca="false">IF(L701&gt;='Scoring Model'!$B$14,'Scoring Model'!$B$15,IF(L701&gt;='Scoring Model'!$B$16,'Scoring Model'!$B$17,0))</f>
        <v>8</v>
      </c>
      <c r="AB701" s="3" t="n">
        <f aca="false">IF(SUMPRODUCT(--ISNUMBER(SEARCH('Scoring Model'!$D$16:$D$25,K701)))&gt;0,'Scoring Model'!$B$18,0)</f>
        <v>15</v>
      </c>
      <c r="AC701" s="3" t="n">
        <f aca="false">IF(SUMPRODUCT(--ISNUMBER(SEARCH('Scoring Model'!$G$16:$G$23,K701)))&gt;0,'Scoring Model'!$B$19,0)</f>
        <v>0</v>
      </c>
      <c r="AD701" s="3" t="n">
        <f aca="false">IF(W701="Likely Spam","",SUM(X701:AC701))</f>
        <v>68</v>
      </c>
      <c r="AE701" s="3" t="str">
        <f aca="false">IF(W701="Likely Spam","Spam",IF(AD701&gt;='Scoring Model'!$B$21,"Hot",IF(AD701&gt;='Scoring Model'!$B$22,"Warm","Nurture")))</f>
        <v>Warm</v>
      </c>
      <c r="AF701" s="3" t="str">
        <f aca="false">IF(W701="Likely Spam","Flagged by spam rules",TRIM(IF(X701&gt;=20,"Strong source. ","")&amp;IF(Y701&gt;0,"Company email. ","")&amp;IF(Z701&gt;=15,"High-value product. ","")&amp;IF(AA701&gt;='Scoring Model'!$B$15,"High engagement. ","")&amp;IF(AB701&gt;0,"Buying intent in message. ","")&amp;IF(AC701&lt;0,"Negative intent in message. ","")))</f>
        <v>Company email. High-value product. Buying intent in message.</v>
      </c>
      <c r="AG701" s="11" t="n">
        <f aca="false">IF(W701="Likely Spam","",1/(1+EXP(-('Conversion Model'!$B$5+IFERROR(INDEX('Conversion Model'!$B$8:$B$14,MATCH(C701,'Conversion Model'!$A$8:$A$14,0)),0)+IFERROR(INDEX('Conversion Model'!$E$8:$E$9,MATCH(F701,'Conversion Model'!$D$8:$D$9,0)),0)+IFERROR(INDEX('Conversion Model'!$H$8:$H$12,MATCH(IF(LEFT(J701,8)="Payments","Payments",IF(LEFT(J701,7)="Lending","Lending",J701)),'Conversion Model'!$G$8:$G$12,0)),0)+MIN(L701,15)*'Conversion Model'!$B$17+IF(SUMPRODUCT(--ISNUMBER(SEARCH('Scoring Model'!$D$16:$D$25,K701)))&gt;0,'Conversion Model'!$B$18,0)+IF(SUMPRODUCT(--ISNUMBER(SEARCH('Scoring Model'!$G$16:$G$23,K701)))&gt;0,'Conversion Model'!$B$19,0)))))</f>
        <v>0.686756726643902</v>
      </c>
      <c r="AH701" s="3" t="n">
        <f aca="false">IF(OR(O701="Qualified",O701="Won",O701="Lost"),1,IF(O701="Unqualified",0,""))</f>
        <v>0</v>
      </c>
    </row>
    <row r="702" customFormat="false" ht="15" hidden="false" customHeight="true" outlineLevel="0" collapsed="false">
      <c r="A702" s="3" t="s">
        <v>2337</v>
      </c>
      <c r="B702" s="9" t="n">
        <v>46252.1666666667</v>
      </c>
      <c r="C702" s="3" t="s">
        <v>51</v>
      </c>
      <c r="D702" s="3" t="s">
        <v>1741</v>
      </c>
      <c r="E702" s="3" t="s">
        <v>2338</v>
      </c>
      <c r="F702" s="3" t="s">
        <v>54</v>
      </c>
      <c r="G702" s="3" t="s">
        <v>1331</v>
      </c>
      <c r="H702" s="3"/>
      <c r="I702" s="3" t="s">
        <v>227</v>
      </c>
      <c r="J702" s="3" t="s">
        <v>65</v>
      </c>
      <c r="K702" s="3" t="s">
        <v>193</v>
      </c>
      <c r="L702" s="3" t="n">
        <v>2</v>
      </c>
      <c r="M702" s="3" t="n">
        <v>6.2</v>
      </c>
      <c r="N702" s="3" t="s">
        <v>96</v>
      </c>
      <c r="O702" s="3" t="s">
        <v>194</v>
      </c>
      <c r="P702" s="10"/>
      <c r="Q702" s="3" t="n">
        <f aca="false">IF(F702="Disposable",1,0)</f>
        <v>0</v>
      </c>
      <c r="R702" s="3" t="n">
        <f aca="false">IF(SUMPRODUCT(--ISNUMBER(SEARCH('Spam Rules'!$A$22:$A$35,K702)))&gt;0,1,0)</f>
        <v>0</v>
      </c>
      <c r="S702" s="3" t="n">
        <f aca="false">IF(AND(F702="Free",G702=""),1,0)</f>
        <v>0</v>
      </c>
      <c r="T702" s="3" t="n">
        <f aca="false">IF(LEN(TRIM(K702))&lt;15,1,0)</f>
        <v>0</v>
      </c>
      <c r="U702" s="3" t="n">
        <f aca="false">IF(COUNTIF($E$2:$E$801,E702)&gt;1,1,0)</f>
        <v>0</v>
      </c>
      <c r="V702" s="3" t="n">
        <f aca="false">Q702*'Spam Rules'!$H$6+R702*'Spam Rules'!$H$7+S702*'Spam Rules'!$H$8+T702*'Spam Rules'!$H$9+U702*'Spam Rules'!$H$10</f>
        <v>0</v>
      </c>
      <c r="W702" s="3" t="str">
        <f aca="false">IF(V702&gt;='Spam Rules'!$B$3,"Likely Spam","Genuine")</f>
        <v>Genuine</v>
      </c>
      <c r="X702" s="3" t="n">
        <f aca="false">IFERROR(INDEX('Scoring Model'!$B$5:$B$11,MATCH(C702,'Scoring Model'!$A$5:$A$11,0)),0)</f>
        <v>10</v>
      </c>
      <c r="Y702" s="3" t="n">
        <f aca="false">IFERROR(INDEX('Scoring Model'!$E$5:$E$7,MATCH(F702,'Scoring Model'!$D$5:$D$7,0)),0)</f>
        <v>0</v>
      </c>
      <c r="Z702" s="3" t="n">
        <f aca="false">IFERROR(INDEX('Scoring Model'!$H$5:$H$13,MATCH(J702,'Scoring Model'!$G$5:$G$13,0)),0)</f>
        <v>0</v>
      </c>
      <c r="AA702" s="3" t="n">
        <f aca="false">IF(L702&gt;='Scoring Model'!$B$14,'Scoring Model'!$B$15,IF(L702&gt;='Scoring Model'!$B$16,'Scoring Model'!$B$17,0))</f>
        <v>0</v>
      </c>
      <c r="AB702" s="3" t="n">
        <f aca="false">IF(SUMPRODUCT(--ISNUMBER(SEARCH('Scoring Model'!$D$16:$D$25,K702)))&gt;0,'Scoring Model'!$B$18,0)</f>
        <v>0</v>
      </c>
      <c r="AC702" s="3" t="n">
        <f aca="false">IF(SUMPRODUCT(--ISNUMBER(SEARCH('Scoring Model'!$G$16:$G$23,K702)))&gt;0,'Scoring Model'!$B$19,0)</f>
        <v>-30</v>
      </c>
      <c r="AD702" s="3" t="n">
        <f aca="false">IF(W702="Likely Spam","",SUM(X702:AC702))</f>
        <v>-20</v>
      </c>
      <c r="AE702" s="3" t="str">
        <f aca="false">IF(W702="Likely Spam","Spam",IF(AD702&gt;='Scoring Model'!$B$21,"Hot",IF(AD702&gt;='Scoring Model'!$B$22,"Warm","Nurture")))</f>
        <v>Nurture</v>
      </c>
      <c r="AF702" s="3" t="str">
        <f aca="false">IF(W702="Likely Spam","Flagged by spam rules",TRIM(IF(X702&gt;=20,"Strong source. ","")&amp;IF(Y702&gt;0,"Company email. ","")&amp;IF(Z702&gt;=15,"High-value product. ","")&amp;IF(AA702&gt;='Scoring Model'!$B$15,"High engagement. ","")&amp;IF(AB702&gt;0,"Buying intent in message. ","")&amp;IF(AC702&lt;0,"Negative intent in message. ","")))</f>
        <v>Negative intent in message.</v>
      </c>
      <c r="AG702" s="11" t="n">
        <f aca="false">IF(W702="Likely Spam","",1/(1+EXP(-('Conversion Model'!$B$5+IFERROR(INDEX('Conversion Model'!$B$8:$B$14,MATCH(C702,'Conversion Model'!$A$8:$A$14,0)),0)+IFERROR(INDEX('Conversion Model'!$E$8:$E$9,MATCH(F702,'Conversion Model'!$D$8:$D$9,0)),0)+IFERROR(INDEX('Conversion Model'!$H$8:$H$12,MATCH(IF(LEFT(J702,8)="Payments","Payments",IF(LEFT(J702,7)="Lending","Lending",J702)),'Conversion Model'!$G$8:$G$12,0)),0)+MIN(L702,15)*'Conversion Model'!$B$17+IF(SUMPRODUCT(--ISNUMBER(SEARCH('Scoring Model'!$D$16:$D$25,K702)))&gt;0,'Conversion Model'!$B$18,0)+IF(SUMPRODUCT(--ISNUMBER(SEARCH('Scoring Model'!$G$16:$G$23,K702)))&gt;0,'Conversion Model'!$B$19,0)))))</f>
        <v>0.00206615004004548</v>
      </c>
      <c r="AH702" s="3" t="n">
        <f aca="false">IF(OR(O702="Qualified",O702="Won",O702="Lost"),1,IF(O702="Unqualified",0,""))</f>
        <v>0</v>
      </c>
    </row>
    <row r="703" customFormat="false" ht="15" hidden="false" customHeight="true" outlineLevel="0" collapsed="false">
      <c r="A703" s="3" t="s">
        <v>2339</v>
      </c>
      <c r="B703" s="9" t="n">
        <v>46252.20625</v>
      </c>
      <c r="C703" s="3" t="s">
        <v>76</v>
      </c>
      <c r="D703" s="3" t="s">
        <v>2340</v>
      </c>
      <c r="E703" s="3" t="s">
        <v>2341</v>
      </c>
      <c r="F703" s="3" t="s">
        <v>54</v>
      </c>
      <c r="G703" s="3"/>
      <c r="H703" s="3"/>
      <c r="I703" s="3" t="s">
        <v>56</v>
      </c>
      <c r="J703" s="3" t="s">
        <v>65</v>
      </c>
      <c r="K703" s="3" t="s">
        <v>657</v>
      </c>
      <c r="L703" s="3" t="n">
        <v>1</v>
      </c>
      <c r="M703" s="3" t="n">
        <v>15.5</v>
      </c>
      <c r="N703" s="3" t="s">
        <v>67</v>
      </c>
      <c r="O703" s="3" t="s">
        <v>68</v>
      </c>
      <c r="P703" s="10"/>
      <c r="Q703" s="3" t="n">
        <f aca="false">IF(F703="Disposable",1,0)</f>
        <v>0</v>
      </c>
      <c r="R703" s="3" t="n">
        <f aca="false">IF(SUMPRODUCT(--ISNUMBER(SEARCH('Spam Rules'!$A$22:$A$35,K703)))&gt;0,1,0)</f>
        <v>1</v>
      </c>
      <c r="S703" s="3" t="n">
        <f aca="false">IF(AND(F703="Free",G703=""),1,0)</f>
        <v>1</v>
      </c>
      <c r="T703" s="3" t="n">
        <f aca="false">IF(LEN(TRIM(K703))&lt;15,1,0)</f>
        <v>0</v>
      </c>
      <c r="U703" s="3" t="n">
        <f aca="false">IF(COUNTIF($E$2:$E$801,E703)&gt;1,1,0)</f>
        <v>0</v>
      </c>
      <c r="V703" s="3" t="n">
        <f aca="false">Q703*'Spam Rules'!$H$6+R703*'Spam Rules'!$H$7+S703*'Spam Rules'!$H$8+T703*'Spam Rules'!$H$9+U703*'Spam Rules'!$H$10</f>
        <v>1</v>
      </c>
      <c r="W703" s="3" t="str">
        <f aca="false">IF(V703&gt;='Spam Rules'!$B$3,"Likely Spam","Genuine")</f>
        <v>Likely Spam</v>
      </c>
      <c r="X703" s="3" t="n">
        <f aca="false">IFERROR(INDEX('Scoring Model'!$B$5:$B$11,MATCH(C703,'Scoring Model'!$A$5:$A$11,0)),0)</f>
        <v>0</v>
      </c>
      <c r="Y703" s="3" t="n">
        <f aca="false">IFERROR(INDEX('Scoring Model'!$E$5:$E$7,MATCH(F703,'Scoring Model'!$D$5:$D$7,0)),0)</f>
        <v>0</v>
      </c>
      <c r="Z703" s="3" t="n">
        <f aca="false">IFERROR(INDEX('Scoring Model'!$H$5:$H$13,MATCH(J703,'Scoring Model'!$G$5:$G$13,0)),0)</f>
        <v>0</v>
      </c>
      <c r="AA703" s="3" t="n">
        <f aca="false">IF(L703&gt;='Scoring Model'!$B$14,'Scoring Model'!$B$15,IF(L703&gt;='Scoring Model'!$B$16,'Scoring Model'!$B$17,0))</f>
        <v>0</v>
      </c>
      <c r="AB703" s="3" t="n">
        <f aca="false">IF(SUMPRODUCT(--ISNUMBER(SEARCH('Scoring Model'!$D$16:$D$25,K703)))&gt;0,'Scoring Model'!$B$18,0)</f>
        <v>0</v>
      </c>
      <c r="AC703" s="3" t="n">
        <f aca="false">IF(SUMPRODUCT(--ISNUMBER(SEARCH('Scoring Model'!$G$16:$G$23,K703)))&gt;0,'Scoring Model'!$B$19,0)</f>
        <v>0</v>
      </c>
      <c r="AD703" s="3" t="str">
        <f aca="false">IF(W703="Likely Spam","",SUM(X703:AC703))</f>
        <v/>
      </c>
      <c r="AE703" s="3" t="str">
        <f aca="false">IF(W703="Likely Spam","Spam",IF(AD703&gt;='Scoring Model'!$B$21,"Hot",IF(AD703&gt;='Scoring Model'!$B$22,"Warm","Nurture")))</f>
        <v>Spam</v>
      </c>
      <c r="AF703" s="3" t="str">
        <f aca="false">IF(W703="Likely Spam","Flagged by spam rules",TRIM(IF(X703&gt;=20,"Strong source. ","")&amp;IF(Y703&gt;0,"Company email. ","")&amp;IF(Z703&gt;=15,"High-value product. ","")&amp;IF(AA703&gt;='Scoring Model'!$B$15,"High engagement. ","")&amp;IF(AB703&gt;0,"Buying intent in message. ","")&amp;IF(AC703&lt;0,"Negative intent in message. ","")))</f>
        <v>Flagged by spam rules</v>
      </c>
      <c r="AG703" s="11" t="str">
        <f aca="false">IF(W703="Likely Spam","",1/(1+EXP(-('Conversion Model'!$B$5+IFERROR(INDEX('Conversion Model'!$B$8:$B$14,MATCH(C703,'Conversion Model'!$A$8:$A$14,0)),0)+IFERROR(INDEX('Conversion Model'!$E$8:$E$9,MATCH(F703,'Conversion Model'!$D$8:$D$9,0)),0)+IFERROR(INDEX('Conversion Model'!$H$8:$H$12,MATCH(IF(LEFT(J703,8)="Payments","Payments",IF(LEFT(J703,7)="Lending","Lending",J703)),'Conversion Model'!$G$8:$G$12,0)),0)+MIN(L703,15)*'Conversion Model'!$B$17+IF(SUMPRODUCT(--ISNUMBER(SEARCH('Scoring Model'!$D$16:$D$25,K703)))&gt;0,'Conversion Model'!$B$18,0)+IF(SUMPRODUCT(--ISNUMBER(SEARCH('Scoring Model'!$G$16:$G$23,K703)))&gt;0,'Conversion Model'!$B$19,0)))))</f>
        <v/>
      </c>
      <c r="AH703" s="3" t="str">
        <f aca="false">IF(OR(O703="Qualified",O703="Won",O703="Lost"),1,IF(O703="Unqualified",0,""))</f>
        <v/>
      </c>
    </row>
    <row r="704" customFormat="false" ht="15" hidden="false" customHeight="true" outlineLevel="0" collapsed="false">
      <c r="A704" s="3" t="s">
        <v>2342</v>
      </c>
      <c r="B704" s="9" t="n">
        <v>46252.7277777778</v>
      </c>
      <c r="C704" s="3" t="s">
        <v>160</v>
      </c>
      <c r="D704" s="3" t="s">
        <v>2343</v>
      </c>
      <c r="E704" s="3" t="s">
        <v>2344</v>
      </c>
      <c r="F704" s="3" t="s">
        <v>22</v>
      </c>
      <c r="G704" s="3" t="s">
        <v>2245</v>
      </c>
      <c r="H704" s="3" t="s">
        <v>2345</v>
      </c>
      <c r="I704" s="3" t="s">
        <v>204</v>
      </c>
      <c r="J704" s="3" t="s">
        <v>81</v>
      </c>
      <c r="K704" s="3" t="s">
        <v>189</v>
      </c>
      <c r="L704" s="3" t="n">
        <v>6</v>
      </c>
      <c r="M704" s="3" t="n">
        <v>8.2</v>
      </c>
      <c r="N704" s="3" t="s">
        <v>171</v>
      </c>
      <c r="O704" s="3" t="s">
        <v>110</v>
      </c>
      <c r="P704" s="10"/>
      <c r="Q704" s="3" t="n">
        <f aca="false">IF(F704="Disposable",1,0)</f>
        <v>0</v>
      </c>
      <c r="R704" s="3" t="n">
        <f aca="false">IF(SUMPRODUCT(--ISNUMBER(SEARCH('Spam Rules'!$A$22:$A$35,K704)))&gt;0,1,0)</f>
        <v>0</v>
      </c>
      <c r="S704" s="3" t="n">
        <f aca="false">IF(AND(F704="Free",G704=""),1,0)</f>
        <v>0</v>
      </c>
      <c r="T704" s="3" t="n">
        <f aca="false">IF(LEN(TRIM(K704))&lt;15,1,0)</f>
        <v>0</v>
      </c>
      <c r="U704" s="3" t="n">
        <f aca="false">IF(COUNTIF($E$2:$E$801,E704)&gt;1,1,0)</f>
        <v>0</v>
      </c>
      <c r="V704" s="3" t="n">
        <f aca="false">Q704*'Spam Rules'!$H$6+R704*'Spam Rules'!$H$7+S704*'Spam Rules'!$H$8+T704*'Spam Rules'!$H$9+U704*'Spam Rules'!$H$10</f>
        <v>0</v>
      </c>
      <c r="W704" s="3" t="str">
        <f aca="false">IF(V704&gt;='Spam Rules'!$B$3,"Likely Spam","Genuine")</f>
        <v>Genuine</v>
      </c>
      <c r="X704" s="3" t="n">
        <f aca="false">IFERROR(INDEX('Scoring Model'!$B$5:$B$11,MATCH(C704,'Scoring Model'!$A$5:$A$11,0)),0)</f>
        <v>25</v>
      </c>
      <c r="Y704" s="3" t="n">
        <f aca="false">IFERROR(INDEX('Scoring Model'!$E$5:$E$7,MATCH(F704,'Scoring Model'!$D$5:$D$7,0)),0)</f>
        <v>20</v>
      </c>
      <c r="Z704" s="3" t="n">
        <f aca="false">IFERROR(INDEX('Scoring Model'!$H$5:$H$13,MATCH(J704,'Scoring Model'!$G$5:$G$13,0)),0)</f>
        <v>5</v>
      </c>
      <c r="AA704" s="3" t="n">
        <f aca="false">IF(L704&gt;='Scoring Model'!$B$14,'Scoring Model'!$B$15,IF(L704&gt;='Scoring Model'!$B$16,'Scoring Model'!$B$17,0))</f>
        <v>8</v>
      </c>
      <c r="AB704" s="3" t="n">
        <f aca="false">IF(SUMPRODUCT(--ISNUMBER(SEARCH('Scoring Model'!$D$16:$D$25,K704)))&gt;0,'Scoring Model'!$B$18,0)</f>
        <v>15</v>
      </c>
      <c r="AC704" s="3" t="n">
        <f aca="false">IF(SUMPRODUCT(--ISNUMBER(SEARCH('Scoring Model'!$G$16:$G$23,K704)))&gt;0,'Scoring Model'!$B$19,0)</f>
        <v>0</v>
      </c>
      <c r="AD704" s="3" t="n">
        <f aca="false">IF(W704="Likely Spam","",SUM(X704:AC704))</f>
        <v>73</v>
      </c>
      <c r="AE704" s="3" t="str">
        <f aca="false">IF(W704="Likely Spam","Spam",IF(AD704&gt;='Scoring Model'!$B$21,"Hot",IF(AD704&gt;='Scoring Model'!$B$22,"Warm","Nurture")))</f>
        <v>Hot</v>
      </c>
      <c r="AF704" s="3" t="str">
        <f aca="false">IF(W704="Likely Spam","Flagged by spam rules",TRIM(IF(X704&gt;=20,"Strong source. ","")&amp;IF(Y704&gt;0,"Company email. ","")&amp;IF(Z704&gt;=15,"High-value product. ","")&amp;IF(AA704&gt;='Scoring Model'!$B$15,"High engagement. ","")&amp;IF(AB704&gt;0,"Buying intent in message. ","")&amp;IF(AC704&lt;0,"Negative intent in message. ","")))</f>
        <v>Strong source. Company email. Buying intent in message.</v>
      </c>
      <c r="AG704" s="11" t="n">
        <f aca="false">IF(W704="Likely Spam","",1/(1+EXP(-('Conversion Model'!$B$5+IFERROR(INDEX('Conversion Model'!$B$8:$B$14,MATCH(C704,'Conversion Model'!$A$8:$A$14,0)),0)+IFERROR(INDEX('Conversion Model'!$E$8:$E$9,MATCH(F704,'Conversion Model'!$D$8:$D$9,0)),0)+IFERROR(INDEX('Conversion Model'!$H$8:$H$12,MATCH(IF(LEFT(J704,8)="Payments","Payments",IF(LEFT(J704,7)="Lending","Lending",J704)),'Conversion Model'!$G$8:$G$12,0)),0)+MIN(L704,15)*'Conversion Model'!$B$17+IF(SUMPRODUCT(--ISNUMBER(SEARCH('Scoring Model'!$D$16:$D$25,K704)))&gt;0,'Conversion Model'!$B$18,0)+IF(SUMPRODUCT(--ISNUMBER(SEARCH('Scoring Model'!$G$16:$G$23,K704)))&gt;0,'Conversion Model'!$B$19,0)))))</f>
        <v>0.84787104431298</v>
      </c>
      <c r="AH704" s="3" t="n">
        <f aca="false">IF(OR(O704="Qualified",O704="Won",O704="Lost"),1,IF(O704="Unqualified",0,""))</f>
        <v>1</v>
      </c>
    </row>
    <row r="705" customFormat="false" ht="15" hidden="false" customHeight="true" outlineLevel="0" collapsed="false">
      <c r="A705" s="3" t="s">
        <v>2346</v>
      </c>
      <c r="B705" s="9" t="n">
        <v>46253.5486111111</v>
      </c>
      <c r="C705" s="3" t="s">
        <v>135</v>
      </c>
      <c r="D705" s="3" t="s">
        <v>1259</v>
      </c>
      <c r="E705" s="3" t="s">
        <v>2347</v>
      </c>
      <c r="F705" s="3" t="s">
        <v>22</v>
      </c>
      <c r="G705" s="3" t="s">
        <v>877</v>
      </c>
      <c r="H705" s="3" t="s">
        <v>1559</v>
      </c>
      <c r="I705" s="3" t="s">
        <v>260</v>
      </c>
      <c r="J705" s="3" t="s">
        <v>108</v>
      </c>
      <c r="K705" s="3" t="s">
        <v>228</v>
      </c>
      <c r="L705" s="3" t="n">
        <v>4</v>
      </c>
      <c r="M705" s="3" t="n">
        <v>4.1</v>
      </c>
      <c r="N705" s="3" t="s">
        <v>171</v>
      </c>
      <c r="O705" s="3"/>
      <c r="P705" s="10"/>
      <c r="Q705" s="3" t="n">
        <f aca="false">IF(F705="Disposable",1,0)</f>
        <v>0</v>
      </c>
      <c r="R705" s="3" t="n">
        <f aca="false">IF(SUMPRODUCT(--ISNUMBER(SEARCH('Spam Rules'!$A$22:$A$35,K705)))&gt;0,1,0)</f>
        <v>0</v>
      </c>
      <c r="S705" s="3" t="n">
        <f aca="false">IF(AND(F705="Free",G705=""),1,0)</f>
        <v>0</v>
      </c>
      <c r="T705" s="3" t="n">
        <f aca="false">IF(LEN(TRIM(K705))&lt;15,1,0)</f>
        <v>0</v>
      </c>
      <c r="U705" s="3" t="n">
        <f aca="false">IF(COUNTIF($E$2:$E$801,E705)&gt;1,1,0)</f>
        <v>0</v>
      </c>
      <c r="V705" s="3" t="n">
        <f aca="false">Q705*'Spam Rules'!$H$6+R705*'Spam Rules'!$H$7+S705*'Spam Rules'!$H$8+T705*'Spam Rules'!$H$9+U705*'Spam Rules'!$H$10</f>
        <v>0</v>
      </c>
      <c r="W705" s="3" t="str">
        <f aca="false">IF(V705&gt;='Spam Rules'!$B$3,"Likely Spam","Genuine")</f>
        <v>Genuine</v>
      </c>
      <c r="X705" s="3" t="n">
        <f aca="false">IFERROR(INDEX('Scoring Model'!$B$5:$B$11,MATCH(C705,'Scoring Model'!$A$5:$A$11,0)),0)</f>
        <v>20</v>
      </c>
      <c r="Y705" s="3" t="n">
        <f aca="false">IFERROR(INDEX('Scoring Model'!$E$5:$E$7,MATCH(F705,'Scoring Model'!$D$5:$D$7,0)),0)</f>
        <v>20</v>
      </c>
      <c r="Z705" s="3" t="n">
        <f aca="false">IFERROR(INDEX('Scoring Model'!$H$5:$H$13,MATCH(J705,'Scoring Model'!$G$5:$G$13,0)),0)</f>
        <v>15</v>
      </c>
      <c r="AA705" s="3" t="n">
        <f aca="false">IF(L705&gt;='Scoring Model'!$B$14,'Scoring Model'!$B$15,IF(L705&gt;='Scoring Model'!$B$16,'Scoring Model'!$B$17,0))</f>
        <v>8</v>
      </c>
      <c r="AB705" s="3" t="n">
        <f aca="false">IF(SUMPRODUCT(--ISNUMBER(SEARCH('Scoring Model'!$D$16:$D$25,K705)))&gt;0,'Scoring Model'!$B$18,0)</f>
        <v>15</v>
      </c>
      <c r="AC705" s="3" t="n">
        <f aca="false">IF(SUMPRODUCT(--ISNUMBER(SEARCH('Scoring Model'!$G$16:$G$23,K705)))&gt;0,'Scoring Model'!$B$19,0)</f>
        <v>0</v>
      </c>
      <c r="AD705" s="3" t="n">
        <f aca="false">IF(W705="Likely Spam","",SUM(X705:AC705))</f>
        <v>78</v>
      </c>
      <c r="AE705" s="3" t="str">
        <f aca="false">IF(W705="Likely Spam","Spam",IF(AD705&gt;='Scoring Model'!$B$21,"Hot",IF(AD705&gt;='Scoring Model'!$B$22,"Warm","Nurture")))</f>
        <v>Hot</v>
      </c>
      <c r="AF705" s="3" t="str">
        <f aca="false">IF(W705="Likely Spam","Flagged by spam rules",TRIM(IF(X705&gt;=20,"Strong source. ","")&amp;IF(Y705&gt;0,"Company email. ","")&amp;IF(Z705&gt;=15,"High-value product. ","")&amp;IF(AA705&gt;='Scoring Model'!$B$15,"High engagement. ","")&amp;IF(AB705&gt;0,"Buying intent in message. ","")&amp;IF(AC705&lt;0,"Negative intent in message. ","")))</f>
        <v>Strong source. Company email. High-value product. Buying intent in message.</v>
      </c>
      <c r="AG705" s="11" t="n">
        <f aca="false">IF(W705="Likely Spam","",1/(1+EXP(-('Conversion Model'!$B$5+IFERROR(INDEX('Conversion Model'!$B$8:$B$14,MATCH(C705,'Conversion Model'!$A$8:$A$14,0)),0)+IFERROR(INDEX('Conversion Model'!$E$8:$E$9,MATCH(F705,'Conversion Model'!$D$8:$D$9,0)),0)+IFERROR(INDEX('Conversion Model'!$H$8:$H$12,MATCH(IF(LEFT(J705,8)="Payments","Payments",IF(LEFT(J705,7)="Lending","Lending",J705)),'Conversion Model'!$G$8:$G$12,0)),0)+MIN(L705,15)*'Conversion Model'!$B$17+IF(SUMPRODUCT(--ISNUMBER(SEARCH('Scoring Model'!$D$16:$D$25,K705)))&gt;0,'Conversion Model'!$B$18,0)+IF(SUMPRODUCT(--ISNUMBER(SEARCH('Scoring Model'!$G$16:$G$23,K705)))&gt;0,'Conversion Model'!$B$19,0)))))</f>
        <v>0.702451683352767</v>
      </c>
      <c r="AH705" s="3" t="str">
        <f aca="false">IF(OR(O705="Qualified",O705="Won",O705="Lost"),1,IF(O705="Unqualified",0,""))</f>
        <v/>
      </c>
    </row>
    <row r="706" customFormat="false" ht="15" hidden="false" customHeight="true" outlineLevel="0" collapsed="false">
      <c r="A706" s="3" t="s">
        <v>2348</v>
      </c>
      <c r="B706" s="9" t="n">
        <v>46253.8986111111</v>
      </c>
      <c r="C706" s="3" t="s">
        <v>91</v>
      </c>
      <c r="D706" s="3" t="s">
        <v>572</v>
      </c>
      <c r="E706" s="3" t="s">
        <v>2349</v>
      </c>
      <c r="F706" s="3" t="s">
        <v>54</v>
      </c>
      <c r="G706" s="3" t="s">
        <v>157</v>
      </c>
      <c r="H706" s="3"/>
      <c r="I706" s="3" t="s">
        <v>139</v>
      </c>
      <c r="J706" s="3" t="s">
        <v>122</v>
      </c>
      <c r="K706" s="3" t="s">
        <v>74</v>
      </c>
      <c r="L706" s="3" t="n">
        <v>2</v>
      </c>
      <c r="M706" s="3" t="n">
        <v>25.8</v>
      </c>
      <c r="N706" s="3" t="s">
        <v>96</v>
      </c>
      <c r="O706" s="3" t="s">
        <v>194</v>
      </c>
      <c r="P706" s="10"/>
      <c r="Q706" s="3" t="n">
        <f aca="false">IF(F706="Disposable",1,0)</f>
        <v>0</v>
      </c>
      <c r="R706" s="3" t="n">
        <f aca="false">IF(SUMPRODUCT(--ISNUMBER(SEARCH('Spam Rules'!$A$22:$A$35,K706)))&gt;0,1,0)</f>
        <v>0</v>
      </c>
      <c r="S706" s="3" t="n">
        <f aca="false">IF(AND(F706="Free",G706=""),1,0)</f>
        <v>0</v>
      </c>
      <c r="T706" s="3" t="n">
        <f aca="false">IF(LEN(TRIM(K706))&lt;15,1,0)</f>
        <v>0</v>
      </c>
      <c r="U706" s="3" t="n">
        <f aca="false">IF(COUNTIF($E$2:$E$801,E706)&gt;1,1,0)</f>
        <v>0</v>
      </c>
      <c r="V706" s="3" t="n">
        <f aca="false">Q706*'Spam Rules'!$H$6+R706*'Spam Rules'!$H$7+S706*'Spam Rules'!$H$8+T706*'Spam Rules'!$H$9+U706*'Spam Rules'!$H$10</f>
        <v>0</v>
      </c>
      <c r="W706" s="3" t="str">
        <f aca="false">IF(V706&gt;='Spam Rules'!$B$3,"Likely Spam","Genuine")</f>
        <v>Genuine</v>
      </c>
      <c r="X706" s="3" t="n">
        <f aca="false">IFERROR(INDEX('Scoring Model'!$B$5:$B$11,MATCH(C706,'Scoring Model'!$A$5:$A$11,0)),0)</f>
        <v>5</v>
      </c>
      <c r="Y706" s="3" t="n">
        <f aca="false">IFERROR(INDEX('Scoring Model'!$E$5:$E$7,MATCH(F706,'Scoring Model'!$D$5:$D$7,0)),0)</f>
        <v>0</v>
      </c>
      <c r="Z706" s="3" t="n">
        <f aca="false">IFERROR(INDEX('Scoring Model'!$H$5:$H$13,MATCH(J706,'Scoring Model'!$G$5:$G$13,0)),0)</f>
        <v>15</v>
      </c>
      <c r="AA706" s="3" t="n">
        <f aca="false">IF(L706&gt;='Scoring Model'!$B$14,'Scoring Model'!$B$15,IF(L706&gt;='Scoring Model'!$B$16,'Scoring Model'!$B$17,0))</f>
        <v>0</v>
      </c>
      <c r="AB706" s="3" t="n">
        <f aca="false">IF(SUMPRODUCT(--ISNUMBER(SEARCH('Scoring Model'!$D$16:$D$25,K706)))&gt;0,'Scoring Model'!$B$18,0)</f>
        <v>0</v>
      </c>
      <c r="AC706" s="3" t="n">
        <f aca="false">IF(SUMPRODUCT(--ISNUMBER(SEARCH('Scoring Model'!$G$16:$G$23,K706)))&gt;0,'Scoring Model'!$B$19,0)</f>
        <v>-30</v>
      </c>
      <c r="AD706" s="3" t="n">
        <f aca="false">IF(W706="Likely Spam","",SUM(X706:AC706))</f>
        <v>-10</v>
      </c>
      <c r="AE706" s="3" t="str">
        <f aca="false">IF(W706="Likely Spam","Spam",IF(AD706&gt;='Scoring Model'!$B$21,"Hot",IF(AD706&gt;='Scoring Model'!$B$22,"Warm","Nurture")))</f>
        <v>Nurture</v>
      </c>
      <c r="AF706" s="3" t="str">
        <f aca="false">IF(W706="Likely Spam","Flagged by spam rules",TRIM(IF(X706&gt;=20,"Strong source. ","")&amp;IF(Y706&gt;0,"Company email. ","")&amp;IF(Z706&gt;=15,"High-value product. ","")&amp;IF(AA706&gt;='Scoring Model'!$B$15,"High engagement. ","")&amp;IF(AB706&gt;0,"Buying intent in message. ","")&amp;IF(AC706&lt;0,"Negative intent in message. ","")))</f>
        <v>High-value product. Negative intent in message.</v>
      </c>
      <c r="AG706" s="11" t="n">
        <f aca="false">IF(W706="Likely Spam","",1/(1+EXP(-('Conversion Model'!$B$5+IFERROR(INDEX('Conversion Model'!$B$8:$B$14,MATCH(C706,'Conversion Model'!$A$8:$A$14,0)),0)+IFERROR(INDEX('Conversion Model'!$E$8:$E$9,MATCH(F706,'Conversion Model'!$D$8:$D$9,0)),0)+IFERROR(INDEX('Conversion Model'!$H$8:$H$12,MATCH(IF(LEFT(J706,8)="Payments","Payments",IF(LEFT(J706,7)="Lending","Lending",J706)),'Conversion Model'!$G$8:$G$12,0)),0)+MIN(L706,15)*'Conversion Model'!$B$17+IF(SUMPRODUCT(--ISNUMBER(SEARCH('Scoring Model'!$D$16:$D$25,K706)))&gt;0,'Conversion Model'!$B$18,0)+IF(SUMPRODUCT(--ISNUMBER(SEARCH('Scoring Model'!$G$16:$G$23,K706)))&gt;0,'Conversion Model'!$B$19,0)))))</f>
        <v>0.00179133712016906</v>
      </c>
      <c r="AH706" s="3" t="n">
        <f aca="false">IF(OR(O706="Qualified",O706="Won",O706="Lost"),1,IF(O706="Unqualified",0,""))</f>
        <v>0</v>
      </c>
    </row>
    <row r="707" customFormat="false" ht="15" hidden="false" customHeight="true" outlineLevel="0" collapsed="false">
      <c r="A707" s="3" t="s">
        <v>2350</v>
      </c>
      <c r="B707" s="9" t="n">
        <v>46253.9798611111</v>
      </c>
      <c r="C707" s="3" t="s">
        <v>51</v>
      </c>
      <c r="D707" s="3" t="s">
        <v>1223</v>
      </c>
      <c r="E707" s="3" t="s">
        <v>2351</v>
      </c>
      <c r="F707" s="3" t="s">
        <v>63</v>
      </c>
      <c r="G707" s="3"/>
      <c r="H707" s="3"/>
      <c r="I707" s="3" t="s">
        <v>64</v>
      </c>
      <c r="J707" s="3" t="s">
        <v>122</v>
      </c>
      <c r="K707" s="3" t="s">
        <v>126</v>
      </c>
      <c r="L707" s="3" t="n">
        <v>2</v>
      </c>
      <c r="M707" s="3"/>
      <c r="N707" s="3" t="s">
        <v>171</v>
      </c>
      <c r="O707" s="3"/>
      <c r="P707" s="10"/>
      <c r="Q707" s="3" t="n">
        <f aca="false">IF(F707="Disposable",1,0)</f>
        <v>1</v>
      </c>
      <c r="R707" s="3" t="n">
        <f aca="false">IF(SUMPRODUCT(--ISNUMBER(SEARCH('Spam Rules'!$A$22:$A$35,K707)))&gt;0,1,0)</f>
        <v>0</v>
      </c>
      <c r="S707" s="3" t="n">
        <f aca="false">IF(AND(F707="Free",G707=""),1,0)</f>
        <v>0</v>
      </c>
      <c r="T707" s="3" t="n">
        <f aca="false">IF(LEN(TRIM(K707))&lt;15,1,0)</f>
        <v>1</v>
      </c>
      <c r="U707" s="3" t="n">
        <f aca="false">IF(COUNTIF($E$2:$E$801,E707)&gt;1,1,0)</f>
        <v>0</v>
      </c>
      <c r="V707" s="3" t="n">
        <f aca="false">Q707*'Spam Rules'!$H$6+R707*'Spam Rules'!$H$7+S707*'Spam Rules'!$H$8+T707*'Spam Rules'!$H$9+U707*'Spam Rules'!$H$10</f>
        <v>2</v>
      </c>
      <c r="W707" s="3" t="str">
        <f aca="false">IF(V707&gt;='Spam Rules'!$B$3,"Likely Spam","Genuine")</f>
        <v>Likely Spam</v>
      </c>
      <c r="X707" s="3" t="n">
        <f aca="false">IFERROR(INDEX('Scoring Model'!$B$5:$B$11,MATCH(C707,'Scoring Model'!$A$5:$A$11,0)),0)</f>
        <v>10</v>
      </c>
      <c r="Y707" s="3" t="n">
        <f aca="false">IFERROR(INDEX('Scoring Model'!$E$5:$E$7,MATCH(F707,'Scoring Model'!$D$5:$D$7,0)),0)</f>
        <v>0</v>
      </c>
      <c r="Z707" s="3" t="n">
        <f aca="false">IFERROR(INDEX('Scoring Model'!$H$5:$H$13,MATCH(J707,'Scoring Model'!$G$5:$G$13,0)),0)</f>
        <v>15</v>
      </c>
      <c r="AA707" s="3" t="n">
        <f aca="false">IF(L707&gt;='Scoring Model'!$B$14,'Scoring Model'!$B$15,IF(L707&gt;='Scoring Model'!$B$16,'Scoring Model'!$B$17,0))</f>
        <v>0</v>
      </c>
      <c r="AB707" s="3" t="n">
        <f aca="false">IF(SUMPRODUCT(--ISNUMBER(SEARCH('Scoring Model'!$D$16:$D$25,K707)))&gt;0,'Scoring Model'!$B$18,0)</f>
        <v>0</v>
      </c>
      <c r="AC707" s="3" t="n">
        <f aca="false">IF(SUMPRODUCT(--ISNUMBER(SEARCH('Scoring Model'!$G$16:$G$23,K707)))&gt;0,'Scoring Model'!$B$19,0)</f>
        <v>0</v>
      </c>
      <c r="AD707" s="3" t="str">
        <f aca="false">IF(W707="Likely Spam","",SUM(X707:AC707))</f>
        <v/>
      </c>
      <c r="AE707" s="3" t="str">
        <f aca="false">IF(W707="Likely Spam","Spam",IF(AD707&gt;='Scoring Model'!$B$21,"Hot",IF(AD707&gt;='Scoring Model'!$B$22,"Warm","Nurture")))</f>
        <v>Spam</v>
      </c>
      <c r="AF707" s="3" t="str">
        <f aca="false">IF(W707="Likely Spam","Flagged by spam rules",TRIM(IF(X707&gt;=20,"Strong source. ","")&amp;IF(Y707&gt;0,"Company email. ","")&amp;IF(Z707&gt;=15,"High-value product. ","")&amp;IF(AA707&gt;='Scoring Model'!$B$15,"High engagement. ","")&amp;IF(AB707&gt;0,"Buying intent in message. ","")&amp;IF(AC707&lt;0,"Negative intent in message. ","")))</f>
        <v>Flagged by spam rules</v>
      </c>
      <c r="AG707" s="11" t="str">
        <f aca="false">IF(W707="Likely Spam","",1/(1+EXP(-('Conversion Model'!$B$5+IFERROR(INDEX('Conversion Model'!$B$8:$B$14,MATCH(C707,'Conversion Model'!$A$8:$A$14,0)),0)+IFERROR(INDEX('Conversion Model'!$E$8:$E$9,MATCH(F707,'Conversion Model'!$D$8:$D$9,0)),0)+IFERROR(INDEX('Conversion Model'!$H$8:$H$12,MATCH(IF(LEFT(J707,8)="Payments","Payments",IF(LEFT(J707,7)="Lending","Lending",J707)),'Conversion Model'!$G$8:$G$12,0)),0)+MIN(L707,15)*'Conversion Model'!$B$17+IF(SUMPRODUCT(--ISNUMBER(SEARCH('Scoring Model'!$D$16:$D$25,K707)))&gt;0,'Conversion Model'!$B$18,0)+IF(SUMPRODUCT(--ISNUMBER(SEARCH('Scoring Model'!$G$16:$G$23,K707)))&gt;0,'Conversion Model'!$B$19,0)))))</f>
        <v/>
      </c>
      <c r="AH707" s="3" t="str">
        <f aca="false">IF(OR(O707="Qualified",O707="Won",O707="Lost"),1,IF(O707="Unqualified",0,""))</f>
        <v/>
      </c>
    </row>
    <row r="708" customFormat="false" ht="15" hidden="false" customHeight="true" outlineLevel="0" collapsed="false">
      <c r="A708" s="3" t="s">
        <v>2352</v>
      </c>
      <c r="B708" s="9" t="n">
        <v>46254.1652777778</v>
      </c>
      <c r="C708" s="3" t="s">
        <v>76</v>
      </c>
      <c r="D708" s="3" t="s">
        <v>1029</v>
      </c>
      <c r="E708" s="3" t="s">
        <v>2353</v>
      </c>
      <c r="F708" s="3" t="s">
        <v>22</v>
      </c>
      <c r="G708" s="3" t="s">
        <v>86</v>
      </c>
      <c r="H708" s="3" t="s">
        <v>87</v>
      </c>
      <c r="I708" s="3" t="s">
        <v>80</v>
      </c>
      <c r="J708" s="3" t="s">
        <v>65</v>
      </c>
      <c r="K708" s="3" t="s">
        <v>363</v>
      </c>
      <c r="L708" s="3" t="n">
        <v>1</v>
      </c>
      <c r="M708" s="3" t="n">
        <v>10.7</v>
      </c>
      <c r="N708" s="3" t="s">
        <v>96</v>
      </c>
      <c r="O708" s="3" t="s">
        <v>68</v>
      </c>
      <c r="P708" s="10"/>
      <c r="Q708" s="3" t="n">
        <f aca="false">IF(F708="Disposable",1,0)</f>
        <v>0</v>
      </c>
      <c r="R708" s="3" t="n">
        <f aca="false">IF(SUMPRODUCT(--ISNUMBER(SEARCH('Spam Rules'!$A$22:$A$35,K708)))&gt;0,1,0)</f>
        <v>1</v>
      </c>
      <c r="S708" s="3" t="n">
        <f aca="false">IF(AND(F708="Free",G708=""),1,0)</f>
        <v>0</v>
      </c>
      <c r="T708" s="3" t="n">
        <f aca="false">IF(LEN(TRIM(K708))&lt;15,1,0)</f>
        <v>0</v>
      </c>
      <c r="U708" s="3" t="n">
        <f aca="false">IF(COUNTIF($E$2:$E$801,E708)&gt;1,1,0)</f>
        <v>0</v>
      </c>
      <c r="V708" s="3" t="n">
        <f aca="false">Q708*'Spam Rules'!$H$6+R708*'Spam Rules'!$H$7+S708*'Spam Rules'!$H$8+T708*'Spam Rules'!$H$9+U708*'Spam Rules'!$H$10</f>
        <v>1</v>
      </c>
      <c r="W708" s="3" t="str">
        <f aca="false">IF(V708&gt;='Spam Rules'!$B$3,"Likely Spam","Genuine")</f>
        <v>Likely Spam</v>
      </c>
      <c r="X708" s="3" t="n">
        <f aca="false">IFERROR(INDEX('Scoring Model'!$B$5:$B$11,MATCH(C708,'Scoring Model'!$A$5:$A$11,0)),0)</f>
        <v>0</v>
      </c>
      <c r="Y708" s="3" t="n">
        <f aca="false">IFERROR(INDEX('Scoring Model'!$E$5:$E$7,MATCH(F708,'Scoring Model'!$D$5:$D$7,0)),0)</f>
        <v>20</v>
      </c>
      <c r="Z708" s="3" t="n">
        <f aca="false">IFERROR(INDEX('Scoring Model'!$H$5:$H$13,MATCH(J708,'Scoring Model'!$G$5:$G$13,0)),0)</f>
        <v>0</v>
      </c>
      <c r="AA708" s="3" t="n">
        <f aca="false">IF(L708&gt;='Scoring Model'!$B$14,'Scoring Model'!$B$15,IF(L708&gt;='Scoring Model'!$B$16,'Scoring Model'!$B$17,0))</f>
        <v>0</v>
      </c>
      <c r="AB708" s="3" t="n">
        <f aca="false">IF(SUMPRODUCT(--ISNUMBER(SEARCH('Scoring Model'!$D$16:$D$25,K708)))&gt;0,'Scoring Model'!$B$18,0)</f>
        <v>0</v>
      </c>
      <c r="AC708" s="3" t="n">
        <f aca="false">IF(SUMPRODUCT(--ISNUMBER(SEARCH('Scoring Model'!$G$16:$G$23,K708)))&gt;0,'Scoring Model'!$B$19,0)</f>
        <v>0</v>
      </c>
      <c r="AD708" s="3" t="str">
        <f aca="false">IF(W708="Likely Spam","",SUM(X708:AC708))</f>
        <v/>
      </c>
      <c r="AE708" s="3" t="str">
        <f aca="false">IF(W708="Likely Spam","Spam",IF(AD708&gt;='Scoring Model'!$B$21,"Hot",IF(AD708&gt;='Scoring Model'!$B$22,"Warm","Nurture")))</f>
        <v>Spam</v>
      </c>
      <c r="AF708" s="3" t="str">
        <f aca="false">IF(W708="Likely Spam","Flagged by spam rules",TRIM(IF(X708&gt;=20,"Strong source. ","")&amp;IF(Y708&gt;0,"Company email. ","")&amp;IF(Z708&gt;=15,"High-value product. ","")&amp;IF(AA708&gt;='Scoring Model'!$B$15,"High engagement. ","")&amp;IF(AB708&gt;0,"Buying intent in message. ","")&amp;IF(AC708&lt;0,"Negative intent in message. ","")))</f>
        <v>Flagged by spam rules</v>
      </c>
      <c r="AG708" s="11" t="str">
        <f aca="false">IF(W708="Likely Spam","",1/(1+EXP(-('Conversion Model'!$B$5+IFERROR(INDEX('Conversion Model'!$B$8:$B$14,MATCH(C708,'Conversion Model'!$A$8:$A$14,0)),0)+IFERROR(INDEX('Conversion Model'!$E$8:$E$9,MATCH(F708,'Conversion Model'!$D$8:$D$9,0)),0)+IFERROR(INDEX('Conversion Model'!$H$8:$H$12,MATCH(IF(LEFT(J708,8)="Payments","Payments",IF(LEFT(J708,7)="Lending","Lending",J708)),'Conversion Model'!$G$8:$G$12,0)),0)+MIN(L708,15)*'Conversion Model'!$B$17+IF(SUMPRODUCT(--ISNUMBER(SEARCH('Scoring Model'!$D$16:$D$25,K708)))&gt;0,'Conversion Model'!$B$18,0)+IF(SUMPRODUCT(--ISNUMBER(SEARCH('Scoring Model'!$G$16:$G$23,K708)))&gt;0,'Conversion Model'!$B$19,0)))))</f>
        <v/>
      </c>
      <c r="AH708" s="3" t="str">
        <f aca="false">IF(OR(O708="Qualified",O708="Won",O708="Lost"),1,IF(O708="Unqualified",0,""))</f>
        <v/>
      </c>
    </row>
    <row r="709" customFormat="false" ht="15" hidden="false" customHeight="true" outlineLevel="0" collapsed="false">
      <c r="A709" s="3" t="s">
        <v>2354</v>
      </c>
      <c r="B709" s="9" t="n">
        <v>46254.4451388889</v>
      </c>
      <c r="C709" s="3" t="s">
        <v>91</v>
      </c>
      <c r="D709" s="3" t="s">
        <v>61</v>
      </c>
      <c r="E709" s="3" t="s">
        <v>2355</v>
      </c>
      <c r="F709" s="3" t="s">
        <v>63</v>
      </c>
      <c r="G709" s="3"/>
      <c r="H709" s="3"/>
      <c r="I709" s="3" t="s">
        <v>139</v>
      </c>
      <c r="J709" s="3" t="s">
        <v>65</v>
      </c>
      <c r="K709" s="3" t="s">
        <v>239</v>
      </c>
      <c r="L709" s="3" t="n">
        <v>2</v>
      </c>
      <c r="M709" s="3"/>
      <c r="N709" s="3" t="s">
        <v>96</v>
      </c>
      <c r="O709" s="3" t="s">
        <v>68</v>
      </c>
      <c r="P709" s="10"/>
      <c r="Q709" s="3" t="n">
        <f aca="false">IF(F709="Disposable",1,0)</f>
        <v>1</v>
      </c>
      <c r="R709" s="3" t="n">
        <f aca="false">IF(SUMPRODUCT(--ISNUMBER(SEARCH('Spam Rules'!$A$22:$A$35,K709)))&gt;0,1,0)</f>
        <v>1</v>
      </c>
      <c r="S709" s="3" t="n">
        <f aca="false">IF(AND(F709="Free",G709=""),1,0)</f>
        <v>0</v>
      </c>
      <c r="T709" s="3" t="n">
        <f aca="false">IF(LEN(TRIM(K709))&lt;15,1,0)</f>
        <v>0</v>
      </c>
      <c r="U709" s="3" t="n">
        <f aca="false">IF(COUNTIF($E$2:$E$801,E709)&gt;1,1,0)</f>
        <v>0</v>
      </c>
      <c r="V709" s="3" t="n">
        <f aca="false">Q709*'Spam Rules'!$H$6+R709*'Spam Rules'!$H$7+S709*'Spam Rules'!$H$8+T709*'Spam Rules'!$H$9+U709*'Spam Rules'!$H$10</f>
        <v>2</v>
      </c>
      <c r="W709" s="3" t="str">
        <f aca="false">IF(V709&gt;='Spam Rules'!$B$3,"Likely Spam","Genuine")</f>
        <v>Likely Spam</v>
      </c>
      <c r="X709" s="3" t="n">
        <f aca="false">IFERROR(INDEX('Scoring Model'!$B$5:$B$11,MATCH(C709,'Scoring Model'!$A$5:$A$11,0)),0)</f>
        <v>5</v>
      </c>
      <c r="Y709" s="3" t="n">
        <f aca="false">IFERROR(INDEX('Scoring Model'!$E$5:$E$7,MATCH(F709,'Scoring Model'!$D$5:$D$7,0)),0)</f>
        <v>0</v>
      </c>
      <c r="Z709" s="3" t="n">
        <f aca="false">IFERROR(INDEX('Scoring Model'!$H$5:$H$13,MATCH(J709,'Scoring Model'!$G$5:$G$13,0)),0)</f>
        <v>0</v>
      </c>
      <c r="AA709" s="3" t="n">
        <f aca="false">IF(L709&gt;='Scoring Model'!$B$14,'Scoring Model'!$B$15,IF(L709&gt;='Scoring Model'!$B$16,'Scoring Model'!$B$17,0))</f>
        <v>0</v>
      </c>
      <c r="AB709" s="3" t="n">
        <f aca="false">IF(SUMPRODUCT(--ISNUMBER(SEARCH('Scoring Model'!$D$16:$D$25,K709)))&gt;0,'Scoring Model'!$B$18,0)</f>
        <v>0</v>
      </c>
      <c r="AC709" s="3" t="n">
        <f aca="false">IF(SUMPRODUCT(--ISNUMBER(SEARCH('Scoring Model'!$G$16:$G$23,K709)))&gt;0,'Scoring Model'!$B$19,0)</f>
        <v>0</v>
      </c>
      <c r="AD709" s="3" t="str">
        <f aca="false">IF(W709="Likely Spam","",SUM(X709:AC709))</f>
        <v/>
      </c>
      <c r="AE709" s="3" t="str">
        <f aca="false">IF(W709="Likely Spam","Spam",IF(AD709&gt;='Scoring Model'!$B$21,"Hot",IF(AD709&gt;='Scoring Model'!$B$22,"Warm","Nurture")))</f>
        <v>Spam</v>
      </c>
      <c r="AF709" s="3" t="str">
        <f aca="false">IF(W709="Likely Spam","Flagged by spam rules",TRIM(IF(X709&gt;=20,"Strong source. ","")&amp;IF(Y709&gt;0,"Company email. ","")&amp;IF(Z709&gt;=15,"High-value product. ","")&amp;IF(AA709&gt;='Scoring Model'!$B$15,"High engagement. ","")&amp;IF(AB709&gt;0,"Buying intent in message. ","")&amp;IF(AC709&lt;0,"Negative intent in message. ","")))</f>
        <v>Flagged by spam rules</v>
      </c>
      <c r="AG709" s="11" t="str">
        <f aca="false">IF(W709="Likely Spam","",1/(1+EXP(-('Conversion Model'!$B$5+IFERROR(INDEX('Conversion Model'!$B$8:$B$14,MATCH(C709,'Conversion Model'!$A$8:$A$14,0)),0)+IFERROR(INDEX('Conversion Model'!$E$8:$E$9,MATCH(F709,'Conversion Model'!$D$8:$D$9,0)),0)+IFERROR(INDEX('Conversion Model'!$H$8:$H$12,MATCH(IF(LEFT(J709,8)="Payments","Payments",IF(LEFT(J709,7)="Lending","Lending",J709)),'Conversion Model'!$G$8:$G$12,0)),0)+MIN(L709,15)*'Conversion Model'!$B$17+IF(SUMPRODUCT(--ISNUMBER(SEARCH('Scoring Model'!$D$16:$D$25,K709)))&gt;0,'Conversion Model'!$B$18,0)+IF(SUMPRODUCT(--ISNUMBER(SEARCH('Scoring Model'!$G$16:$G$23,K709)))&gt;0,'Conversion Model'!$B$19,0)))))</f>
        <v/>
      </c>
      <c r="AH709" s="3" t="str">
        <f aca="false">IF(OR(O709="Qualified",O709="Won",O709="Lost"),1,IF(O709="Unqualified",0,""))</f>
        <v/>
      </c>
    </row>
    <row r="710" customFormat="false" ht="15" hidden="false" customHeight="true" outlineLevel="0" collapsed="false">
      <c r="A710" s="3" t="s">
        <v>2356</v>
      </c>
      <c r="B710" s="9" t="n">
        <v>46255.2458333333</v>
      </c>
      <c r="C710" s="3" t="s">
        <v>51</v>
      </c>
      <c r="D710" s="3" t="s">
        <v>380</v>
      </c>
      <c r="E710" s="3" t="s">
        <v>1427</v>
      </c>
      <c r="F710" s="3" t="s">
        <v>63</v>
      </c>
      <c r="G710" s="3"/>
      <c r="H710" s="3"/>
      <c r="I710" s="3" t="s">
        <v>73</v>
      </c>
      <c r="J710" s="3" t="s">
        <v>65</v>
      </c>
      <c r="K710" s="3" t="s">
        <v>657</v>
      </c>
      <c r="L710" s="3" t="n">
        <v>1</v>
      </c>
      <c r="M710" s="3"/>
      <c r="N710" s="3" t="s">
        <v>96</v>
      </c>
      <c r="O710" s="3" t="s">
        <v>68</v>
      </c>
      <c r="P710" s="10"/>
      <c r="Q710" s="3" t="n">
        <f aca="false">IF(F710="Disposable",1,0)</f>
        <v>1</v>
      </c>
      <c r="R710" s="3" t="n">
        <f aca="false">IF(SUMPRODUCT(--ISNUMBER(SEARCH('Spam Rules'!$A$22:$A$35,K710)))&gt;0,1,0)</f>
        <v>1</v>
      </c>
      <c r="S710" s="3" t="n">
        <f aca="false">IF(AND(F710="Free",G710=""),1,0)</f>
        <v>0</v>
      </c>
      <c r="T710" s="3" t="n">
        <f aca="false">IF(LEN(TRIM(K710))&lt;15,1,0)</f>
        <v>0</v>
      </c>
      <c r="U710" s="3" t="n">
        <f aca="false">IF(COUNTIF($E$2:$E$801,E710)&gt;1,1,0)</f>
        <v>1</v>
      </c>
      <c r="V710" s="3" t="n">
        <f aca="false">Q710*'Spam Rules'!$H$6+R710*'Spam Rules'!$H$7+S710*'Spam Rules'!$H$8+T710*'Spam Rules'!$H$9+U710*'Spam Rules'!$H$10</f>
        <v>2</v>
      </c>
      <c r="W710" s="3" t="str">
        <f aca="false">IF(V710&gt;='Spam Rules'!$B$3,"Likely Spam","Genuine")</f>
        <v>Likely Spam</v>
      </c>
      <c r="X710" s="3" t="n">
        <f aca="false">IFERROR(INDEX('Scoring Model'!$B$5:$B$11,MATCH(C710,'Scoring Model'!$A$5:$A$11,0)),0)</f>
        <v>10</v>
      </c>
      <c r="Y710" s="3" t="n">
        <f aca="false">IFERROR(INDEX('Scoring Model'!$E$5:$E$7,MATCH(F710,'Scoring Model'!$D$5:$D$7,0)),0)</f>
        <v>0</v>
      </c>
      <c r="Z710" s="3" t="n">
        <f aca="false">IFERROR(INDEX('Scoring Model'!$H$5:$H$13,MATCH(J710,'Scoring Model'!$G$5:$G$13,0)),0)</f>
        <v>0</v>
      </c>
      <c r="AA710" s="3" t="n">
        <f aca="false">IF(L710&gt;='Scoring Model'!$B$14,'Scoring Model'!$B$15,IF(L710&gt;='Scoring Model'!$B$16,'Scoring Model'!$B$17,0))</f>
        <v>0</v>
      </c>
      <c r="AB710" s="3" t="n">
        <f aca="false">IF(SUMPRODUCT(--ISNUMBER(SEARCH('Scoring Model'!$D$16:$D$25,K710)))&gt;0,'Scoring Model'!$B$18,0)</f>
        <v>0</v>
      </c>
      <c r="AC710" s="3" t="n">
        <f aca="false">IF(SUMPRODUCT(--ISNUMBER(SEARCH('Scoring Model'!$G$16:$G$23,K710)))&gt;0,'Scoring Model'!$B$19,0)</f>
        <v>0</v>
      </c>
      <c r="AD710" s="3" t="str">
        <f aca="false">IF(W710="Likely Spam","",SUM(X710:AC710))</f>
        <v/>
      </c>
      <c r="AE710" s="3" t="str">
        <f aca="false">IF(W710="Likely Spam","Spam",IF(AD710&gt;='Scoring Model'!$B$21,"Hot",IF(AD710&gt;='Scoring Model'!$B$22,"Warm","Nurture")))</f>
        <v>Spam</v>
      </c>
      <c r="AF710" s="3" t="str">
        <f aca="false">IF(W710="Likely Spam","Flagged by spam rules",TRIM(IF(X710&gt;=20,"Strong source. ","")&amp;IF(Y710&gt;0,"Company email. ","")&amp;IF(Z710&gt;=15,"High-value product. ","")&amp;IF(AA710&gt;='Scoring Model'!$B$15,"High engagement. ","")&amp;IF(AB710&gt;0,"Buying intent in message. ","")&amp;IF(AC710&lt;0,"Negative intent in message. ","")))</f>
        <v>Flagged by spam rules</v>
      </c>
      <c r="AG710" s="11" t="str">
        <f aca="false">IF(W710="Likely Spam","",1/(1+EXP(-('Conversion Model'!$B$5+IFERROR(INDEX('Conversion Model'!$B$8:$B$14,MATCH(C710,'Conversion Model'!$A$8:$A$14,0)),0)+IFERROR(INDEX('Conversion Model'!$E$8:$E$9,MATCH(F710,'Conversion Model'!$D$8:$D$9,0)),0)+IFERROR(INDEX('Conversion Model'!$H$8:$H$12,MATCH(IF(LEFT(J710,8)="Payments","Payments",IF(LEFT(J710,7)="Lending","Lending",J710)),'Conversion Model'!$G$8:$G$12,0)),0)+MIN(L710,15)*'Conversion Model'!$B$17+IF(SUMPRODUCT(--ISNUMBER(SEARCH('Scoring Model'!$D$16:$D$25,K710)))&gt;0,'Conversion Model'!$B$18,0)+IF(SUMPRODUCT(--ISNUMBER(SEARCH('Scoring Model'!$G$16:$G$23,K710)))&gt;0,'Conversion Model'!$B$19,0)))))</f>
        <v/>
      </c>
      <c r="AH710" s="3" t="str">
        <f aca="false">IF(OR(O710="Qualified",O710="Won",O710="Lost"),1,IF(O710="Unqualified",0,""))</f>
        <v/>
      </c>
    </row>
    <row r="711" customFormat="false" ht="15" hidden="false" customHeight="true" outlineLevel="0" collapsed="false">
      <c r="A711" s="3" t="s">
        <v>2357</v>
      </c>
      <c r="B711" s="9" t="n">
        <v>46256.2513888889</v>
      </c>
      <c r="C711" s="3" t="s">
        <v>160</v>
      </c>
      <c r="D711" s="3" t="s">
        <v>2358</v>
      </c>
      <c r="E711" s="3" t="s">
        <v>2359</v>
      </c>
      <c r="F711" s="3" t="s">
        <v>22</v>
      </c>
      <c r="G711" s="3" t="s">
        <v>321</v>
      </c>
      <c r="H711" s="3" t="s">
        <v>388</v>
      </c>
      <c r="I711" s="3" t="s">
        <v>80</v>
      </c>
      <c r="J711" s="3" t="s">
        <v>65</v>
      </c>
      <c r="K711" s="3" t="s">
        <v>170</v>
      </c>
      <c r="L711" s="3" t="n">
        <v>1</v>
      </c>
      <c r="M711" s="3"/>
      <c r="N711" s="3" t="s">
        <v>96</v>
      </c>
      <c r="O711" s="3" t="s">
        <v>68</v>
      </c>
      <c r="P711" s="10"/>
      <c r="Q711" s="3" t="n">
        <f aca="false">IF(F711="Disposable",1,0)</f>
        <v>0</v>
      </c>
      <c r="R711" s="3" t="n">
        <f aca="false">IF(SUMPRODUCT(--ISNUMBER(SEARCH('Spam Rules'!$A$22:$A$35,K711)))&gt;0,1,0)</f>
        <v>0</v>
      </c>
      <c r="S711" s="3" t="n">
        <f aca="false">IF(AND(F711="Free",G711=""),1,0)</f>
        <v>0</v>
      </c>
      <c r="T711" s="3" t="n">
        <f aca="false">IF(LEN(TRIM(K711))&lt;15,1,0)</f>
        <v>1</v>
      </c>
      <c r="U711" s="3" t="n">
        <f aca="false">IF(COUNTIF($E$2:$E$801,E711)&gt;1,1,0)</f>
        <v>0</v>
      </c>
      <c r="V711" s="3" t="n">
        <f aca="false">Q711*'Spam Rules'!$H$6+R711*'Spam Rules'!$H$7+S711*'Spam Rules'!$H$8+T711*'Spam Rules'!$H$9+U711*'Spam Rules'!$H$10</f>
        <v>1</v>
      </c>
      <c r="W711" s="3" t="str">
        <f aca="false">IF(V711&gt;='Spam Rules'!$B$3,"Likely Spam","Genuine")</f>
        <v>Likely Spam</v>
      </c>
      <c r="X711" s="3" t="n">
        <f aca="false">IFERROR(INDEX('Scoring Model'!$B$5:$B$11,MATCH(C711,'Scoring Model'!$A$5:$A$11,0)),0)</f>
        <v>25</v>
      </c>
      <c r="Y711" s="3" t="n">
        <f aca="false">IFERROR(INDEX('Scoring Model'!$E$5:$E$7,MATCH(F711,'Scoring Model'!$D$5:$D$7,0)),0)</f>
        <v>20</v>
      </c>
      <c r="Z711" s="3" t="n">
        <f aca="false">IFERROR(INDEX('Scoring Model'!$H$5:$H$13,MATCH(J711,'Scoring Model'!$G$5:$G$13,0)),0)</f>
        <v>0</v>
      </c>
      <c r="AA711" s="3" t="n">
        <f aca="false">IF(L711&gt;='Scoring Model'!$B$14,'Scoring Model'!$B$15,IF(L711&gt;='Scoring Model'!$B$16,'Scoring Model'!$B$17,0))</f>
        <v>0</v>
      </c>
      <c r="AB711" s="3" t="n">
        <f aca="false">IF(SUMPRODUCT(--ISNUMBER(SEARCH('Scoring Model'!$D$16:$D$25,K711)))&gt;0,'Scoring Model'!$B$18,0)</f>
        <v>0</v>
      </c>
      <c r="AC711" s="3" t="n">
        <f aca="false">IF(SUMPRODUCT(--ISNUMBER(SEARCH('Scoring Model'!$G$16:$G$23,K711)))&gt;0,'Scoring Model'!$B$19,0)</f>
        <v>0</v>
      </c>
      <c r="AD711" s="3" t="str">
        <f aca="false">IF(W711="Likely Spam","",SUM(X711:AC711))</f>
        <v/>
      </c>
      <c r="AE711" s="3" t="str">
        <f aca="false">IF(W711="Likely Spam","Spam",IF(AD711&gt;='Scoring Model'!$B$21,"Hot",IF(AD711&gt;='Scoring Model'!$B$22,"Warm","Nurture")))</f>
        <v>Spam</v>
      </c>
      <c r="AF711" s="3" t="str">
        <f aca="false">IF(W711="Likely Spam","Flagged by spam rules",TRIM(IF(X711&gt;=20,"Strong source. ","")&amp;IF(Y711&gt;0,"Company email. ","")&amp;IF(Z711&gt;=15,"High-value product. ","")&amp;IF(AA711&gt;='Scoring Model'!$B$15,"High engagement. ","")&amp;IF(AB711&gt;0,"Buying intent in message. ","")&amp;IF(AC711&lt;0,"Negative intent in message. ","")))</f>
        <v>Flagged by spam rules</v>
      </c>
      <c r="AG711" s="11" t="str">
        <f aca="false">IF(W711="Likely Spam","",1/(1+EXP(-('Conversion Model'!$B$5+IFERROR(INDEX('Conversion Model'!$B$8:$B$14,MATCH(C711,'Conversion Model'!$A$8:$A$14,0)),0)+IFERROR(INDEX('Conversion Model'!$E$8:$E$9,MATCH(F711,'Conversion Model'!$D$8:$D$9,0)),0)+IFERROR(INDEX('Conversion Model'!$H$8:$H$12,MATCH(IF(LEFT(J711,8)="Payments","Payments",IF(LEFT(J711,7)="Lending","Lending",J711)),'Conversion Model'!$G$8:$G$12,0)),0)+MIN(L711,15)*'Conversion Model'!$B$17+IF(SUMPRODUCT(--ISNUMBER(SEARCH('Scoring Model'!$D$16:$D$25,K711)))&gt;0,'Conversion Model'!$B$18,0)+IF(SUMPRODUCT(--ISNUMBER(SEARCH('Scoring Model'!$G$16:$G$23,K711)))&gt;0,'Conversion Model'!$B$19,0)))))</f>
        <v/>
      </c>
      <c r="AH711" s="3" t="str">
        <f aca="false">IF(OR(O711="Qualified",O711="Won",O711="Lost"),1,IF(O711="Unqualified",0,""))</f>
        <v/>
      </c>
    </row>
    <row r="712" customFormat="false" ht="15" hidden="false" customHeight="true" outlineLevel="0" collapsed="false">
      <c r="A712" s="3" t="s">
        <v>2360</v>
      </c>
      <c r="B712" s="9" t="n">
        <v>46256.3638888889</v>
      </c>
      <c r="C712" s="3" t="s">
        <v>91</v>
      </c>
      <c r="D712" s="3" t="s">
        <v>241</v>
      </c>
      <c r="E712" s="3" t="s">
        <v>2361</v>
      </c>
      <c r="F712" s="3" t="s">
        <v>54</v>
      </c>
      <c r="G712" s="3" t="s">
        <v>1417</v>
      </c>
      <c r="H712" s="3"/>
      <c r="I712" s="3" t="s">
        <v>80</v>
      </c>
      <c r="J712" s="3" t="s">
        <v>65</v>
      </c>
      <c r="K712" s="3" t="s">
        <v>213</v>
      </c>
      <c r="L712" s="3" t="n">
        <v>1</v>
      </c>
      <c r="M712" s="3" t="n">
        <v>10.4</v>
      </c>
      <c r="N712" s="3" t="s">
        <v>59</v>
      </c>
      <c r="O712" s="3" t="s">
        <v>194</v>
      </c>
      <c r="P712" s="10"/>
      <c r="Q712" s="3" t="n">
        <f aca="false">IF(F712="Disposable",1,0)</f>
        <v>0</v>
      </c>
      <c r="R712" s="3" t="n">
        <f aca="false">IF(SUMPRODUCT(--ISNUMBER(SEARCH('Spam Rules'!$A$22:$A$35,K712)))&gt;0,1,0)</f>
        <v>0</v>
      </c>
      <c r="S712" s="3" t="n">
        <f aca="false">IF(AND(F712="Free",G712=""),1,0)</f>
        <v>0</v>
      </c>
      <c r="T712" s="3" t="n">
        <f aca="false">IF(LEN(TRIM(K712))&lt;15,1,0)</f>
        <v>0</v>
      </c>
      <c r="U712" s="3" t="n">
        <f aca="false">IF(COUNTIF($E$2:$E$801,E712)&gt;1,1,0)</f>
        <v>0</v>
      </c>
      <c r="V712" s="3" t="n">
        <f aca="false">Q712*'Spam Rules'!$H$6+R712*'Spam Rules'!$H$7+S712*'Spam Rules'!$H$8+T712*'Spam Rules'!$H$9+U712*'Spam Rules'!$H$10</f>
        <v>0</v>
      </c>
      <c r="W712" s="3" t="str">
        <f aca="false">IF(V712&gt;='Spam Rules'!$B$3,"Likely Spam","Genuine")</f>
        <v>Genuine</v>
      </c>
      <c r="X712" s="3" t="n">
        <f aca="false">IFERROR(INDEX('Scoring Model'!$B$5:$B$11,MATCH(C712,'Scoring Model'!$A$5:$A$11,0)),0)</f>
        <v>5</v>
      </c>
      <c r="Y712" s="3" t="n">
        <f aca="false">IFERROR(INDEX('Scoring Model'!$E$5:$E$7,MATCH(F712,'Scoring Model'!$D$5:$D$7,0)),0)</f>
        <v>0</v>
      </c>
      <c r="Z712" s="3" t="n">
        <f aca="false">IFERROR(INDEX('Scoring Model'!$H$5:$H$13,MATCH(J712,'Scoring Model'!$G$5:$G$13,0)),0)</f>
        <v>0</v>
      </c>
      <c r="AA712" s="3" t="n">
        <f aca="false">IF(L712&gt;='Scoring Model'!$B$14,'Scoring Model'!$B$15,IF(L712&gt;='Scoring Model'!$B$16,'Scoring Model'!$B$17,0))</f>
        <v>0</v>
      </c>
      <c r="AB712" s="3" t="n">
        <f aca="false">IF(SUMPRODUCT(--ISNUMBER(SEARCH('Scoring Model'!$D$16:$D$25,K712)))&gt;0,'Scoring Model'!$B$18,0)</f>
        <v>0</v>
      </c>
      <c r="AC712" s="3" t="n">
        <f aca="false">IF(SUMPRODUCT(--ISNUMBER(SEARCH('Scoring Model'!$G$16:$G$23,K712)))&gt;0,'Scoring Model'!$B$19,0)</f>
        <v>-30</v>
      </c>
      <c r="AD712" s="3" t="n">
        <f aca="false">IF(W712="Likely Spam","",SUM(X712:AC712))</f>
        <v>-25</v>
      </c>
      <c r="AE712" s="3" t="str">
        <f aca="false">IF(W712="Likely Spam","Spam",IF(AD712&gt;='Scoring Model'!$B$21,"Hot",IF(AD712&gt;='Scoring Model'!$B$22,"Warm","Nurture")))</f>
        <v>Nurture</v>
      </c>
      <c r="AF712" s="3" t="str">
        <f aca="false">IF(W712="Likely Spam","Flagged by spam rules",TRIM(IF(X712&gt;=20,"Strong source. ","")&amp;IF(Y712&gt;0,"Company email. ","")&amp;IF(Z712&gt;=15,"High-value product. ","")&amp;IF(AA712&gt;='Scoring Model'!$B$15,"High engagement. ","")&amp;IF(AB712&gt;0,"Buying intent in message. ","")&amp;IF(AC712&lt;0,"Negative intent in message. ","")))</f>
        <v>Negative intent in message.</v>
      </c>
      <c r="AG712" s="11" t="n">
        <f aca="false">IF(W712="Likely Spam","",1/(1+EXP(-('Conversion Model'!$B$5+IFERROR(INDEX('Conversion Model'!$B$8:$B$14,MATCH(C712,'Conversion Model'!$A$8:$A$14,0)),0)+IFERROR(INDEX('Conversion Model'!$E$8:$E$9,MATCH(F712,'Conversion Model'!$D$8:$D$9,0)),0)+IFERROR(INDEX('Conversion Model'!$H$8:$H$12,MATCH(IF(LEFT(J712,8)="Payments","Payments",IF(LEFT(J712,7)="Lending","Lending",J712)),'Conversion Model'!$G$8:$G$12,0)),0)+MIN(L712,15)*'Conversion Model'!$B$17+IF(SUMPRODUCT(--ISNUMBER(SEARCH('Scoring Model'!$D$16:$D$25,K712)))&gt;0,'Conversion Model'!$B$18,0)+IF(SUMPRODUCT(--ISNUMBER(SEARCH('Scoring Model'!$G$16:$G$23,K712)))&gt;0,'Conversion Model'!$B$19,0)))))</f>
        <v>0.000679142643711316</v>
      </c>
      <c r="AH712" s="3" t="n">
        <f aca="false">IF(OR(O712="Qualified",O712="Won",O712="Lost"),1,IF(O712="Unqualified",0,""))</f>
        <v>0</v>
      </c>
    </row>
    <row r="713" customFormat="false" ht="15" hidden="false" customHeight="true" outlineLevel="0" collapsed="false">
      <c r="A713" s="3" t="s">
        <v>2362</v>
      </c>
      <c r="B713" s="9" t="n">
        <v>46256.4256944444</v>
      </c>
      <c r="C713" s="3" t="s">
        <v>76</v>
      </c>
      <c r="D713" s="3" t="s">
        <v>1106</v>
      </c>
      <c r="E713" s="3" t="s">
        <v>2363</v>
      </c>
      <c r="F713" s="3" t="s">
        <v>54</v>
      </c>
      <c r="G713" s="3" t="s">
        <v>1118</v>
      </c>
      <c r="H713" s="3"/>
      <c r="I713" s="3" t="s">
        <v>73</v>
      </c>
      <c r="J713" s="3" t="s">
        <v>117</v>
      </c>
      <c r="K713" s="3" t="s">
        <v>355</v>
      </c>
      <c r="L713" s="3" t="n">
        <v>4</v>
      </c>
      <c r="M713" s="3" t="n">
        <v>11.1</v>
      </c>
      <c r="N713" s="3" t="s">
        <v>59</v>
      </c>
      <c r="O713" s="3" t="s">
        <v>133</v>
      </c>
      <c r="P713" s="10"/>
      <c r="Q713" s="3" t="n">
        <f aca="false">IF(F713="Disposable",1,0)</f>
        <v>0</v>
      </c>
      <c r="R713" s="3" t="n">
        <f aca="false">IF(SUMPRODUCT(--ISNUMBER(SEARCH('Spam Rules'!$A$22:$A$35,K713)))&gt;0,1,0)</f>
        <v>0</v>
      </c>
      <c r="S713" s="3" t="n">
        <f aca="false">IF(AND(F713="Free",G713=""),1,0)</f>
        <v>0</v>
      </c>
      <c r="T713" s="3" t="n">
        <f aca="false">IF(LEN(TRIM(K713))&lt;15,1,0)</f>
        <v>0</v>
      </c>
      <c r="U713" s="3" t="n">
        <f aca="false">IF(COUNTIF($E$2:$E$801,E713)&gt;1,1,0)</f>
        <v>0</v>
      </c>
      <c r="V713" s="3" t="n">
        <f aca="false">Q713*'Spam Rules'!$H$6+R713*'Spam Rules'!$H$7+S713*'Spam Rules'!$H$8+T713*'Spam Rules'!$H$9+U713*'Spam Rules'!$H$10</f>
        <v>0</v>
      </c>
      <c r="W713" s="3" t="str">
        <f aca="false">IF(V713&gt;='Spam Rules'!$B$3,"Likely Spam","Genuine")</f>
        <v>Genuine</v>
      </c>
      <c r="X713" s="3" t="n">
        <f aca="false">IFERROR(INDEX('Scoring Model'!$B$5:$B$11,MATCH(C713,'Scoring Model'!$A$5:$A$11,0)),0)</f>
        <v>0</v>
      </c>
      <c r="Y713" s="3" t="n">
        <f aca="false">IFERROR(INDEX('Scoring Model'!$E$5:$E$7,MATCH(F713,'Scoring Model'!$D$5:$D$7,0)),0)</f>
        <v>0</v>
      </c>
      <c r="Z713" s="3" t="n">
        <f aca="false">IFERROR(INDEX('Scoring Model'!$H$5:$H$13,MATCH(J713,'Scoring Model'!$G$5:$G$13,0)),0)</f>
        <v>15</v>
      </c>
      <c r="AA713" s="3" t="n">
        <f aca="false">IF(L713&gt;='Scoring Model'!$B$14,'Scoring Model'!$B$15,IF(L713&gt;='Scoring Model'!$B$16,'Scoring Model'!$B$17,0))</f>
        <v>8</v>
      </c>
      <c r="AB713" s="3" t="n">
        <f aca="false">IF(SUMPRODUCT(--ISNUMBER(SEARCH('Scoring Model'!$D$16:$D$25,K713)))&gt;0,'Scoring Model'!$B$18,0)</f>
        <v>15</v>
      </c>
      <c r="AC713" s="3" t="n">
        <f aca="false">IF(SUMPRODUCT(--ISNUMBER(SEARCH('Scoring Model'!$G$16:$G$23,K713)))&gt;0,'Scoring Model'!$B$19,0)</f>
        <v>0</v>
      </c>
      <c r="AD713" s="3" t="n">
        <f aca="false">IF(W713="Likely Spam","",SUM(X713:AC713))</f>
        <v>38</v>
      </c>
      <c r="AE713" s="3" t="str">
        <f aca="false">IF(W713="Likely Spam","Spam",IF(AD713&gt;='Scoring Model'!$B$21,"Hot",IF(AD713&gt;='Scoring Model'!$B$22,"Warm","Nurture")))</f>
        <v>Nurture</v>
      </c>
      <c r="AF713" s="3" t="str">
        <f aca="false">IF(W713="Likely Spam","Flagged by spam rules",TRIM(IF(X713&gt;=20,"Strong source. ","")&amp;IF(Y713&gt;0,"Company email. ","")&amp;IF(Z713&gt;=15,"High-value product. ","")&amp;IF(AA713&gt;='Scoring Model'!$B$15,"High engagement. ","")&amp;IF(AB713&gt;0,"Buying intent in message. ","")&amp;IF(AC713&lt;0,"Negative intent in message. ","")))</f>
        <v>High-value product. Buying intent in message.</v>
      </c>
      <c r="AG713" s="11" t="n">
        <f aca="false">IF(W713="Likely Spam","",1/(1+EXP(-('Conversion Model'!$B$5+IFERROR(INDEX('Conversion Model'!$B$8:$B$14,MATCH(C713,'Conversion Model'!$A$8:$A$14,0)),0)+IFERROR(INDEX('Conversion Model'!$E$8:$E$9,MATCH(F713,'Conversion Model'!$D$8:$D$9,0)),0)+IFERROR(INDEX('Conversion Model'!$H$8:$H$12,MATCH(IF(LEFT(J713,8)="Payments","Payments",IF(LEFT(J713,7)="Lending","Lending",J713)),'Conversion Model'!$G$8:$G$12,0)),0)+MIN(L713,15)*'Conversion Model'!$B$17+IF(SUMPRODUCT(--ISNUMBER(SEARCH('Scoring Model'!$D$16:$D$25,K713)))&gt;0,'Conversion Model'!$B$18,0)+IF(SUMPRODUCT(--ISNUMBER(SEARCH('Scoring Model'!$G$16:$G$23,K713)))&gt;0,'Conversion Model'!$B$19,0)))))</f>
        <v>0.431925365643412</v>
      </c>
      <c r="AH713" s="3" t="str">
        <f aca="false">IF(OR(O713="Qualified",O713="Won",O713="Lost"),1,IF(O713="Unqualified",0,""))</f>
        <v/>
      </c>
    </row>
    <row r="714" customFormat="false" ht="15" hidden="false" customHeight="true" outlineLevel="0" collapsed="false">
      <c r="A714" s="3" t="s">
        <v>2364</v>
      </c>
      <c r="B714" s="9" t="n">
        <v>46256.4756944445</v>
      </c>
      <c r="C714" s="3" t="s">
        <v>51</v>
      </c>
      <c r="D714" s="3" t="s">
        <v>879</v>
      </c>
      <c r="E714" s="3" t="s">
        <v>1665</v>
      </c>
      <c r="F714" s="3" t="s">
        <v>54</v>
      </c>
      <c r="G714" s="3" t="s">
        <v>237</v>
      </c>
      <c r="H714" s="3"/>
      <c r="I714" s="3" t="s">
        <v>88</v>
      </c>
      <c r="J714" s="3" t="s">
        <v>81</v>
      </c>
      <c r="K714" s="3" t="s">
        <v>82</v>
      </c>
      <c r="L714" s="3" t="n">
        <v>2</v>
      </c>
      <c r="M714" s="3" t="n">
        <v>19.7</v>
      </c>
      <c r="N714" s="3" t="s">
        <v>67</v>
      </c>
      <c r="O714" s="3" t="s">
        <v>68</v>
      </c>
      <c r="P714" s="10"/>
      <c r="Q714" s="3" t="n">
        <f aca="false">IF(F714="Disposable",1,0)</f>
        <v>0</v>
      </c>
      <c r="R714" s="3" t="n">
        <f aca="false">IF(SUMPRODUCT(--ISNUMBER(SEARCH('Spam Rules'!$A$22:$A$35,K714)))&gt;0,1,0)</f>
        <v>1</v>
      </c>
      <c r="S714" s="3" t="n">
        <f aca="false">IF(AND(F714="Free",G714=""),1,0)</f>
        <v>0</v>
      </c>
      <c r="T714" s="3" t="n">
        <f aca="false">IF(LEN(TRIM(K714))&lt;15,1,0)</f>
        <v>0</v>
      </c>
      <c r="U714" s="3" t="n">
        <f aca="false">IF(COUNTIF($E$2:$E$801,E714)&gt;1,1,0)</f>
        <v>1</v>
      </c>
      <c r="V714" s="3" t="n">
        <f aca="false">Q714*'Spam Rules'!$H$6+R714*'Spam Rules'!$H$7+S714*'Spam Rules'!$H$8+T714*'Spam Rules'!$H$9+U714*'Spam Rules'!$H$10</f>
        <v>1</v>
      </c>
      <c r="W714" s="3" t="str">
        <f aca="false">IF(V714&gt;='Spam Rules'!$B$3,"Likely Spam","Genuine")</f>
        <v>Likely Spam</v>
      </c>
      <c r="X714" s="3" t="n">
        <f aca="false">IFERROR(INDEX('Scoring Model'!$B$5:$B$11,MATCH(C714,'Scoring Model'!$A$5:$A$11,0)),0)</f>
        <v>10</v>
      </c>
      <c r="Y714" s="3" t="n">
        <f aca="false">IFERROR(INDEX('Scoring Model'!$E$5:$E$7,MATCH(F714,'Scoring Model'!$D$5:$D$7,0)),0)</f>
        <v>0</v>
      </c>
      <c r="Z714" s="3" t="n">
        <f aca="false">IFERROR(INDEX('Scoring Model'!$H$5:$H$13,MATCH(J714,'Scoring Model'!$G$5:$G$13,0)),0)</f>
        <v>5</v>
      </c>
      <c r="AA714" s="3" t="n">
        <f aca="false">IF(L714&gt;='Scoring Model'!$B$14,'Scoring Model'!$B$15,IF(L714&gt;='Scoring Model'!$B$16,'Scoring Model'!$B$17,0))</f>
        <v>0</v>
      </c>
      <c r="AB714" s="3" t="n">
        <f aca="false">IF(SUMPRODUCT(--ISNUMBER(SEARCH('Scoring Model'!$D$16:$D$25,K714)))&gt;0,'Scoring Model'!$B$18,0)</f>
        <v>0</v>
      </c>
      <c r="AC714" s="3" t="n">
        <f aca="false">IF(SUMPRODUCT(--ISNUMBER(SEARCH('Scoring Model'!$G$16:$G$23,K714)))&gt;0,'Scoring Model'!$B$19,0)</f>
        <v>0</v>
      </c>
      <c r="AD714" s="3" t="str">
        <f aca="false">IF(W714="Likely Spam","",SUM(X714:AC714))</f>
        <v/>
      </c>
      <c r="AE714" s="3" t="str">
        <f aca="false">IF(W714="Likely Spam","Spam",IF(AD714&gt;='Scoring Model'!$B$21,"Hot",IF(AD714&gt;='Scoring Model'!$B$22,"Warm","Nurture")))</f>
        <v>Spam</v>
      </c>
      <c r="AF714" s="3" t="str">
        <f aca="false">IF(W714="Likely Spam","Flagged by spam rules",TRIM(IF(X714&gt;=20,"Strong source. ","")&amp;IF(Y714&gt;0,"Company email. ","")&amp;IF(Z714&gt;=15,"High-value product. ","")&amp;IF(AA714&gt;='Scoring Model'!$B$15,"High engagement. ","")&amp;IF(AB714&gt;0,"Buying intent in message. ","")&amp;IF(AC714&lt;0,"Negative intent in message. ","")))</f>
        <v>Flagged by spam rules</v>
      </c>
      <c r="AG714" s="11" t="str">
        <f aca="false">IF(W714="Likely Spam","",1/(1+EXP(-('Conversion Model'!$B$5+IFERROR(INDEX('Conversion Model'!$B$8:$B$14,MATCH(C714,'Conversion Model'!$A$8:$A$14,0)),0)+IFERROR(INDEX('Conversion Model'!$E$8:$E$9,MATCH(F714,'Conversion Model'!$D$8:$D$9,0)),0)+IFERROR(INDEX('Conversion Model'!$H$8:$H$12,MATCH(IF(LEFT(J714,8)="Payments","Payments",IF(LEFT(J714,7)="Lending","Lending",J714)),'Conversion Model'!$G$8:$G$12,0)),0)+MIN(L714,15)*'Conversion Model'!$B$17+IF(SUMPRODUCT(--ISNUMBER(SEARCH('Scoring Model'!$D$16:$D$25,K714)))&gt;0,'Conversion Model'!$B$18,0)+IF(SUMPRODUCT(--ISNUMBER(SEARCH('Scoring Model'!$G$16:$G$23,K714)))&gt;0,'Conversion Model'!$B$19,0)))))</f>
        <v/>
      </c>
      <c r="AH714" s="3" t="str">
        <f aca="false">IF(OR(O714="Qualified",O714="Won",O714="Lost"),1,IF(O714="Unqualified",0,""))</f>
        <v/>
      </c>
    </row>
    <row r="715" customFormat="false" ht="15" hidden="false" customHeight="true" outlineLevel="0" collapsed="false">
      <c r="A715" s="3" t="s">
        <v>2365</v>
      </c>
      <c r="B715" s="9" t="n">
        <v>46256.9166666667</v>
      </c>
      <c r="C715" s="3" t="s">
        <v>51</v>
      </c>
      <c r="D715" s="3" t="s">
        <v>2366</v>
      </c>
      <c r="E715" s="3" t="s">
        <v>2367</v>
      </c>
      <c r="F715" s="3" t="s">
        <v>22</v>
      </c>
      <c r="G715" s="3" t="s">
        <v>852</v>
      </c>
      <c r="H715" s="3" t="s">
        <v>853</v>
      </c>
      <c r="I715" s="3" t="s">
        <v>73</v>
      </c>
      <c r="J715" s="3" t="s">
        <v>117</v>
      </c>
      <c r="K715" s="3" t="s">
        <v>58</v>
      </c>
      <c r="L715" s="3" t="n">
        <v>8</v>
      </c>
      <c r="M715" s="3" t="n">
        <v>38.7</v>
      </c>
      <c r="N715" s="3" t="s">
        <v>96</v>
      </c>
      <c r="O715" s="3" t="s">
        <v>110</v>
      </c>
      <c r="P715" s="10"/>
      <c r="Q715" s="3" t="n">
        <f aca="false">IF(F715="Disposable",1,0)</f>
        <v>0</v>
      </c>
      <c r="R715" s="3" t="n">
        <f aca="false">IF(SUMPRODUCT(--ISNUMBER(SEARCH('Spam Rules'!$A$22:$A$35,K715)))&gt;0,1,0)</f>
        <v>0</v>
      </c>
      <c r="S715" s="3" t="n">
        <f aca="false">IF(AND(F715="Free",G715=""),1,0)</f>
        <v>0</v>
      </c>
      <c r="T715" s="3" t="n">
        <f aca="false">IF(LEN(TRIM(K715))&lt;15,1,0)</f>
        <v>0</v>
      </c>
      <c r="U715" s="3" t="n">
        <f aca="false">IF(COUNTIF($E$2:$E$801,E715)&gt;1,1,0)</f>
        <v>0</v>
      </c>
      <c r="V715" s="3" t="n">
        <f aca="false">Q715*'Spam Rules'!$H$6+R715*'Spam Rules'!$H$7+S715*'Spam Rules'!$H$8+T715*'Spam Rules'!$H$9+U715*'Spam Rules'!$H$10</f>
        <v>0</v>
      </c>
      <c r="W715" s="3" t="str">
        <f aca="false">IF(V715&gt;='Spam Rules'!$B$3,"Likely Spam","Genuine")</f>
        <v>Genuine</v>
      </c>
      <c r="X715" s="3" t="n">
        <f aca="false">IFERROR(INDEX('Scoring Model'!$B$5:$B$11,MATCH(C715,'Scoring Model'!$A$5:$A$11,0)),0)</f>
        <v>10</v>
      </c>
      <c r="Y715" s="3" t="n">
        <f aca="false">IFERROR(INDEX('Scoring Model'!$E$5:$E$7,MATCH(F715,'Scoring Model'!$D$5:$D$7,0)),0)</f>
        <v>20</v>
      </c>
      <c r="Z715" s="3" t="n">
        <f aca="false">IFERROR(INDEX('Scoring Model'!$H$5:$H$13,MATCH(J715,'Scoring Model'!$G$5:$G$13,0)),0)</f>
        <v>15</v>
      </c>
      <c r="AA715" s="3" t="n">
        <f aca="false">IF(L715&gt;='Scoring Model'!$B$14,'Scoring Model'!$B$15,IF(L715&gt;='Scoring Model'!$B$16,'Scoring Model'!$B$17,0))</f>
        <v>15</v>
      </c>
      <c r="AB715" s="3" t="n">
        <f aca="false">IF(SUMPRODUCT(--ISNUMBER(SEARCH('Scoring Model'!$D$16:$D$25,K715)))&gt;0,'Scoring Model'!$B$18,0)</f>
        <v>15</v>
      </c>
      <c r="AC715" s="3" t="n">
        <f aca="false">IF(SUMPRODUCT(--ISNUMBER(SEARCH('Scoring Model'!$G$16:$G$23,K715)))&gt;0,'Scoring Model'!$B$19,0)</f>
        <v>0</v>
      </c>
      <c r="AD715" s="3" t="n">
        <f aca="false">IF(W715="Likely Spam","",SUM(X715:AC715))</f>
        <v>75</v>
      </c>
      <c r="AE715" s="3" t="str">
        <f aca="false">IF(W715="Likely Spam","Spam",IF(AD715&gt;='Scoring Model'!$B$21,"Hot",IF(AD715&gt;='Scoring Model'!$B$22,"Warm","Nurture")))</f>
        <v>Hot</v>
      </c>
      <c r="AF715" s="3" t="str">
        <f aca="false">IF(W715="Likely Spam","Flagged by spam rules",TRIM(IF(X715&gt;=20,"Strong source. ","")&amp;IF(Y715&gt;0,"Company email. ","")&amp;IF(Z715&gt;=15,"High-value product. ","")&amp;IF(AA715&gt;='Scoring Model'!$B$15,"High engagement. ","")&amp;IF(AB715&gt;0,"Buying intent in message. ","")&amp;IF(AC715&lt;0,"Negative intent in message. ","")))</f>
        <v>Company email. High-value product. High engagement. Buying intent in message.</v>
      </c>
      <c r="AG715" s="11" t="n">
        <f aca="false">IF(W715="Likely Spam","",1/(1+EXP(-('Conversion Model'!$B$5+IFERROR(INDEX('Conversion Model'!$B$8:$B$14,MATCH(C715,'Conversion Model'!$A$8:$A$14,0)),0)+IFERROR(INDEX('Conversion Model'!$E$8:$E$9,MATCH(F715,'Conversion Model'!$D$8:$D$9,0)),0)+IFERROR(INDEX('Conversion Model'!$H$8:$H$12,MATCH(IF(LEFT(J715,8)="Payments","Payments",IF(LEFT(J715,7)="Lending","Lending",J715)),'Conversion Model'!$G$8:$G$12,0)),0)+MIN(L715,15)*'Conversion Model'!$B$17+IF(SUMPRODUCT(--ISNUMBER(SEARCH('Scoring Model'!$D$16:$D$25,K715)))&gt;0,'Conversion Model'!$B$18,0)+IF(SUMPRODUCT(--ISNUMBER(SEARCH('Scoring Model'!$G$16:$G$23,K715)))&gt;0,'Conversion Model'!$B$19,0)))))</f>
        <v>0.984109254091263</v>
      </c>
      <c r="AH715" s="3" t="n">
        <f aca="false">IF(OR(O715="Qualified",O715="Won",O715="Lost"),1,IF(O715="Unqualified",0,""))</f>
        <v>1</v>
      </c>
    </row>
    <row r="716" customFormat="false" ht="15" hidden="false" customHeight="true" outlineLevel="0" collapsed="false">
      <c r="A716" s="3" t="s">
        <v>2368</v>
      </c>
      <c r="B716" s="9" t="n">
        <v>46257.1652777778</v>
      </c>
      <c r="C716" s="3" t="s">
        <v>76</v>
      </c>
      <c r="D716" s="3" t="s">
        <v>2369</v>
      </c>
      <c r="E716" s="3" t="s">
        <v>2370</v>
      </c>
      <c r="F716" s="3" t="s">
        <v>54</v>
      </c>
      <c r="G716" s="3" t="s">
        <v>321</v>
      </c>
      <c r="H716" s="3"/>
      <c r="I716" s="3" t="s">
        <v>94</v>
      </c>
      <c r="J716" s="3" t="s">
        <v>81</v>
      </c>
      <c r="K716" s="3" t="s">
        <v>66</v>
      </c>
      <c r="L716" s="3" t="n">
        <v>1</v>
      </c>
      <c r="M716" s="3"/>
      <c r="N716" s="3" t="s">
        <v>96</v>
      </c>
      <c r="O716" s="3" t="s">
        <v>68</v>
      </c>
      <c r="P716" s="10"/>
      <c r="Q716" s="3" t="n">
        <f aca="false">IF(F716="Disposable",1,0)</f>
        <v>0</v>
      </c>
      <c r="R716" s="3" t="n">
        <f aca="false">IF(SUMPRODUCT(--ISNUMBER(SEARCH('Spam Rules'!$A$22:$A$35,K716)))&gt;0,1,0)</f>
        <v>1</v>
      </c>
      <c r="S716" s="3" t="n">
        <f aca="false">IF(AND(F716="Free",G716=""),1,0)</f>
        <v>0</v>
      </c>
      <c r="T716" s="3" t="n">
        <f aca="false">IF(LEN(TRIM(K716))&lt;15,1,0)</f>
        <v>0</v>
      </c>
      <c r="U716" s="3" t="n">
        <f aca="false">IF(COUNTIF($E$2:$E$801,E716)&gt;1,1,0)</f>
        <v>0</v>
      </c>
      <c r="V716" s="3" t="n">
        <f aca="false">Q716*'Spam Rules'!$H$6+R716*'Spam Rules'!$H$7+S716*'Spam Rules'!$H$8+T716*'Spam Rules'!$H$9+U716*'Spam Rules'!$H$10</f>
        <v>1</v>
      </c>
      <c r="W716" s="3" t="str">
        <f aca="false">IF(V716&gt;='Spam Rules'!$B$3,"Likely Spam","Genuine")</f>
        <v>Likely Spam</v>
      </c>
      <c r="X716" s="3" t="n">
        <f aca="false">IFERROR(INDEX('Scoring Model'!$B$5:$B$11,MATCH(C716,'Scoring Model'!$A$5:$A$11,0)),0)</f>
        <v>0</v>
      </c>
      <c r="Y716" s="3" t="n">
        <f aca="false">IFERROR(INDEX('Scoring Model'!$E$5:$E$7,MATCH(F716,'Scoring Model'!$D$5:$D$7,0)),0)</f>
        <v>0</v>
      </c>
      <c r="Z716" s="3" t="n">
        <f aca="false">IFERROR(INDEX('Scoring Model'!$H$5:$H$13,MATCH(J716,'Scoring Model'!$G$5:$G$13,0)),0)</f>
        <v>5</v>
      </c>
      <c r="AA716" s="3" t="n">
        <f aca="false">IF(L716&gt;='Scoring Model'!$B$14,'Scoring Model'!$B$15,IF(L716&gt;='Scoring Model'!$B$16,'Scoring Model'!$B$17,0))</f>
        <v>0</v>
      </c>
      <c r="AB716" s="3" t="n">
        <f aca="false">IF(SUMPRODUCT(--ISNUMBER(SEARCH('Scoring Model'!$D$16:$D$25,K716)))&gt;0,'Scoring Model'!$B$18,0)</f>
        <v>0</v>
      </c>
      <c r="AC716" s="3" t="n">
        <f aca="false">IF(SUMPRODUCT(--ISNUMBER(SEARCH('Scoring Model'!$G$16:$G$23,K716)))&gt;0,'Scoring Model'!$B$19,0)</f>
        <v>0</v>
      </c>
      <c r="AD716" s="3" t="str">
        <f aca="false">IF(W716="Likely Spam","",SUM(X716:AC716))</f>
        <v/>
      </c>
      <c r="AE716" s="3" t="str">
        <f aca="false">IF(W716="Likely Spam","Spam",IF(AD716&gt;='Scoring Model'!$B$21,"Hot",IF(AD716&gt;='Scoring Model'!$B$22,"Warm","Nurture")))</f>
        <v>Spam</v>
      </c>
      <c r="AF716" s="3" t="str">
        <f aca="false">IF(W716="Likely Spam","Flagged by spam rules",TRIM(IF(X716&gt;=20,"Strong source. ","")&amp;IF(Y716&gt;0,"Company email. ","")&amp;IF(Z716&gt;=15,"High-value product. ","")&amp;IF(AA716&gt;='Scoring Model'!$B$15,"High engagement. ","")&amp;IF(AB716&gt;0,"Buying intent in message. ","")&amp;IF(AC716&lt;0,"Negative intent in message. ","")))</f>
        <v>Flagged by spam rules</v>
      </c>
      <c r="AG716" s="11" t="str">
        <f aca="false">IF(W716="Likely Spam","",1/(1+EXP(-('Conversion Model'!$B$5+IFERROR(INDEX('Conversion Model'!$B$8:$B$14,MATCH(C716,'Conversion Model'!$A$8:$A$14,0)),0)+IFERROR(INDEX('Conversion Model'!$E$8:$E$9,MATCH(F716,'Conversion Model'!$D$8:$D$9,0)),0)+IFERROR(INDEX('Conversion Model'!$H$8:$H$12,MATCH(IF(LEFT(J716,8)="Payments","Payments",IF(LEFT(J716,7)="Lending","Lending",J716)),'Conversion Model'!$G$8:$G$12,0)),0)+MIN(L716,15)*'Conversion Model'!$B$17+IF(SUMPRODUCT(--ISNUMBER(SEARCH('Scoring Model'!$D$16:$D$25,K716)))&gt;0,'Conversion Model'!$B$18,0)+IF(SUMPRODUCT(--ISNUMBER(SEARCH('Scoring Model'!$G$16:$G$23,K716)))&gt;0,'Conversion Model'!$B$19,0)))))</f>
        <v/>
      </c>
      <c r="AH716" s="3" t="str">
        <f aca="false">IF(OR(O716="Qualified",O716="Won",O716="Lost"),1,IF(O716="Unqualified",0,""))</f>
        <v/>
      </c>
    </row>
    <row r="717" customFormat="false" ht="15" hidden="false" customHeight="true" outlineLevel="0" collapsed="false">
      <c r="A717" s="3" t="s">
        <v>2371</v>
      </c>
      <c r="B717" s="9" t="n">
        <v>46257.8375</v>
      </c>
      <c r="C717" s="3" t="s">
        <v>160</v>
      </c>
      <c r="D717" s="3" t="s">
        <v>207</v>
      </c>
      <c r="E717" s="3" t="s">
        <v>2372</v>
      </c>
      <c r="F717" s="3" t="s">
        <v>22</v>
      </c>
      <c r="G717" s="3" t="s">
        <v>497</v>
      </c>
      <c r="H717" s="3" t="s">
        <v>498</v>
      </c>
      <c r="I717" s="3" t="s">
        <v>260</v>
      </c>
      <c r="J717" s="3" t="s">
        <v>57</v>
      </c>
      <c r="K717" s="3" t="s">
        <v>2373</v>
      </c>
      <c r="L717" s="3" t="n">
        <v>7</v>
      </c>
      <c r="M717" s="3" t="n">
        <v>60.5</v>
      </c>
      <c r="N717" s="3" t="s">
        <v>96</v>
      </c>
      <c r="O717" s="3" t="s">
        <v>110</v>
      </c>
      <c r="P717" s="10"/>
      <c r="Q717" s="3" t="n">
        <f aca="false">IF(F717="Disposable",1,0)</f>
        <v>0</v>
      </c>
      <c r="R717" s="3" t="n">
        <f aca="false">IF(SUMPRODUCT(--ISNUMBER(SEARCH('Spam Rules'!$A$22:$A$35,K717)))&gt;0,1,0)</f>
        <v>0</v>
      </c>
      <c r="S717" s="3" t="n">
        <f aca="false">IF(AND(F717="Free",G717=""),1,0)</f>
        <v>0</v>
      </c>
      <c r="T717" s="3" t="n">
        <f aca="false">IF(LEN(TRIM(K717))&lt;15,1,0)</f>
        <v>0</v>
      </c>
      <c r="U717" s="3" t="n">
        <f aca="false">IF(COUNTIF($E$2:$E$801,E717)&gt;1,1,0)</f>
        <v>0</v>
      </c>
      <c r="V717" s="3" t="n">
        <f aca="false">Q717*'Spam Rules'!$H$6+R717*'Spam Rules'!$H$7+S717*'Spam Rules'!$H$8+T717*'Spam Rules'!$H$9+U717*'Spam Rules'!$H$10</f>
        <v>0</v>
      </c>
      <c r="W717" s="3" t="str">
        <f aca="false">IF(V717&gt;='Spam Rules'!$B$3,"Likely Spam","Genuine")</f>
        <v>Genuine</v>
      </c>
      <c r="X717" s="3" t="n">
        <f aca="false">IFERROR(INDEX('Scoring Model'!$B$5:$B$11,MATCH(C717,'Scoring Model'!$A$5:$A$11,0)),0)</f>
        <v>25</v>
      </c>
      <c r="Y717" s="3" t="n">
        <f aca="false">IFERROR(INDEX('Scoring Model'!$E$5:$E$7,MATCH(F717,'Scoring Model'!$D$5:$D$7,0)),0)</f>
        <v>20</v>
      </c>
      <c r="Z717" s="3" t="n">
        <f aca="false">IFERROR(INDEX('Scoring Model'!$H$5:$H$13,MATCH(J717,'Scoring Model'!$G$5:$G$13,0)),0)</f>
        <v>15</v>
      </c>
      <c r="AA717" s="3" t="n">
        <f aca="false">IF(L717&gt;='Scoring Model'!$B$14,'Scoring Model'!$B$15,IF(L717&gt;='Scoring Model'!$B$16,'Scoring Model'!$B$17,0))</f>
        <v>8</v>
      </c>
      <c r="AB717" s="3" t="n">
        <f aca="false">IF(SUMPRODUCT(--ISNUMBER(SEARCH('Scoring Model'!$D$16:$D$25,K717)))&gt;0,'Scoring Model'!$B$18,0)</f>
        <v>15</v>
      </c>
      <c r="AC717" s="3" t="n">
        <f aca="false">IF(SUMPRODUCT(--ISNUMBER(SEARCH('Scoring Model'!$G$16:$G$23,K717)))&gt;0,'Scoring Model'!$B$19,0)</f>
        <v>0</v>
      </c>
      <c r="AD717" s="3" t="n">
        <f aca="false">IF(W717="Likely Spam","",SUM(X717:AC717))</f>
        <v>83</v>
      </c>
      <c r="AE717" s="3" t="str">
        <f aca="false">IF(W717="Likely Spam","Spam",IF(AD717&gt;='Scoring Model'!$B$21,"Hot",IF(AD717&gt;='Scoring Model'!$B$22,"Warm","Nurture")))</f>
        <v>Hot</v>
      </c>
      <c r="AF717" s="3" t="str">
        <f aca="false">IF(W717="Likely Spam","Flagged by spam rules",TRIM(IF(X717&gt;=20,"Strong source. ","")&amp;IF(Y717&gt;0,"Company email. ","")&amp;IF(Z717&gt;=15,"High-value product. ","")&amp;IF(AA717&gt;='Scoring Model'!$B$15,"High engagement. ","")&amp;IF(AB717&gt;0,"Buying intent in message. ","")&amp;IF(AC717&lt;0,"Negative intent in message. ","")))</f>
        <v>Strong source. Company email. High-value product. Buying intent in message.</v>
      </c>
      <c r="AG717" s="11" t="n">
        <f aca="false">IF(W717="Likely Spam","",1/(1+EXP(-('Conversion Model'!$B$5+IFERROR(INDEX('Conversion Model'!$B$8:$B$14,MATCH(C717,'Conversion Model'!$A$8:$A$14,0)),0)+IFERROR(INDEX('Conversion Model'!$E$8:$E$9,MATCH(F717,'Conversion Model'!$D$8:$D$9,0)),0)+IFERROR(INDEX('Conversion Model'!$H$8:$H$12,MATCH(IF(LEFT(J717,8)="Payments","Payments",IF(LEFT(J717,7)="Lending","Lending",J717)),'Conversion Model'!$G$8:$G$12,0)),0)+MIN(L717,15)*'Conversion Model'!$B$17+IF(SUMPRODUCT(--ISNUMBER(SEARCH('Scoring Model'!$D$16:$D$25,K717)))&gt;0,'Conversion Model'!$B$18,0)+IF(SUMPRODUCT(--ISNUMBER(SEARCH('Scoring Model'!$G$16:$G$23,K717)))&gt;0,'Conversion Model'!$B$19,0)))))</f>
        <v>0.948142242594685</v>
      </c>
      <c r="AH717" s="3" t="n">
        <f aca="false">IF(OR(O717="Qualified",O717="Won",O717="Lost"),1,IF(O717="Unqualified",0,""))</f>
        <v>1</v>
      </c>
    </row>
    <row r="718" customFormat="false" ht="15" hidden="false" customHeight="true" outlineLevel="0" collapsed="false">
      <c r="A718" s="3" t="s">
        <v>2374</v>
      </c>
      <c r="B718" s="9" t="n">
        <v>46258.0368055556</v>
      </c>
      <c r="C718" s="3" t="s">
        <v>160</v>
      </c>
      <c r="D718" s="3" t="s">
        <v>2375</v>
      </c>
      <c r="E718" s="3" t="s">
        <v>62</v>
      </c>
      <c r="F718" s="3" t="s">
        <v>22</v>
      </c>
      <c r="G718" s="3" t="s">
        <v>237</v>
      </c>
      <c r="H718" s="3" t="s">
        <v>238</v>
      </c>
      <c r="I718" s="3" t="s">
        <v>204</v>
      </c>
      <c r="J718" s="3" t="s">
        <v>65</v>
      </c>
      <c r="K718" s="3" t="s">
        <v>322</v>
      </c>
      <c r="L718" s="3" t="n">
        <v>2</v>
      </c>
      <c r="M718" s="3"/>
      <c r="N718" s="3" t="s">
        <v>96</v>
      </c>
      <c r="O718" s="3" t="s">
        <v>68</v>
      </c>
      <c r="P718" s="10"/>
      <c r="Q718" s="3" t="n">
        <f aca="false">IF(F718="Disposable",1,0)</f>
        <v>0</v>
      </c>
      <c r="R718" s="3" t="n">
        <f aca="false">IF(SUMPRODUCT(--ISNUMBER(SEARCH('Spam Rules'!$A$22:$A$35,K718)))&gt;0,1,0)</f>
        <v>0</v>
      </c>
      <c r="S718" s="3" t="n">
        <f aca="false">IF(AND(F718="Free",G718=""),1,0)</f>
        <v>0</v>
      </c>
      <c r="T718" s="3" t="n">
        <f aca="false">IF(LEN(TRIM(K718))&lt;15,1,0)</f>
        <v>1</v>
      </c>
      <c r="U718" s="3" t="n">
        <f aca="false">IF(COUNTIF($E$2:$E$801,E718)&gt;1,1,0)</f>
        <v>1</v>
      </c>
      <c r="V718" s="3" t="n">
        <f aca="false">Q718*'Spam Rules'!$H$6+R718*'Spam Rules'!$H$7+S718*'Spam Rules'!$H$8+T718*'Spam Rules'!$H$9+U718*'Spam Rules'!$H$10</f>
        <v>1</v>
      </c>
      <c r="W718" s="3" t="str">
        <f aca="false">IF(V718&gt;='Spam Rules'!$B$3,"Likely Spam","Genuine")</f>
        <v>Likely Spam</v>
      </c>
      <c r="X718" s="3" t="n">
        <f aca="false">IFERROR(INDEX('Scoring Model'!$B$5:$B$11,MATCH(C718,'Scoring Model'!$A$5:$A$11,0)),0)</f>
        <v>25</v>
      </c>
      <c r="Y718" s="3" t="n">
        <f aca="false">IFERROR(INDEX('Scoring Model'!$E$5:$E$7,MATCH(F718,'Scoring Model'!$D$5:$D$7,0)),0)</f>
        <v>20</v>
      </c>
      <c r="Z718" s="3" t="n">
        <f aca="false">IFERROR(INDEX('Scoring Model'!$H$5:$H$13,MATCH(J718,'Scoring Model'!$G$5:$G$13,0)),0)</f>
        <v>0</v>
      </c>
      <c r="AA718" s="3" t="n">
        <f aca="false">IF(L718&gt;='Scoring Model'!$B$14,'Scoring Model'!$B$15,IF(L718&gt;='Scoring Model'!$B$16,'Scoring Model'!$B$17,0))</f>
        <v>0</v>
      </c>
      <c r="AB718" s="3" t="n">
        <f aca="false">IF(SUMPRODUCT(--ISNUMBER(SEARCH('Scoring Model'!$D$16:$D$25,K718)))&gt;0,'Scoring Model'!$B$18,0)</f>
        <v>0</v>
      </c>
      <c r="AC718" s="3" t="n">
        <f aca="false">IF(SUMPRODUCT(--ISNUMBER(SEARCH('Scoring Model'!$G$16:$G$23,K718)))&gt;0,'Scoring Model'!$B$19,0)</f>
        <v>0</v>
      </c>
      <c r="AD718" s="3" t="str">
        <f aca="false">IF(W718="Likely Spam","",SUM(X718:AC718))</f>
        <v/>
      </c>
      <c r="AE718" s="3" t="str">
        <f aca="false">IF(W718="Likely Spam","Spam",IF(AD718&gt;='Scoring Model'!$B$21,"Hot",IF(AD718&gt;='Scoring Model'!$B$22,"Warm","Nurture")))</f>
        <v>Spam</v>
      </c>
      <c r="AF718" s="3" t="str">
        <f aca="false">IF(W718="Likely Spam","Flagged by spam rules",TRIM(IF(X718&gt;=20,"Strong source. ","")&amp;IF(Y718&gt;0,"Company email. ","")&amp;IF(Z718&gt;=15,"High-value product. ","")&amp;IF(AA718&gt;='Scoring Model'!$B$15,"High engagement. ","")&amp;IF(AB718&gt;0,"Buying intent in message. ","")&amp;IF(AC718&lt;0,"Negative intent in message. ","")))</f>
        <v>Flagged by spam rules</v>
      </c>
      <c r="AG718" s="11" t="str">
        <f aca="false">IF(W718="Likely Spam","",1/(1+EXP(-('Conversion Model'!$B$5+IFERROR(INDEX('Conversion Model'!$B$8:$B$14,MATCH(C718,'Conversion Model'!$A$8:$A$14,0)),0)+IFERROR(INDEX('Conversion Model'!$E$8:$E$9,MATCH(F718,'Conversion Model'!$D$8:$D$9,0)),0)+IFERROR(INDEX('Conversion Model'!$H$8:$H$12,MATCH(IF(LEFT(J718,8)="Payments","Payments",IF(LEFT(J718,7)="Lending","Lending",J718)),'Conversion Model'!$G$8:$G$12,0)),0)+MIN(L718,15)*'Conversion Model'!$B$17+IF(SUMPRODUCT(--ISNUMBER(SEARCH('Scoring Model'!$D$16:$D$25,K718)))&gt;0,'Conversion Model'!$B$18,0)+IF(SUMPRODUCT(--ISNUMBER(SEARCH('Scoring Model'!$G$16:$G$23,K718)))&gt;0,'Conversion Model'!$B$19,0)))))</f>
        <v/>
      </c>
      <c r="AH718" s="3" t="str">
        <f aca="false">IF(OR(O718="Qualified",O718="Won",O718="Lost"),1,IF(O718="Unqualified",0,""))</f>
        <v/>
      </c>
    </row>
    <row r="719" customFormat="false" ht="15" hidden="false" customHeight="true" outlineLevel="0" collapsed="false">
      <c r="A719" s="3" t="s">
        <v>2376</v>
      </c>
      <c r="B719" s="9" t="n">
        <v>46258.9215277778</v>
      </c>
      <c r="C719" s="3" t="s">
        <v>76</v>
      </c>
      <c r="D719" s="3" t="s">
        <v>2369</v>
      </c>
      <c r="E719" s="3" t="s">
        <v>2377</v>
      </c>
      <c r="F719" s="3" t="s">
        <v>54</v>
      </c>
      <c r="G719" s="3"/>
      <c r="H719" s="3"/>
      <c r="I719" s="3" t="s">
        <v>88</v>
      </c>
      <c r="J719" s="3" t="s">
        <v>122</v>
      </c>
      <c r="K719" s="3" t="s">
        <v>101</v>
      </c>
      <c r="L719" s="3" t="n">
        <v>3</v>
      </c>
      <c r="M719" s="3" t="n">
        <v>42.9</v>
      </c>
      <c r="N719" s="3" t="s">
        <v>96</v>
      </c>
      <c r="O719" s="3" t="s">
        <v>194</v>
      </c>
      <c r="P719" s="10"/>
      <c r="Q719" s="3" t="n">
        <f aca="false">IF(F719="Disposable",1,0)</f>
        <v>0</v>
      </c>
      <c r="R719" s="3" t="n">
        <f aca="false">IF(SUMPRODUCT(--ISNUMBER(SEARCH('Spam Rules'!$A$22:$A$35,K719)))&gt;0,1,0)</f>
        <v>0</v>
      </c>
      <c r="S719" s="3" t="n">
        <f aca="false">IF(AND(F719="Free",G719=""),1,0)</f>
        <v>1</v>
      </c>
      <c r="T719" s="3" t="n">
        <f aca="false">IF(LEN(TRIM(K719))&lt;15,1,0)</f>
        <v>0</v>
      </c>
      <c r="U719" s="3" t="n">
        <f aca="false">IF(COUNTIF($E$2:$E$801,E719)&gt;1,1,0)</f>
        <v>0</v>
      </c>
      <c r="V719" s="3" t="n">
        <f aca="false">Q719*'Spam Rules'!$H$6+R719*'Spam Rules'!$H$7+S719*'Spam Rules'!$H$8+T719*'Spam Rules'!$H$9+U719*'Spam Rules'!$H$10</f>
        <v>0</v>
      </c>
      <c r="W719" s="3" t="str">
        <f aca="false">IF(V719&gt;='Spam Rules'!$B$3,"Likely Spam","Genuine")</f>
        <v>Genuine</v>
      </c>
      <c r="X719" s="3" t="n">
        <f aca="false">IFERROR(INDEX('Scoring Model'!$B$5:$B$11,MATCH(C719,'Scoring Model'!$A$5:$A$11,0)),0)</f>
        <v>0</v>
      </c>
      <c r="Y719" s="3" t="n">
        <f aca="false">IFERROR(INDEX('Scoring Model'!$E$5:$E$7,MATCH(F719,'Scoring Model'!$D$5:$D$7,0)),0)</f>
        <v>0</v>
      </c>
      <c r="Z719" s="3" t="n">
        <f aca="false">IFERROR(INDEX('Scoring Model'!$H$5:$H$13,MATCH(J719,'Scoring Model'!$G$5:$G$13,0)),0)</f>
        <v>15</v>
      </c>
      <c r="AA719" s="3" t="n">
        <f aca="false">IF(L719&gt;='Scoring Model'!$B$14,'Scoring Model'!$B$15,IF(L719&gt;='Scoring Model'!$B$16,'Scoring Model'!$B$17,0))</f>
        <v>0</v>
      </c>
      <c r="AB719" s="3" t="n">
        <f aca="false">IF(SUMPRODUCT(--ISNUMBER(SEARCH('Scoring Model'!$D$16:$D$25,K719)))&gt;0,'Scoring Model'!$B$18,0)</f>
        <v>0</v>
      </c>
      <c r="AC719" s="3" t="n">
        <f aca="false">IF(SUMPRODUCT(--ISNUMBER(SEARCH('Scoring Model'!$G$16:$G$23,K719)))&gt;0,'Scoring Model'!$B$19,0)</f>
        <v>-30</v>
      </c>
      <c r="AD719" s="3" t="n">
        <f aca="false">IF(W719="Likely Spam","",SUM(X719:AC719))</f>
        <v>-15</v>
      </c>
      <c r="AE719" s="3" t="str">
        <f aca="false">IF(W719="Likely Spam","Spam",IF(AD719&gt;='Scoring Model'!$B$21,"Hot",IF(AD719&gt;='Scoring Model'!$B$22,"Warm","Nurture")))</f>
        <v>Nurture</v>
      </c>
      <c r="AF719" s="3" t="str">
        <f aca="false">IF(W719="Likely Spam","Flagged by spam rules",TRIM(IF(X719&gt;=20,"Strong source. ","")&amp;IF(Y719&gt;0,"Company email. ","")&amp;IF(Z719&gt;=15,"High-value product. ","")&amp;IF(AA719&gt;='Scoring Model'!$B$15,"High engagement. ","")&amp;IF(AB719&gt;0,"Buying intent in message. ","")&amp;IF(AC719&lt;0,"Negative intent in message. ","")))</f>
        <v>High-value product. Negative intent in message.</v>
      </c>
      <c r="AG719" s="11" t="n">
        <f aca="false">IF(W719="Likely Spam","",1/(1+EXP(-('Conversion Model'!$B$5+IFERROR(INDEX('Conversion Model'!$B$8:$B$14,MATCH(C719,'Conversion Model'!$A$8:$A$14,0)),0)+IFERROR(INDEX('Conversion Model'!$E$8:$E$9,MATCH(F719,'Conversion Model'!$D$8:$D$9,0)),0)+IFERROR(INDEX('Conversion Model'!$H$8:$H$12,MATCH(IF(LEFT(J719,8)="Payments","Payments",IF(LEFT(J719,7)="Lending","Lending",J719)),'Conversion Model'!$G$8:$G$12,0)),0)+MIN(L719,15)*'Conversion Model'!$B$17+IF(SUMPRODUCT(--ISNUMBER(SEARCH('Scoring Model'!$D$16:$D$25,K719)))&gt;0,'Conversion Model'!$B$18,0)+IF(SUMPRODUCT(--ISNUMBER(SEARCH('Scoring Model'!$G$16:$G$23,K719)))&gt;0,'Conversion Model'!$B$19,0)))))</f>
        <v>0.0039898651489941</v>
      </c>
      <c r="AH719" s="3" t="n">
        <f aca="false">IF(OR(O719="Qualified",O719="Won",O719="Lost"),1,IF(O719="Unqualified",0,""))</f>
        <v>0</v>
      </c>
    </row>
    <row r="720" customFormat="false" ht="15" hidden="false" customHeight="true" outlineLevel="0" collapsed="false">
      <c r="A720" s="3" t="s">
        <v>2378</v>
      </c>
      <c r="B720" s="9" t="n">
        <v>46259.4375</v>
      </c>
      <c r="C720" s="3" t="s">
        <v>51</v>
      </c>
      <c r="D720" s="3" t="s">
        <v>2379</v>
      </c>
      <c r="E720" s="3" t="s">
        <v>2380</v>
      </c>
      <c r="F720" s="3" t="s">
        <v>54</v>
      </c>
      <c r="G720" s="3" t="s">
        <v>1081</v>
      </c>
      <c r="H720" s="3"/>
      <c r="I720" s="3" t="s">
        <v>260</v>
      </c>
      <c r="J720" s="3" t="s">
        <v>81</v>
      </c>
      <c r="K720" s="3" t="s">
        <v>74</v>
      </c>
      <c r="L720" s="3" t="n">
        <v>2</v>
      </c>
      <c r="M720" s="3" t="n">
        <v>14.7</v>
      </c>
      <c r="N720" s="3" t="s">
        <v>59</v>
      </c>
      <c r="O720" s="3" t="s">
        <v>194</v>
      </c>
      <c r="P720" s="10"/>
      <c r="Q720" s="3" t="n">
        <f aca="false">IF(F720="Disposable",1,0)</f>
        <v>0</v>
      </c>
      <c r="R720" s="3" t="n">
        <f aca="false">IF(SUMPRODUCT(--ISNUMBER(SEARCH('Spam Rules'!$A$22:$A$35,K720)))&gt;0,1,0)</f>
        <v>0</v>
      </c>
      <c r="S720" s="3" t="n">
        <f aca="false">IF(AND(F720="Free",G720=""),1,0)</f>
        <v>0</v>
      </c>
      <c r="T720" s="3" t="n">
        <f aca="false">IF(LEN(TRIM(K720))&lt;15,1,0)</f>
        <v>0</v>
      </c>
      <c r="U720" s="3" t="n">
        <f aca="false">IF(COUNTIF($E$2:$E$801,E720)&gt;1,1,0)</f>
        <v>0</v>
      </c>
      <c r="V720" s="3" t="n">
        <f aca="false">Q720*'Spam Rules'!$H$6+R720*'Spam Rules'!$H$7+S720*'Spam Rules'!$H$8+T720*'Spam Rules'!$H$9+U720*'Spam Rules'!$H$10</f>
        <v>0</v>
      </c>
      <c r="W720" s="3" t="str">
        <f aca="false">IF(V720&gt;='Spam Rules'!$B$3,"Likely Spam","Genuine")</f>
        <v>Genuine</v>
      </c>
      <c r="X720" s="3" t="n">
        <f aca="false">IFERROR(INDEX('Scoring Model'!$B$5:$B$11,MATCH(C720,'Scoring Model'!$A$5:$A$11,0)),0)</f>
        <v>10</v>
      </c>
      <c r="Y720" s="3" t="n">
        <f aca="false">IFERROR(INDEX('Scoring Model'!$E$5:$E$7,MATCH(F720,'Scoring Model'!$D$5:$D$7,0)),0)</f>
        <v>0</v>
      </c>
      <c r="Z720" s="3" t="n">
        <f aca="false">IFERROR(INDEX('Scoring Model'!$H$5:$H$13,MATCH(J720,'Scoring Model'!$G$5:$G$13,0)),0)</f>
        <v>5</v>
      </c>
      <c r="AA720" s="3" t="n">
        <f aca="false">IF(L720&gt;='Scoring Model'!$B$14,'Scoring Model'!$B$15,IF(L720&gt;='Scoring Model'!$B$16,'Scoring Model'!$B$17,0))</f>
        <v>0</v>
      </c>
      <c r="AB720" s="3" t="n">
        <f aca="false">IF(SUMPRODUCT(--ISNUMBER(SEARCH('Scoring Model'!$D$16:$D$25,K720)))&gt;0,'Scoring Model'!$B$18,0)</f>
        <v>0</v>
      </c>
      <c r="AC720" s="3" t="n">
        <f aca="false">IF(SUMPRODUCT(--ISNUMBER(SEARCH('Scoring Model'!$G$16:$G$23,K720)))&gt;0,'Scoring Model'!$B$19,0)</f>
        <v>-30</v>
      </c>
      <c r="AD720" s="3" t="n">
        <f aca="false">IF(W720="Likely Spam","",SUM(X720:AC720))</f>
        <v>-15</v>
      </c>
      <c r="AE720" s="3" t="str">
        <f aca="false">IF(W720="Likely Spam","Spam",IF(AD720&gt;='Scoring Model'!$B$21,"Hot",IF(AD720&gt;='Scoring Model'!$B$22,"Warm","Nurture")))</f>
        <v>Nurture</v>
      </c>
      <c r="AF720" s="3" t="str">
        <f aca="false">IF(W720="Likely Spam","Flagged by spam rules",TRIM(IF(X720&gt;=20,"Strong source. ","")&amp;IF(Y720&gt;0,"Company email. ","")&amp;IF(Z720&gt;=15,"High-value product. ","")&amp;IF(AA720&gt;='Scoring Model'!$B$15,"High engagement. ","")&amp;IF(AB720&gt;0,"Buying intent in message. ","")&amp;IF(AC720&lt;0,"Negative intent in message. ","")))</f>
        <v>Negative intent in message.</v>
      </c>
      <c r="AG720" s="11" t="n">
        <f aca="false">IF(W720="Likely Spam","",1/(1+EXP(-('Conversion Model'!$B$5+IFERROR(INDEX('Conversion Model'!$B$8:$B$14,MATCH(C720,'Conversion Model'!$A$8:$A$14,0)),0)+IFERROR(INDEX('Conversion Model'!$E$8:$E$9,MATCH(F720,'Conversion Model'!$D$8:$D$9,0)),0)+IFERROR(INDEX('Conversion Model'!$H$8:$H$12,MATCH(IF(LEFT(J720,8)="Payments","Payments",IF(LEFT(J720,7)="Lending","Lending",J720)),'Conversion Model'!$G$8:$G$12,0)),0)+MIN(L720,15)*'Conversion Model'!$B$17+IF(SUMPRODUCT(--ISNUMBER(SEARCH('Scoring Model'!$D$16:$D$25,K720)))&gt;0,'Conversion Model'!$B$18,0)+IF(SUMPRODUCT(--ISNUMBER(SEARCH('Scoring Model'!$G$16:$G$23,K720)))&gt;0,'Conversion Model'!$B$19,0)))))</f>
        <v>0.00166377666343457</v>
      </c>
      <c r="AH720" s="3" t="n">
        <f aca="false">IF(OR(O720="Qualified",O720="Won",O720="Lost"),1,IF(O720="Unqualified",0,""))</f>
        <v>0</v>
      </c>
    </row>
    <row r="721" customFormat="false" ht="15" hidden="false" customHeight="true" outlineLevel="0" collapsed="false">
      <c r="A721" s="3" t="s">
        <v>2381</v>
      </c>
      <c r="B721" s="9" t="n">
        <v>46260.2534722222</v>
      </c>
      <c r="C721" s="3" t="s">
        <v>135</v>
      </c>
      <c r="D721" s="3" t="s">
        <v>2382</v>
      </c>
      <c r="E721" s="3" t="s">
        <v>2383</v>
      </c>
      <c r="F721" s="3" t="s">
        <v>54</v>
      </c>
      <c r="G721" s="3" t="s">
        <v>1840</v>
      </c>
      <c r="H721" s="3"/>
      <c r="I721" s="3" t="s">
        <v>188</v>
      </c>
      <c r="J721" s="3" t="s">
        <v>245</v>
      </c>
      <c r="K721" s="3" t="s">
        <v>644</v>
      </c>
      <c r="L721" s="3" t="n">
        <v>4</v>
      </c>
      <c r="M721" s="3" t="n">
        <v>36.7</v>
      </c>
      <c r="N721" s="3" t="s">
        <v>171</v>
      </c>
      <c r="O721" s="3" t="s">
        <v>133</v>
      </c>
      <c r="P721" s="10"/>
      <c r="Q721" s="3" t="n">
        <f aca="false">IF(F721="Disposable",1,0)</f>
        <v>0</v>
      </c>
      <c r="R721" s="3" t="n">
        <f aca="false">IF(SUMPRODUCT(--ISNUMBER(SEARCH('Spam Rules'!$A$22:$A$35,K721)))&gt;0,1,0)</f>
        <v>0</v>
      </c>
      <c r="S721" s="3" t="n">
        <f aca="false">IF(AND(F721="Free",G721=""),1,0)</f>
        <v>0</v>
      </c>
      <c r="T721" s="3" t="n">
        <f aca="false">IF(LEN(TRIM(K721))&lt;15,1,0)</f>
        <v>0</v>
      </c>
      <c r="U721" s="3" t="n">
        <f aca="false">IF(COUNTIF($E$2:$E$801,E721)&gt;1,1,0)</f>
        <v>0</v>
      </c>
      <c r="V721" s="3" t="n">
        <f aca="false">Q721*'Spam Rules'!$H$6+R721*'Spam Rules'!$H$7+S721*'Spam Rules'!$H$8+T721*'Spam Rules'!$H$9+U721*'Spam Rules'!$H$10</f>
        <v>0</v>
      </c>
      <c r="W721" s="3" t="str">
        <f aca="false">IF(V721&gt;='Spam Rules'!$B$3,"Likely Spam","Genuine")</f>
        <v>Genuine</v>
      </c>
      <c r="X721" s="3" t="n">
        <f aca="false">IFERROR(INDEX('Scoring Model'!$B$5:$B$11,MATCH(C721,'Scoring Model'!$A$5:$A$11,0)),0)</f>
        <v>20</v>
      </c>
      <c r="Y721" s="3" t="n">
        <f aca="false">IFERROR(INDEX('Scoring Model'!$E$5:$E$7,MATCH(F721,'Scoring Model'!$D$5:$D$7,0)),0)</f>
        <v>0</v>
      </c>
      <c r="Z721" s="3" t="n">
        <f aca="false">IFERROR(INDEX('Scoring Model'!$H$5:$H$13,MATCH(J721,'Scoring Model'!$G$5:$G$13,0)),0)</f>
        <v>15</v>
      </c>
      <c r="AA721" s="3" t="n">
        <f aca="false">IF(L721&gt;='Scoring Model'!$B$14,'Scoring Model'!$B$15,IF(L721&gt;='Scoring Model'!$B$16,'Scoring Model'!$B$17,0))</f>
        <v>8</v>
      </c>
      <c r="AB721" s="3" t="n">
        <f aca="false">IF(SUMPRODUCT(--ISNUMBER(SEARCH('Scoring Model'!$D$16:$D$25,K721)))&gt;0,'Scoring Model'!$B$18,0)</f>
        <v>15</v>
      </c>
      <c r="AC721" s="3" t="n">
        <f aca="false">IF(SUMPRODUCT(--ISNUMBER(SEARCH('Scoring Model'!$G$16:$G$23,K721)))&gt;0,'Scoring Model'!$B$19,0)</f>
        <v>0</v>
      </c>
      <c r="AD721" s="3" t="n">
        <f aca="false">IF(W721="Likely Spam","",SUM(X721:AC721))</f>
        <v>58</v>
      </c>
      <c r="AE721" s="3" t="str">
        <f aca="false">IF(W721="Likely Spam","Spam",IF(AD721&gt;='Scoring Model'!$B$21,"Hot",IF(AD721&gt;='Scoring Model'!$B$22,"Warm","Nurture")))</f>
        <v>Warm</v>
      </c>
      <c r="AF721" s="3" t="str">
        <f aca="false">IF(W721="Likely Spam","Flagged by spam rules",TRIM(IF(X721&gt;=20,"Strong source. ","")&amp;IF(Y721&gt;0,"Company email. ","")&amp;IF(Z721&gt;=15,"High-value product. ","")&amp;IF(AA721&gt;='Scoring Model'!$B$15,"High engagement. ","")&amp;IF(AB721&gt;0,"Buying intent in message. ","")&amp;IF(AC721&lt;0,"Negative intent in message. ","")))</f>
        <v>Strong source. High-value product. Buying intent in message.</v>
      </c>
      <c r="AG721" s="11" t="n">
        <f aca="false">IF(W721="Likely Spam","",1/(1+EXP(-('Conversion Model'!$B$5+IFERROR(INDEX('Conversion Model'!$B$8:$B$14,MATCH(C721,'Conversion Model'!$A$8:$A$14,0)),0)+IFERROR(INDEX('Conversion Model'!$E$8:$E$9,MATCH(F721,'Conversion Model'!$D$8:$D$9,0)),0)+IFERROR(INDEX('Conversion Model'!$H$8:$H$12,MATCH(IF(LEFT(J721,8)="Payments","Payments",IF(LEFT(J721,7)="Lending","Lending",J721)),'Conversion Model'!$G$8:$G$12,0)),0)+MIN(L721,15)*'Conversion Model'!$B$17+IF(SUMPRODUCT(--ISNUMBER(SEARCH('Scoring Model'!$D$16:$D$25,K721)))&gt;0,'Conversion Model'!$B$18,0)+IF(SUMPRODUCT(--ISNUMBER(SEARCH('Scoring Model'!$G$16:$G$23,K721)))&gt;0,'Conversion Model'!$B$19,0)))))</f>
        <v>0.713613663057164</v>
      </c>
      <c r="AH721" s="3" t="str">
        <f aca="false">IF(OR(O721="Qualified",O721="Won",O721="Lost"),1,IF(O721="Unqualified",0,""))</f>
        <v/>
      </c>
    </row>
    <row r="722" customFormat="false" ht="15" hidden="false" customHeight="true" outlineLevel="0" collapsed="false">
      <c r="A722" s="3" t="s">
        <v>2384</v>
      </c>
      <c r="B722" s="9" t="n">
        <v>46260.6027777778</v>
      </c>
      <c r="C722" s="3" t="s">
        <v>51</v>
      </c>
      <c r="D722" s="3" t="s">
        <v>2385</v>
      </c>
      <c r="E722" s="3" t="s">
        <v>2386</v>
      </c>
      <c r="F722" s="3" t="s">
        <v>54</v>
      </c>
      <c r="G722" s="3"/>
      <c r="H722" s="3"/>
      <c r="I722" s="3" t="s">
        <v>116</v>
      </c>
      <c r="J722" s="3" t="s">
        <v>81</v>
      </c>
      <c r="K722" s="3" t="s">
        <v>349</v>
      </c>
      <c r="L722" s="3" t="n">
        <v>1</v>
      </c>
      <c r="M722" s="3" t="n">
        <v>8.3</v>
      </c>
      <c r="N722" s="3" t="s">
        <v>67</v>
      </c>
      <c r="O722" s="3" t="s">
        <v>194</v>
      </c>
      <c r="P722" s="10"/>
      <c r="Q722" s="3" t="n">
        <f aca="false">IF(F722="Disposable",1,0)</f>
        <v>0</v>
      </c>
      <c r="R722" s="3" t="n">
        <f aca="false">IF(SUMPRODUCT(--ISNUMBER(SEARCH('Spam Rules'!$A$22:$A$35,K722)))&gt;0,1,0)</f>
        <v>0</v>
      </c>
      <c r="S722" s="3" t="n">
        <f aca="false">IF(AND(F722="Free",G722=""),1,0)</f>
        <v>1</v>
      </c>
      <c r="T722" s="3" t="n">
        <f aca="false">IF(LEN(TRIM(K722))&lt;15,1,0)</f>
        <v>0</v>
      </c>
      <c r="U722" s="3" t="n">
        <f aca="false">IF(COUNTIF($E$2:$E$801,E722)&gt;1,1,0)</f>
        <v>0</v>
      </c>
      <c r="V722" s="3" t="n">
        <f aca="false">Q722*'Spam Rules'!$H$6+R722*'Spam Rules'!$H$7+S722*'Spam Rules'!$H$8+T722*'Spam Rules'!$H$9+U722*'Spam Rules'!$H$10</f>
        <v>0</v>
      </c>
      <c r="W722" s="3" t="str">
        <f aca="false">IF(V722&gt;='Spam Rules'!$B$3,"Likely Spam","Genuine")</f>
        <v>Genuine</v>
      </c>
      <c r="X722" s="3" t="n">
        <f aca="false">IFERROR(INDEX('Scoring Model'!$B$5:$B$11,MATCH(C722,'Scoring Model'!$A$5:$A$11,0)),0)</f>
        <v>10</v>
      </c>
      <c r="Y722" s="3" t="n">
        <f aca="false">IFERROR(INDEX('Scoring Model'!$E$5:$E$7,MATCH(F722,'Scoring Model'!$D$5:$D$7,0)),0)</f>
        <v>0</v>
      </c>
      <c r="Z722" s="3" t="n">
        <f aca="false">IFERROR(INDEX('Scoring Model'!$H$5:$H$13,MATCH(J722,'Scoring Model'!$G$5:$G$13,0)),0)</f>
        <v>5</v>
      </c>
      <c r="AA722" s="3" t="n">
        <f aca="false">IF(L722&gt;='Scoring Model'!$B$14,'Scoring Model'!$B$15,IF(L722&gt;='Scoring Model'!$B$16,'Scoring Model'!$B$17,0))</f>
        <v>0</v>
      </c>
      <c r="AB722" s="3" t="n">
        <f aca="false">IF(SUMPRODUCT(--ISNUMBER(SEARCH('Scoring Model'!$D$16:$D$25,K722)))&gt;0,'Scoring Model'!$B$18,0)</f>
        <v>0</v>
      </c>
      <c r="AC722" s="3" t="n">
        <f aca="false">IF(SUMPRODUCT(--ISNUMBER(SEARCH('Scoring Model'!$G$16:$G$23,K722)))&gt;0,'Scoring Model'!$B$19,0)</f>
        <v>-30</v>
      </c>
      <c r="AD722" s="3" t="n">
        <f aca="false">IF(W722="Likely Spam","",SUM(X722:AC722))</f>
        <v>-15</v>
      </c>
      <c r="AE722" s="3" t="str">
        <f aca="false">IF(W722="Likely Spam","Spam",IF(AD722&gt;='Scoring Model'!$B$21,"Hot",IF(AD722&gt;='Scoring Model'!$B$22,"Warm","Nurture")))</f>
        <v>Nurture</v>
      </c>
      <c r="AF722" s="3" t="str">
        <f aca="false">IF(W722="Likely Spam","Flagged by spam rules",TRIM(IF(X722&gt;=20,"Strong source. ","")&amp;IF(Y722&gt;0,"Company email. ","")&amp;IF(Z722&gt;=15,"High-value product. ","")&amp;IF(AA722&gt;='Scoring Model'!$B$15,"High engagement. ","")&amp;IF(AB722&gt;0,"Buying intent in message. ","")&amp;IF(AC722&lt;0,"Negative intent in message. ","")))</f>
        <v>Negative intent in message.</v>
      </c>
      <c r="AG722" s="11" t="n">
        <f aca="false">IF(W722="Likely Spam","",1/(1+EXP(-('Conversion Model'!$B$5+IFERROR(INDEX('Conversion Model'!$B$8:$B$14,MATCH(C722,'Conversion Model'!$A$8:$A$14,0)),0)+IFERROR(INDEX('Conversion Model'!$E$8:$E$9,MATCH(F722,'Conversion Model'!$D$8:$D$9,0)),0)+IFERROR(INDEX('Conversion Model'!$H$8:$H$12,MATCH(IF(LEFT(J722,8)="Payments","Payments",IF(LEFT(J722,7)="Lending","Lending",J722)),'Conversion Model'!$G$8:$G$12,0)),0)+MIN(L722,15)*'Conversion Model'!$B$17+IF(SUMPRODUCT(--ISNUMBER(SEARCH('Scoring Model'!$D$16:$D$25,K722)))&gt;0,'Conversion Model'!$B$18,0)+IF(SUMPRODUCT(--ISNUMBER(SEARCH('Scoring Model'!$G$16:$G$23,K722)))&gt;0,'Conversion Model'!$B$19,0)))))</f>
        <v>0.000746774678415227</v>
      </c>
      <c r="AH722" s="3" t="n">
        <f aca="false">IF(OR(O722="Qualified",O722="Won",O722="Lost"),1,IF(O722="Unqualified",0,""))</f>
        <v>0</v>
      </c>
    </row>
    <row r="723" customFormat="false" ht="15" hidden="false" customHeight="true" outlineLevel="0" collapsed="false">
      <c r="A723" s="3" t="s">
        <v>2387</v>
      </c>
      <c r="B723" s="9" t="n">
        <v>46260.7958333333</v>
      </c>
      <c r="C723" s="3" t="s">
        <v>76</v>
      </c>
      <c r="D723" s="3" t="s">
        <v>2388</v>
      </c>
      <c r="E723" s="3" t="s">
        <v>2389</v>
      </c>
      <c r="F723" s="3" t="s">
        <v>22</v>
      </c>
      <c r="G723" s="3" t="s">
        <v>632</v>
      </c>
      <c r="H723" s="3" t="s">
        <v>633</v>
      </c>
      <c r="I723" s="3" t="s">
        <v>56</v>
      </c>
      <c r="J723" s="3" t="s">
        <v>122</v>
      </c>
      <c r="K723" s="3" t="s">
        <v>355</v>
      </c>
      <c r="L723" s="3" t="n">
        <v>10</v>
      </c>
      <c r="M723" s="3" t="n">
        <v>3</v>
      </c>
      <c r="N723" s="3" t="s">
        <v>171</v>
      </c>
      <c r="O723" s="3" t="s">
        <v>331</v>
      </c>
      <c r="P723" s="10"/>
      <c r="Q723" s="3" t="n">
        <f aca="false">IF(F723="Disposable",1,0)</f>
        <v>0</v>
      </c>
      <c r="R723" s="3" t="n">
        <f aca="false">IF(SUMPRODUCT(--ISNUMBER(SEARCH('Spam Rules'!$A$22:$A$35,K723)))&gt;0,1,0)</f>
        <v>0</v>
      </c>
      <c r="S723" s="3" t="n">
        <f aca="false">IF(AND(F723="Free",G723=""),1,0)</f>
        <v>0</v>
      </c>
      <c r="T723" s="3" t="n">
        <f aca="false">IF(LEN(TRIM(K723))&lt;15,1,0)</f>
        <v>0</v>
      </c>
      <c r="U723" s="3" t="n">
        <f aca="false">IF(COUNTIF($E$2:$E$801,E723)&gt;1,1,0)</f>
        <v>0</v>
      </c>
      <c r="V723" s="3" t="n">
        <f aca="false">Q723*'Spam Rules'!$H$6+R723*'Spam Rules'!$H$7+S723*'Spam Rules'!$H$8+T723*'Spam Rules'!$H$9+U723*'Spam Rules'!$H$10</f>
        <v>0</v>
      </c>
      <c r="W723" s="3" t="str">
        <f aca="false">IF(V723&gt;='Spam Rules'!$B$3,"Likely Spam","Genuine")</f>
        <v>Genuine</v>
      </c>
      <c r="X723" s="3" t="n">
        <f aca="false">IFERROR(INDEX('Scoring Model'!$B$5:$B$11,MATCH(C723,'Scoring Model'!$A$5:$A$11,0)),0)</f>
        <v>0</v>
      </c>
      <c r="Y723" s="3" t="n">
        <f aca="false">IFERROR(INDEX('Scoring Model'!$E$5:$E$7,MATCH(F723,'Scoring Model'!$D$5:$D$7,0)),0)</f>
        <v>20</v>
      </c>
      <c r="Z723" s="3" t="n">
        <f aca="false">IFERROR(INDEX('Scoring Model'!$H$5:$H$13,MATCH(J723,'Scoring Model'!$G$5:$G$13,0)),0)</f>
        <v>15</v>
      </c>
      <c r="AA723" s="3" t="n">
        <f aca="false">IF(L723&gt;='Scoring Model'!$B$14,'Scoring Model'!$B$15,IF(L723&gt;='Scoring Model'!$B$16,'Scoring Model'!$B$17,0))</f>
        <v>15</v>
      </c>
      <c r="AB723" s="3" t="n">
        <f aca="false">IF(SUMPRODUCT(--ISNUMBER(SEARCH('Scoring Model'!$D$16:$D$25,K723)))&gt;0,'Scoring Model'!$B$18,0)</f>
        <v>15</v>
      </c>
      <c r="AC723" s="3" t="n">
        <f aca="false">IF(SUMPRODUCT(--ISNUMBER(SEARCH('Scoring Model'!$G$16:$G$23,K723)))&gt;0,'Scoring Model'!$B$19,0)</f>
        <v>0</v>
      </c>
      <c r="AD723" s="3" t="n">
        <f aca="false">IF(W723="Likely Spam","",SUM(X723:AC723))</f>
        <v>65</v>
      </c>
      <c r="AE723" s="3" t="str">
        <f aca="false">IF(W723="Likely Spam","Spam",IF(AD723&gt;='Scoring Model'!$B$21,"Hot",IF(AD723&gt;='Scoring Model'!$B$22,"Warm","Nurture")))</f>
        <v>Warm</v>
      </c>
      <c r="AF723" s="3" t="str">
        <f aca="false">IF(W723="Likely Spam","Flagged by spam rules",TRIM(IF(X723&gt;=20,"Strong source. ","")&amp;IF(Y723&gt;0,"Company email. ","")&amp;IF(Z723&gt;=15,"High-value product. ","")&amp;IF(AA723&gt;='Scoring Model'!$B$15,"High engagement. ","")&amp;IF(AB723&gt;0,"Buying intent in message. ","")&amp;IF(AC723&lt;0,"Negative intent in message. ","")))</f>
        <v>Company email. High-value product. High engagement. Buying intent in message.</v>
      </c>
      <c r="AG723" s="11" t="n">
        <f aca="false">IF(W723="Likely Spam","",1/(1+EXP(-('Conversion Model'!$B$5+IFERROR(INDEX('Conversion Model'!$B$8:$B$14,MATCH(C723,'Conversion Model'!$A$8:$A$14,0)),0)+IFERROR(INDEX('Conversion Model'!$E$8:$E$9,MATCH(F723,'Conversion Model'!$D$8:$D$9,0)),0)+IFERROR(INDEX('Conversion Model'!$H$8:$H$12,MATCH(IF(LEFT(J723,8)="Payments","Payments",IF(LEFT(J723,7)="Lending","Lending",J723)),'Conversion Model'!$G$8:$G$12,0)),0)+MIN(L723,15)*'Conversion Model'!$B$17+IF(SUMPRODUCT(--ISNUMBER(SEARCH('Scoring Model'!$D$16:$D$25,K723)))&gt;0,'Conversion Model'!$B$18,0)+IF(SUMPRODUCT(--ISNUMBER(SEARCH('Scoring Model'!$G$16:$G$23,K723)))&gt;0,'Conversion Model'!$B$19,0)))))</f>
        <v>0.988837830419748</v>
      </c>
      <c r="AH723" s="3" t="n">
        <f aca="false">IF(OR(O723="Qualified",O723="Won",O723="Lost"),1,IF(O723="Unqualified",0,""))</f>
        <v>1</v>
      </c>
    </row>
    <row r="724" customFormat="false" ht="15" hidden="false" customHeight="true" outlineLevel="0" collapsed="false">
      <c r="A724" s="3" t="s">
        <v>2390</v>
      </c>
      <c r="B724" s="9" t="n">
        <v>46262.0909722222</v>
      </c>
      <c r="C724" s="3" t="s">
        <v>135</v>
      </c>
      <c r="D724" s="3" t="s">
        <v>1391</v>
      </c>
      <c r="E724" s="3" t="s">
        <v>2391</v>
      </c>
      <c r="F724" s="3" t="s">
        <v>54</v>
      </c>
      <c r="G724" s="3"/>
      <c r="H724" s="3"/>
      <c r="I724" s="3" t="s">
        <v>56</v>
      </c>
      <c r="J724" s="3" t="s">
        <v>145</v>
      </c>
      <c r="K724" s="3" t="s">
        <v>193</v>
      </c>
      <c r="L724" s="3" t="n">
        <v>4</v>
      </c>
      <c r="M724" s="3" t="n">
        <v>48.3</v>
      </c>
      <c r="N724" s="3" t="s">
        <v>59</v>
      </c>
      <c r="O724" s="3" t="s">
        <v>194</v>
      </c>
      <c r="P724" s="10"/>
      <c r="Q724" s="3" t="n">
        <f aca="false">IF(F724="Disposable",1,0)</f>
        <v>0</v>
      </c>
      <c r="R724" s="3" t="n">
        <f aca="false">IF(SUMPRODUCT(--ISNUMBER(SEARCH('Spam Rules'!$A$22:$A$35,K724)))&gt;0,1,0)</f>
        <v>0</v>
      </c>
      <c r="S724" s="3" t="n">
        <f aca="false">IF(AND(F724="Free",G724=""),1,0)</f>
        <v>1</v>
      </c>
      <c r="T724" s="3" t="n">
        <f aca="false">IF(LEN(TRIM(K724))&lt;15,1,0)</f>
        <v>0</v>
      </c>
      <c r="U724" s="3" t="n">
        <f aca="false">IF(COUNTIF($E$2:$E$801,E724)&gt;1,1,0)</f>
        <v>0</v>
      </c>
      <c r="V724" s="3" t="n">
        <f aca="false">Q724*'Spam Rules'!$H$6+R724*'Spam Rules'!$H$7+S724*'Spam Rules'!$H$8+T724*'Spam Rules'!$H$9+U724*'Spam Rules'!$H$10</f>
        <v>0</v>
      </c>
      <c r="W724" s="3" t="str">
        <f aca="false">IF(V724&gt;='Spam Rules'!$B$3,"Likely Spam","Genuine")</f>
        <v>Genuine</v>
      </c>
      <c r="X724" s="3" t="n">
        <f aca="false">IFERROR(INDEX('Scoring Model'!$B$5:$B$11,MATCH(C724,'Scoring Model'!$A$5:$A$11,0)),0)</f>
        <v>20</v>
      </c>
      <c r="Y724" s="3" t="n">
        <f aca="false">IFERROR(INDEX('Scoring Model'!$E$5:$E$7,MATCH(F724,'Scoring Model'!$D$5:$D$7,0)),0)</f>
        <v>0</v>
      </c>
      <c r="Z724" s="3" t="n">
        <f aca="false">IFERROR(INDEX('Scoring Model'!$H$5:$H$13,MATCH(J724,'Scoring Model'!$G$5:$G$13,0)),0)</f>
        <v>5</v>
      </c>
      <c r="AA724" s="3" t="n">
        <f aca="false">IF(L724&gt;='Scoring Model'!$B$14,'Scoring Model'!$B$15,IF(L724&gt;='Scoring Model'!$B$16,'Scoring Model'!$B$17,0))</f>
        <v>8</v>
      </c>
      <c r="AB724" s="3" t="n">
        <f aca="false">IF(SUMPRODUCT(--ISNUMBER(SEARCH('Scoring Model'!$D$16:$D$25,K724)))&gt;0,'Scoring Model'!$B$18,0)</f>
        <v>0</v>
      </c>
      <c r="AC724" s="3" t="n">
        <f aca="false">IF(SUMPRODUCT(--ISNUMBER(SEARCH('Scoring Model'!$G$16:$G$23,K724)))&gt;0,'Scoring Model'!$B$19,0)</f>
        <v>-30</v>
      </c>
      <c r="AD724" s="3" t="n">
        <f aca="false">IF(W724="Likely Spam","",SUM(X724:AC724))</f>
        <v>3</v>
      </c>
      <c r="AE724" s="3" t="str">
        <f aca="false">IF(W724="Likely Spam","Spam",IF(AD724&gt;='Scoring Model'!$B$21,"Hot",IF(AD724&gt;='Scoring Model'!$B$22,"Warm","Nurture")))</f>
        <v>Nurture</v>
      </c>
      <c r="AF724" s="3" t="str">
        <f aca="false">IF(W724="Likely Spam","Flagged by spam rules",TRIM(IF(X724&gt;=20,"Strong source. ","")&amp;IF(Y724&gt;0,"Company email. ","")&amp;IF(Z724&gt;=15,"High-value product. ","")&amp;IF(AA724&gt;='Scoring Model'!$B$15,"High engagement. ","")&amp;IF(AB724&gt;0,"Buying intent in message. ","")&amp;IF(AC724&lt;0,"Negative intent in message. ","")))</f>
        <v>Strong source. Negative intent in message.</v>
      </c>
      <c r="AG724" s="11" t="n">
        <f aca="false">IF(W724="Likely Spam","",1/(1+EXP(-('Conversion Model'!$B$5+IFERROR(INDEX('Conversion Model'!$B$8:$B$14,MATCH(C724,'Conversion Model'!$A$8:$A$14,0)),0)+IFERROR(INDEX('Conversion Model'!$E$8:$E$9,MATCH(F724,'Conversion Model'!$D$8:$D$9,0)),0)+IFERROR(INDEX('Conversion Model'!$H$8:$H$12,MATCH(IF(LEFT(J724,8)="Payments","Payments",IF(LEFT(J724,7)="Lending","Lending",J724)),'Conversion Model'!$G$8:$G$12,0)),0)+MIN(L724,15)*'Conversion Model'!$B$17+IF(SUMPRODUCT(--ISNUMBER(SEARCH('Scoring Model'!$D$16:$D$25,K724)))&gt;0,'Conversion Model'!$B$18,0)+IF(SUMPRODUCT(--ISNUMBER(SEARCH('Scoring Model'!$G$16:$G$23,K724)))&gt;0,'Conversion Model'!$B$19,0)))))</f>
        <v>0.033310650865359</v>
      </c>
      <c r="AH724" s="3" t="n">
        <f aca="false">IF(OR(O724="Qualified",O724="Won",O724="Lost"),1,IF(O724="Unqualified",0,""))</f>
        <v>0</v>
      </c>
    </row>
    <row r="725" customFormat="false" ht="15" hidden="false" customHeight="true" outlineLevel="0" collapsed="false">
      <c r="A725" s="3" t="s">
        <v>2392</v>
      </c>
      <c r="B725" s="9" t="n">
        <v>46262.1090277778</v>
      </c>
      <c r="C725" s="3" t="s">
        <v>91</v>
      </c>
      <c r="D725" s="3" t="s">
        <v>2393</v>
      </c>
      <c r="E725" s="3" t="s">
        <v>2394</v>
      </c>
      <c r="F725" s="3" t="s">
        <v>22</v>
      </c>
      <c r="G725" s="3" t="s">
        <v>181</v>
      </c>
      <c r="H725" s="3" t="s">
        <v>182</v>
      </c>
      <c r="I725" s="3" t="s">
        <v>227</v>
      </c>
      <c r="J725" s="3" t="s">
        <v>145</v>
      </c>
      <c r="K725" s="3" t="s">
        <v>58</v>
      </c>
      <c r="L725" s="3" t="n">
        <v>6</v>
      </c>
      <c r="M725" s="3" t="n">
        <v>12.8</v>
      </c>
      <c r="N725" s="3" t="s">
        <v>67</v>
      </c>
      <c r="O725" s="3" t="s">
        <v>133</v>
      </c>
      <c r="P725" s="10"/>
      <c r="Q725" s="3" t="n">
        <f aca="false">IF(F725="Disposable",1,0)</f>
        <v>0</v>
      </c>
      <c r="R725" s="3" t="n">
        <f aca="false">IF(SUMPRODUCT(--ISNUMBER(SEARCH('Spam Rules'!$A$22:$A$35,K725)))&gt;0,1,0)</f>
        <v>0</v>
      </c>
      <c r="S725" s="3" t="n">
        <f aca="false">IF(AND(F725="Free",G725=""),1,0)</f>
        <v>0</v>
      </c>
      <c r="T725" s="3" t="n">
        <f aca="false">IF(LEN(TRIM(K725))&lt;15,1,0)</f>
        <v>0</v>
      </c>
      <c r="U725" s="3" t="n">
        <f aca="false">IF(COUNTIF($E$2:$E$801,E725)&gt;1,1,0)</f>
        <v>0</v>
      </c>
      <c r="V725" s="3" t="n">
        <f aca="false">Q725*'Spam Rules'!$H$6+R725*'Spam Rules'!$H$7+S725*'Spam Rules'!$H$8+T725*'Spam Rules'!$H$9+U725*'Spam Rules'!$H$10</f>
        <v>0</v>
      </c>
      <c r="W725" s="3" t="str">
        <f aca="false">IF(V725&gt;='Spam Rules'!$B$3,"Likely Spam","Genuine")</f>
        <v>Genuine</v>
      </c>
      <c r="X725" s="3" t="n">
        <f aca="false">IFERROR(INDEX('Scoring Model'!$B$5:$B$11,MATCH(C725,'Scoring Model'!$A$5:$A$11,0)),0)</f>
        <v>5</v>
      </c>
      <c r="Y725" s="3" t="n">
        <f aca="false">IFERROR(INDEX('Scoring Model'!$E$5:$E$7,MATCH(F725,'Scoring Model'!$D$5:$D$7,0)),0)</f>
        <v>20</v>
      </c>
      <c r="Z725" s="3" t="n">
        <f aca="false">IFERROR(INDEX('Scoring Model'!$H$5:$H$13,MATCH(J725,'Scoring Model'!$G$5:$G$13,0)),0)</f>
        <v>5</v>
      </c>
      <c r="AA725" s="3" t="n">
        <f aca="false">IF(L725&gt;='Scoring Model'!$B$14,'Scoring Model'!$B$15,IF(L725&gt;='Scoring Model'!$B$16,'Scoring Model'!$B$17,0))</f>
        <v>8</v>
      </c>
      <c r="AB725" s="3" t="n">
        <f aca="false">IF(SUMPRODUCT(--ISNUMBER(SEARCH('Scoring Model'!$D$16:$D$25,K725)))&gt;0,'Scoring Model'!$B$18,0)</f>
        <v>15</v>
      </c>
      <c r="AC725" s="3" t="n">
        <f aca="false">IF(SUMPRODUCT(--ISNUMBER(SEARCH('Scoring Model'!$G$16:$G$23,K725)))&gt;0,'Scoring Model'!$B$19,0)</f>
        <v>0</v>
      </c>
      <c r="AD725" s="3" t="n">
        <f aca="false">IF(W725="Likely Spam","",SUM(X725:AC725))</f>
        <v>53</v>
      </c>
      <c r="AE725" s="3" t="str">
        <f aca="false">IF(W725="Likely Spam","Spam",IF(AD725&gt;='Scoring Model'!$B$21,"Hot",IF(AD725&gt;='Scoring Model'!$B$22,"Warm","Nurture")))</f>
        <v>Warm</v>
      </c>
      <c r="AF725" s="3" t="str">
        <f aca="false">IF(W725="Likely Spam","Flagged by spam rules",TRIM(IF(X725&gt;=20,"Strong source. ","")&amp;IF(Y725&gt;0,"Company email. ","")&amp;IF(Z725&gt;=15,"High-value product. ","")&amp;IF(AA725&gt;='Scoring Model'!$B$15,"High engagement. ","")&amp;IF(AB725&gt;0,"Buying intent in message. ","")&amp;IF(AC725&lt;0,"Negative intent in message. ","")))</f>
        <v>Company email. Buying intent in message.</v>
      </c>
      <c r="AG725" s="11" t="n">
        <f aca="false">IF(W725="Likely Spam","",1/(1+EXP(-('Conversion Model'!$B$5+IFERROR(INDEX('Conversion Model'!$B$8:$B$14,MATCH(C725,'Conversion Model'!$A$8:$A$14,0)),0)+IFERROR(INDEX('Conversion Model'!$E$8:$E$9,MATCH(F725,'Conversion Model'!$D$8:$D$9,0)),0)+IFERROR(INDEX('Conversion Model'!$H$8:$H$12,MATCH(IF(LEFT(J725,8)="Payments","Payments",IF(LEFT(J725,7)="Lending","Lending",J725)),'Conversion Model'!$G$8:$G$12,0)),0)+MIN(L725,15)*'Conversion Model'!$B$17+IF(SUMPRODUCT(--ISNUMBER(SEARCH('Scoring Model'!$D$16:$D$25,K725)))&gt;0,'Conversion Model'!$B$18,0)+IF(SUMPRODUCT(--ISNUMBER(SEARCH('Scoring Model'!$G$16:$G$23,K725)))&gt;0,'Conversion Model'!$B$19,0)))))</f>
        <v>0.808144748904065</v>
      </c>
      <c r="AH725" s="3" t="str">
        <f aca="false">IF(OR(O725="Qualified",O725="Won",O725="Lost"),1,IF(O725="Unqualified",0,""))</f>
        <v/>
      </c>
    </row>
    <row r="726" customFormat="false" ht="15" hidden="false" customHeight="true" outlineLevel="0" collapsed="false">
      <c r="A726" s="3" t="s">
        <v>2395</v>
      </c>
      <c r="B726" s="9" t="n">
        <v>46262.7125</v>
      </c>
      <c r="C726" s="3" t="s">
        <v>135</v>
      </c>
      <c r="D726" s="3" t="s">
        <v>944</v>
      </c>
      <c r="E726" s="3" t="s">
        <v>945</v>
      </c>
      <c r="F726" s="3" t="s">
        <v>54</v>
      </c>
      <c r="G726" s="3"/>
      <c r="H726" s="3"/>
      <c r="I726" s="3" t="s">
        <v>80</v>
      </c>
      <c r="J726" s="3" t="s">
        <v>145</v>
      </c>
      <c r="K726" s="3" t="s">
        <v>213</v>
      </c>
      <c r="L726" s="3" t="n">
        <v>3</v>
      </c>
      <c r="M726" s="3" t="n">
        <v>22.5</v>
      </c>
      <c r="N726" s="3" t="s">
        <v>59</v>
      </c>
      <c r="O726" s="3" t="s">
        <v>194</v>
      </c>
      <c r="P726" s="10"/>
      <c r="Q726" s="3" t="n">
        <f aca="false">IF(F726="Disposable",1,0)</f>
        <v>0</v>
      </c>
      <c r="R726" s="3" t="n">
        <f aca="false">IF(SUMPRODUCT(--ISNUMBER(SEARCH('Spam Rules'!$A$22:$A$35,K726)))&gt;0,1,0)</f>
        <v>0</v>
      </c>
      <c r="S726" s="3" t="n">
        <f aca="false">IF(AND(F726="Free",G726=""),1,0)</f>
        <v>1</v>
      </c>
      <c r="T726" s="3" t="n">
        <f aca="false">IF(LEN(TRIM(K726))&lt;15,1,0)</f>
        <v>0</v>
      </c>
      <c r="U726" s="3" t="n">
        <f aca="false">IF(COUNTIF($E$2:$E$801,E726)&gt;1,1,0)</f>
        <v>1</v>
      </c>
      <c r="V726" s="3" t="n">
        <f aca="false">Q726*'Spam Rules'!$H$6+R726*'Spam Rules'!$H$7+S726*'Spam Rules'!$H$8+T726*'Spam Rules'!$H$9+U726*'Spam Rules'!$H$10</f>
        <v>0</v>
      </c>
      <c r="W726" s="3" t="str">
        <f aca="false">IF(V726&gt;='Spam Rules'!$B$3,"Likely Spam","Genuine")</f>
        <v>Genuine</v>
      </c>
      <c r="X726" s="3" t="n">
        <f aca="false">IFERROR(INDEX('Scoring Model'!$B$5:$B$11,MATCH(C726,'Scoring Model'!$A$5:$A$11,0)),0)</f>
        <v>20</v>
      </c>
      <c r="Y726" s="3" t="n">
        <f aca="false">IFERROR(INDEX('Scoring Model'!$E$5:$E$7,MATCH(F726,'Scoring Model'!$D$5:$D$7,0)),0)</f>
        <v>0</v>
      </c>
      <c r="Z726" s="3" t="n">
        <f aca="false">IFERROR(INDEX('Scoring Model'!$H$5:$H$13,MATCH(J726,'Scoring Model'!$G$5:$G$13,0)),0)</f>
        <v>5</v>
      </c>
      <c r="AA726" s="3" t="n">
        <f aca="false">IF(L726&gt;='Scoring Model'!$B$14,'Scoring Model'!$B$15,IF(L726&gt;='Scoring Model'!$B$16,'Scoring Model'!$B$17,0))</f>
        <v>0</v>
      </c>
      <c r="AB726" s="3" t="n">
        <f aca="false">IF(SUMPRODUCT(--ISNUMBER(SEARCH('Scoring Model'!$D$16:$D$25,K726)))&gt;0,'Scoring Model'!$B$18,0)</f>
        <v>0</v>
      </c>
      <c r="AC726" s="3" t="n">
        <f aca="false">IF(SUMPRODUCT(--ISNUMBER(SEARCH('Scoring Model'!$G$16:$G$23,K726)))&gt;0,'Scoring Model'!$B$19,0)</f>
        <v>-30</v>
      </c>
      <c r="AD726" s="3" t="n">
        <f aca="false">IF(W726="Likely Spam","",SUM(X726:AC726))</f>
        <v>-5</v>
      </c>
      <c r="AE726" s="3" t="str">
        <f aca="false">IF(W726="Likely Spam","Spam",IF(AD726&gt;='Scoring Model'!$B$21,"Hot",IF(AD726&gt;='Scoring Model'!$B$22,"Warm","Nurture")))</f>
        <v>Nurture</v>
      </c>
      <c r="AF726" s="3" t="str">
        <f aca="false">IF(W726="Likely Spam","Flagged by spam rules",TRIM(IF(X726&gt;=20,"Strong source. ","")&amp;IF(Y726&gt;0,"Company email. ","")&amp;IF(Z726&gt;=15,"High-value product. ","")&amp;IF(AA726&gt;='Scoring Model'!$B$15,"High engagement. ","")&amp;IF(AB726&gt;0,"Buying intent in message. ","")&amp;IF(AC726&lt;0,"Negative intent in message. ","")))</f>
        <v>Strong source. Negative intent in message.</v>
      </c>
      <c r="AG726" s="11" t="n">
        <f aca="false">IF(W726="Likely Spam","",1/(1+EXP(-('Conversion Model'!$B$5+IFERROR(INDEX('Conversion Model'!$B$8:$B$14,MATCH(C726,'Conversion Model'!$A$8:$A$14,0)),0)+IFERROR(INDEX('Conversion Model'!$E$8:$E$9,MATCH(F726,'Conversion Model'!$D$8:$D$9,0)),0)+IFERROR(INDEX('Conversion Model'!$H$8:$H$12,MATCH(IF(LEFT(J726,8)="Payments","Payments",IF(LEFT(J726,7)="Lending","Lending",J726)),'Conversion Model'!$G$8:$G$12,0)),0)+MIN(L726,15)*'Conversion Model'!$B$17+IF(SUMPRODUCT(--ISNUMBER(SEARCH('Scoring Model'!$D$16:$D$25,K726)))&gt;0,'Conversion Model'!$B$18,0)+IF(SUMPRODUCT(--ISNUMBER(SEARCH('Scoring Model'!$G$16:$G$23,K726)))&gt;0,'Conversion Model'!$B$19,0)))))</f>
        <v>0.0152171212086563</v>
      </c>
      <c r="AH726" s="3" t="n">
        <f aca="false">IF(OR(O726="Qualified",O726="Won",O726="Lost"),1,IF(O726="Unqualified",0,""))</f>
        <v>0</v>
      </c>
    </row>
    <row r="727" customFormat="false" ht="15" hidden="false" customHeight="true" outlineLevel="0" collapsed="false">
      <c r="A727" s="3" t="s">
        <v>2396</v>
      </c>
      <c r="B727" s="9" t="n">
        <v>46263.7152777778</v>
      </c>
      <c r="C727" s="3" t="s">
        <v>51</v>
      </c>
      <c r="D727" s="3" t="s">
        <v>2397</v>
      </c>
      <c r="E727" s="3" t="s">
        <v>1063</v>
      </c>
      <c r="F727" s="3" t="s">
        <v>63</v>
      </c>
      <c r="G727" s="3"/>
      <c r="H727" s="3"/>
      <c r="I727" s="3" t="s">
        <v>204</v>
      </c>
      <c r="J727" s="3" t="s">
        <v>65</v>
      </c>
      <c r="K727" s="3" t="s">
        <v>89</v>
      </c>
      <c r="L727" s="3" t="n">
        <v>2</v>
      </c>
      <c r="M727" s="3"/>
      <c r="N727" s="3" t="s">
        <v>67</v>
      </c>
      <c r="O727" s="3" t="s">
        <v>68</v>
      </c>
      <c r="P727" s="10"/>
      <c r="Q727" s="3" t="n">
        <f aca="false">IF(F727="Disposable",1,0)</f>
        <v>1</v>
      </c>
      <c r="R727" s="3" t="n">
        <f aca="false">IF(SUMPRODUCT(--ISNUMBER(SEARCH('Spam Rules'!$A$22:$A$35,K727)))&gt;0,1,0)</f>
        <v>1</v>
      </c>
      <c r="S727" s="3" t="n">
        <f aca="false">IF(AND(F727="Free",G727=""),1,0)</f>
        <v>0</v>
      </c>
      <c r="T727" s="3" t="n">
        <f aca="false">IF(LEN(TRIM(K727))&lt;15,1,0)</f>
        <v>0</v>
      </c>
      <c r="U727" s="3" t="n">
        <f aca="false">IF(COUNTIF($E$2:$E$801,E727)&gt;1,1,0)</f>
        <v>1</v>
      </c>
      <c r="V727" s="3" t="n">
        <f aca="false">Q727*'Spam Rules'!$H$6+R727*'Spam Rules'!$H$7+S727*'Spam Rules'!$H$8+T727*'Spam Rules'!$H$9+U727*'Spam Rules'!$H$10</f>
        <v>2</v>
      </c>
      <c r="W727" s="3" t="str">
        <f aca="false">IF(V727&gt;='Spam Rules'!$B$3,"Likely Spam","Genuine")</f>
        <v>Likely Spam</v>
      </c>
      <c r="X727" s="3" t="n">
        <f aca="false">IFERROR(INDEX('Scoring Model'!$B$5:$B$11,MATCH(C727,'Scoring Model'!$A$5:$A$11,0)),0)</f>
        <v>10</v>
      </c>
      <c r="Y727" s="3" t="n">
        <f aca="false">IFERROR(INDEX('Scoring Model'!$E$5:$E$7,MATCH(F727,'Scoring Model'!$D$5:$D$7,0)),0)</f>
        <v>0</v>
      </c>
      <c r="Z727" s="3" t="n">
        <f aca="false">IFERROR(INDEX('Scoring Model'!$H$5:$H$13,MATCH(J727,'Scoring Model'!$G$5:$G$13,0)),0)</f>
        <v>0</v>
      </c>
      <c r="AA727" s="3" t="n">
        <f aca="false">IF(L727&gt;='Scoring Model'!$B$14,'Scoring Model'!$B$15,IF(L727&gt;='Scoring Model'!$B$16,'Scoring Model'!$B$17,0))</f>
        <v>0</v>
      </c>
      <c r="AB727" s="3" t="n">
        <f aca="false">IF(SUMPRODUCT(--ISNUMBER(SEARCH('Scoring Model'!$D$16:$D$25,K727)))&gt;0,'Scoring Model'!$B$18,0)</f>
        <v>0</v>
      </c>
      <c r="AC727" s="3" t="n">
        <f aca="false">IF(SUMPRODUCT(--ISNUMBER(SEARCH('Scoring Model'!$G$16:$G$23,K727)))&gt;0,'Scoring Model'!$B$19,0)</f>
        <v>0</v>
      </c>
      <c r="AD727" s="3" t="str">
        <f aca="false">IF(W727="Likely Spam","",SUM(X727:AC727))</f>
        <v/>
      </c>
      <c r="AE727" s="3" t="str">
        <f aca="false">IF(W727="Likely Spam","Spam",IF(AD727&gt;='Scoring Model'!$B$21,"Hot",IF(AD727&gt;='Scoring Model'!$B$22,"Warm","Nurture")))</f>
        <v>Spam</v>
      </c>
      <c r="AF727" s="3" t="str">
        <f aca="false">IF(W727="Likely Spam","Flagged by spam rules",TRIM(IF(X727&gt;=20,"Strong source. ","")&amp;IF(Y727&gt;0,"Company email. ","")&amp;IF(Z727&gt;=15,"High-value product. ","")&amp;IF(AA727&gt;='Scoring Model'!$B$15,"High engagement. ","")&amp;IF(AB727&gt;0,"Buying intent in message. ","")&amp;IF(AC727&lt;0,"Negative intent in message. ","")))</f>
        <v>Flagged by spam rules</v>
      </c>
      <c r="AG727" s="11" t="str">
        <f aca="false">IF(W727="Likely Spam","",1/(1+EXP(-('Conversion Model'!$B$5+IFERROR(INDEX('Conversion Model'!$B$8:$B$14,MATCH(C727,'Conversion Model'!$A$8:$A$14,0)),0)+IFERROR(INDEX('Conversion Model'!$E$8:$E$9,MATCH(F727,'Conversion Model'!$D$8:$D$9,0)),0)+IFERROR(INDEX('Conversion Model'!$H$8:$H$12,MATCH(IF(LEFT(J727,8)="Payments","Payments",IF(LEFT(J727,7)="Lending","Lending",J727)),'Conversion Model'!$G$8:$G$12,0)),0)+MIN(L727,15)*'Conversion Model'!$B$17+IF(SUMPRODUCT(--ISNUMBER(SEARCH('Scoring Model'!$D$16:$D$25,K727)))&gt;0,'Conversion Model'!$B$18,0)+IF(SUMPRODUCT(--ISNUMBER(SEARCH('Scoring Model'!$G$16:$G$23,K727)))&gt;0,'Conversion Model'!$B$19,0)))))</f>
        <v/>
      </c>
      <c r="AH727" s="3" t="str">
        <f aca="false">IF(OR(O727="Qualified",O727="Won",O727="Lost"),1,IF(O727="Unqualified",0,""))</f>
        <v/>
      </c>
    </row>
    <row r="728" customFormat="false" ht="15" hidden="false" customHeight="true" outlineLevel="0" collapsed="false">
      <c r="A728" s="3" t="s">
        <v>2398</v>
      </c>
      <c r="B728" s="9" t="n">
        <v>46264.5756944444</v>
      </c>
      <c r="C728" s="3" t="s">
        <v>112</v>
      </c>
      <c r="D728" s="3" t="s">
        <v>1741</v>
      </c>
      <c r="E728" s="3" t="s">
        <v>2399</v>
      </c>
      <c r="F728" s="3" t="s">
        <v>54</v>
      </c>
      <c r="G728" s="3" t="s">
        <v>2400</v>
      </c>
      <c r="H728" s="3"/>
      <c r="I728" s="3" t="s">
        <v>204</v>
      </c>
      <c r="J728" s="3" t="s">
        <v>117</v>
      </c>
      <c r="K728" s="3" t="s">
        <v>189</v>
      </c>
      <c r="L728" s="3" t="n">
        <v>3</v>
      </c>
      <c r="M728" s="3" t="n">
        <v>12.7</v>
      </c>
      <c r="N728" s="3" t="s">
        <v>171</v>
      </c>
      <c r="O728" s="3"/>
      <c r="P728" s="10"/>
      <c r="Q728" s="3" t="n">
        <f aca="false">IF(F728="Disposable",1,0)</f>
        <v>0</v>
      </c>
      <c r="R728" s="3" t="n">
        <f aca="false">IF(SUMPRODUCT(--ISNUMBER(SEARCH('Spam Rules'!$A$22:$A$35,K728)))&gt;0,1,0)</f>
        <v>0</v>
      </c>
      <c r="S728" s="3" t="n">
        <f aca="false">IF(AND(F728="Free",G728=""),1,0)</f>
        <v>0</v>
      </c>
      <c r="T728" s="3" t="n">
        <f aca="false">IF(LEN(TRIM(K728))&lt;15,1,0)</f>
        <v>0</v>
      </c>
      <c r="U728" s="3" t="n">
        <f aca="false">IF(COUNTIF($E$2:$E$801,E728)&gt;1,1,0)</f>
        <v>0</v>
      </c>
      <c r="V728" s="3" t="n">
        <f aca="false">Q728*'Spam Rules'!$H$6+R728*'Spam Rules'!$H$7+S728*'Spam Rules'!$H$8+T728*'Spam Rules'!$H$9+U728*'Spam Rules'!$H$10</f>
        <v>0</v>
      </c>
      <c r="W728" s="3" t="str">
        <f aca="false">IF(V728&gt;='Spam Rules'!$B$3,"Likely Spam","Genuine")</f>
        <v>Genuine</v>
      </c>
      <c r="X728" s="3" t="n">
        <f aca="false">IFERROR(INDEX('Scoring Model'!$B$5:$B$11,MATCH(C728,'Scoring Model'!$A$5:$A$11,0)),0)</f>
        <v>15</v>
      </c>
      <c r="Y728" s="3" t="n">
        <f aca="false">IFERROR(INDEX('Scoring Model'!$E$5:$E$7,MATCH(F728,'Scoring Model'!$D$5:$D$7,0)),0)</f>
        <v>0</v>
      </c>
      <c r="Z728" s="3" t="n">
        <f aca="false">IFERROR(INDEX('Scoring Model'!$H$5:$H$13,MATCH(J728,'Scoring Model'!$G$5:$G$13,0)),0)</f>
        <v>15</v>
      </c>
      <c r="AA728" s="3" t="n">
        <f aca="false">IF(L728&gt;='Scoring Model'!$B$14,'Scoring Model'!$B$15,IF(L728&gt;='Scoring Model'!$B$16,'Scoring Model'!$B$17,0))</f>
        <v>0</v>
      </c>
      <c r="AB728" s="3" t="n">
        <f aca="false">IF(SUMPRODUCT(--ISNUMBER(SEARCH('Scoring Model'!$D$16:$D$25,K728)))&gt;0,'Scoring Model'!$B$18,0)</f>
        <v>15</v>
      </c>
      <c r="AC728" s="3" t="n">
        <f aca="false">IF(SUMPRODUCT(--ISNUMBER(SEARCH('Scoring Model'!$G$16:$G$23,K728)))&gt;0,'Scoring Model'!$B$19,0)</f>
        <v>0</v>
      </c>
      <c r="AD728" s="3" t="n">
        <f aca="false">IF(W728="Likely Spam","",SUM(X728:AC728))</f>
        <v>45</v>
      </c>
      <c r="AE728" s="3" t="str">
        <f aca="false">IF(W728="Likely Spam","Spam",IF(AD728&gt;='Scoring Model'!$B$21,"Hot",IF(AD728&gt;='Scoring Model'!$B$22,"Warm","Nurture")))</f>
        <v>Warm</v>
      </c>
      <c r="AF728" s="3" t="str">
        <f aca="false">IF(W728="Likely Spam","Flagged by spam rules",TRIM(IF(X728&gt;=20,"Strong source. ","")&amp;IF(Y728&gt;0,"Company email. ","")&amp;IF(Z728&gt;=15,"High-value product. ","")&amp;IF(AA728&gt;='Scoring Model'!$B$15,"High engagement. ","")&amp;IF(AB728&gt;0,"Buying intent in message. ","")&amp;IF(AC728&lt;0,"Negative intent in message. ","")))</f>
        <v>High-value product. Buying intent in message.</v>
      </c>
      <c r="AG728" s="11" t="n">
        <f aca="false">IF(W728="Likely Spam","",1/(1+EXP(-('Conversion Model'!$B$5+IFERROR(INDEX('Conversion Model'!$B$8:$B$14,MATCH(C728,'Conversion Model'!$A$8:$A$14,0)),0)+IFERROR(INDEX('Conversion Model'!$E$8:$E$9,MATCH(F728,'Conversion Model'!$D$8:$D$9,0)),0)+IFERROR(INDEX('Conversion Model'!$H$8:$H$12,MATCH(IF(LEFT(J728,8)="Payments","Payments",IF(LEFT(J728,7)="Lending","Lending",J728)),'Conversion Model'!$G$8:$G$12,0)),0)+MIN(L728,15)*'Conversion Model'!$B$17+IF(SUMPRODUCT(--ISNUMBER(SEARCH('Scoring Model'!$D$16:$D$25,K728)))&gt;0,'Conversion Model'!$B$18,0)+IF(SUMPRODUCT(--ISNUMBER(SEARCH('Scoring Model'!$G$16:$G$23,K728)))&gt;0,'Conversion Model'!$B$19,0)))))</f>
        <v>0.324317569447872</v>
      </c>
      <c r="AH728" s="3" t="str">
        <f aca="false">IF(OR(O728="Qualified",O728="Won",O728="Lost"),1,IF(O728="Unqualified",0,""))</f>
        <v/>
      </c>
    </row>
    <row r="729" customFormat="false" ht="15" hidden="false" customHeight="true" outlineLevel="0" collapsed="false">
      <c r="A729" s="3" t="s">
        <v>2401</v>
      </c>
      <c r="B729" s="9" t="n">
        <v>46264.6055555556</v>
      </c>
      <c r="C729" s="3" t="s">
        <v>112</v>
      </c>
      <c r="D729" s="3" t="s">
        <v>1350</v>
      </c>
      <c r="E729" s="3" t="s">
        <v>2402</v>
      </c>
      <c r="F729" s="3" t="s">
        <v>54</v>
      </c>
      <c r="G729" s="3" t="s">
        <v>1121</v>
      </c>
      <c r="H729" s="3"/>
      <c r="I729" s="3" t="s">
        <v>80</v>
      </c>
      <c r="J729" s="3" t="s">
        <v>122</v>
      </c>
      <c r="K729" s="3" t="s">
        <v>1083</v>
      </c>
      <c r="L729" s="3" t="n">
        <v>3</v>
      </c>
      <c r="M729" s="3" t="n">
        <v>5.7</v>
      </c>
      <c r="N729" s="3" t="s">
        <v>96</v>
      </c>
      <c r="O729" s="3" t="s">
        <v>133</v>
      </c>
      <c r="P729" s="10"/>
      <c r="Q729" s="3" t="n">
        <f aca="false">IF(F729="Disposable",1,0)</f>
        <v>0</v>
      </c>
      <c r="R729" s="3" t="n">
        <f aca="false">IF(SUMPRODUCT(--ISNUMBER(SEARCH('Spam Rules'!$A$22:$A$35,K729)))&gt;0,1,0)</f>
        <v>0</v>
      </c>
      <c r="S729" s="3" t="n">
        <f aca="false">IF(AND(F729="Free",G729=""),1,0)</f>
        <v>0</v>
      </c>
      <c r="T729" s="3" t="n">
        <f aca="false">IF(LEN(TRIM(K729))&lt;15,1,0)</f>
        <v>0</v>
      </c>
      <c r="U729" s="3" t="n">
        <f aca="false">IF(COUNTIF($E$2:$E$801,E729)&gt;1,1,0)</f>
        <v>0</v>
      </c>
      <c r="V729" s="3" t="n">
        <f aca="false">Q729*'Spam Rules'!$H$6+R729*'Spam Rules'!$H$7+S729*'Spam Rules'!$H$8+T729*'Spam Rules'!$H$9+U729*'Spam Rules'!$H$10</f>
        <v>0</v>
      </c>
      <c r="W729" s="3" t="str">
        <f aca="false">IF(V729&gt;='Spam Rules'!$B$3,"Likely Spam","Genuine")</f>
        <v>Genuine</v>
      </c>
      <c r="X729" s="3" t="n">
        <f aca="false">IFERROR(INDEX('Scoring Model'!$B$5:$B$11,MATCH(C729,'Scoring Model'!$A$5:$A$11,0)),0)</f>
        <v>15</v>
      </c>
      <c r="Y729" s="3" t="n">
        <f aca="false">IFERROR(INDEX('Scoring Model'!$E$5:$E$7,MATCH(F729,'Scoring Model'!$D$5:$D$7,0)),0)</f>
        <v>0</v>
      </c>
      <c r="Z729" s="3" t="n">
        <f aca="false">IFERROR(INDEX('Scoring Model'!$H$5:$H$13,MATCH(J729,'Scoring Model'!$G$5:$G$13,0)),0)</f>
        <v>15</v>
      </c>
      <c r="AA729" s="3" t="n">
        <f aca="false">IF(L729&gt;='Scoring Model'!$B$14,'Scoring Model'!$B$15,IF(L729&gt;='Scoring Model'!$B$16,'Scoring Model'!$B$17,0))</f>
        <v>0</v>
      </c>
      <c r="AB729" s="3" t="n">
        <f aca="false">IF(SUMPRODUCT(--ISNUMBER(SEARCH('Scoring Model'!$D$16:$D$25,K729)))&gt;0,'Scoring Model'!$B$18,0)</f>
        <v>15</v>
      </c>
      <c r="AC729" s="3" t="n">
        <f aca="false">IF(SUMPRODUCT(--ISNUMBER(SEARCH('Scoring Model'!$G$16:$G$23,K729)))&gt;0,'Scoring Model'!$B$19,0)</f>
        <v>0</v>
      </c>
      <c r="AD729" s="3" t="n">
        <f aca="false">IF(W729="Likely Spam","",SUM(X729:AC729))</f>
        <v>45</v>
      </c>
      <c r="AE729" s="3" t="str">
        <f aca="false">IF(W729="Likely Spam","Spam",IF(AD729&gt;='Scoring Model'!$B$21,"Hot",IF(AD729&gt;='Scoring Model'!$B$22,"Warm","Nurture")))</f>
        <v>Warm</v>
      </c>
      <c r="AF729" s="3" t="str">
        <f aca="false">IF(W729="Likely Spam","Flagged by spam rules",TRIM(IF(X729&gt;=20,"Strong source. ","")&amp;IF(Y729&gt;0,"Company email. ","")&amp;IF(Z729&gt;=15,"High-value product. ","")&amp;IF(AA729&gt;='Scoring Model'!$B$15,"High engagement. ","")&amp;IF(AB729&gt;0,"Buying intent in message. ","")&amp;IF(AC729&lt;0,"Negative intent in message. ","")))</f>
        <v>High-value product. Buying intent in message.</v>
      </c>
      <c r="AG729" s="11" t="n">
        <f aca="false">IF(W729="Likely Spam","",1/(1+EXP(-('Conversion Model'!$B$5+IFERROR(INDEX('Conversion Model'!$B$8:$B$14,MATCH(C729,'Conversion Model'!$A$8:$A$14,0)),0)+IFERROR(INDEX('Conversion Model'!$E$8:$E$9,MATCH(F729,'Conversion Model'!$D$8:$D$9,0)),0)+IFERROR(INDEX('Conversion Model'!$H$8:$H$12,MATCH(IF(LEFT(J729,8)="Payments","Payments",IF(LEFT(J729,7)="Lending","Lending",J729)),'Conversion Model'!$G$8:$G$12,0)),0)+MIN(L729,15)*'Conversion Model'!$B$17+IF(SUMPRODUCT(--ISNUMBER(SEARCH('Scoring Model'!$D$16:$D$25,K729)))&gt;0,'Conversion Model'!$B$18,0)+IF(SUMPRODUCT(--ISNUMBER(SEARCH('Scoring Model'!$G$16:$G$23,K729)))&gt;0,'Conversion Model'!$B$19,0)))))</f>
        <v>0.158557550348725</v>
      </c>
      <c r="AH729" s="3" t="str">
        <f aca="false">IF(OR(O729="Qualified",O729="Won",O729="Lost"),1,IF(O729="Unqualified",0,""))</f>
        <v/>
      </c>
    </row>
    <row r="730" customFormat="false" ht="15" hidden="false" customHeight="true" outlineLevel="0" collapsed="false">
      <c r="A730" s="3" t="s">
        <v>2403</v>
      </c>
      <c r="B730" s="9" t="n">
        <v>46265.9027777778</v>
      </c>
      <c r="C730" s="3" t="s">
        <v>91</v>
      </c>
      <c r="D730" s="3" t="s">
        <v>2404</v>
      </c>
      <c r="E730" s="3" t="s">
        <v>1762</v>
      </c>
      <c r="F730" s="3" t="s">
        <v>54</v>
      </c>
      <c r="G730" s="3"/>
      <c r="H730" s="3"/>
      <c r="I730" s="3" t="s">
        <v>260</v>
      </c>
      <c r="J730" s="3" t="s">
        <v>122</v>
      </c>
      <c r="K730" s="3" t="s">
        <v>239</v>
      </c>
      <c r="L730" s="3" t="n">
        <v>1</v>
      </c>
      <c r="M730" s="3"/>
      <c r="N730" s="3" t="s">
        <v>96</v>
      </c>
      <c r="O730" s="3" t="s">
        <v>68</v>
      </c>
      <c r="P730" s="10"/>
      <c r="Q730" s="3" t="n">
        <f aca="false">IF(F730="Disposable",1,0)</f>
        <v>0</v>
      </c>
      <c r="R730" s="3" t="n">
        <f aca="false">IF(SUMPRODUCT(--ISNUMBER(SEARCH('Spam Rules'!$A$22:$A$35,K730)))&gt;0,1,0)</f>
        <v>1</v>
      </c>
      <c r="S730" s="3" t="n">
        <f aca="false">IF(AND(F730="Free",G730=""),1,0)</f>
        <v>1</v>
      </c>
      <c r="T730" s="3" t="n">
        <f aca="false">IF(LEN(TRIM(K730))&lt;15,1,0)</f>
        <v>0</v>
      </c>
      <c r="U730" s="3" t="n">
        <f aca="false">IF(COUNTIF($E$2:$E$801,E730)&gt;1,1,0)</f>
        <v>1</v>
      </c>
      <c r="V730" s="3" t="n">
        <f aca="false">Q730*'Spam Rules'!$H$6+R730*'Spam Rules'!$H$7+S730*'Spam Rules'!$H$8+T730*'Spam Rules'!$H$9+U730*'Spam Rules'!$H$10</f>
        <v>1</v>
      </c>
      <c r="W730" s="3" t="str">
        <f aca="false">IF(V730&gt;='Spam Rules'!$B$3,"Likely Spam","Genuine")</f>
        <v>Likely Spam</v>
      </c>
      <c r="X730" s="3" t="n">
        <f aca="false">IFERROR(INDEX('Scoring Model'!$B$5:$B$11,MATCH(C730,'Scoring Model'!$A$5:$A$11,0)),0)</f>
        <v>5</v>
      </c>
      <c r="Y730" s="3" t="n">
        <f aca="false">IFERROR(INDEX('Scoring Model'!$E$5:$E$7,MATCH(F730,'Scoring Model'!$D$5:$D$7,0)),0)</f>
        <v>0</v>
      </c>
      <c r="Z730" s="3" t="n">
        <f aca="false">IFERROR(INDEX('Scoring Model'!$H$5:$H$13,MATCH(J730,'Scoring Model'!$G$5:$G$13,0)),0)</f>
        <v>15</v>
      </c>
      <c r="AA730" s="3" t="n">
        <f aca="false">IF(L730&gt;='Scoring Model'!$B$14,'Scoring Model'!$B$15,IF(L730&gt;='Scoring Model'!$B$16,'Scoring Model'!$B$17,0))</f>
        <v>0</v>
      </c>
      <c r="AB730" s="3" t="n">
        <f aca="false">IF(SUMPRODUCT(--ISNUMBER(SEARCH('Scoring Model'!$D$16:$D$25,K730)))&gt;0,'Scoring Model'!$B$18,0)</f>
        <v>0</v>
      </c>
      <c r="AC730" s="3" t="n">
        <f aca="false">IF(SUMPRODUCT(--ISNUMBER(SEARCH('Scoring Model'!$G$16:$G$23,K730)))&gt;0,'Scoring Model'!$B$19,0)</f>
        <v>0</v>
      </c>
      <c r="AD730" s="3" t="str">
        <f aca="false">IF(W730="Likely Spam","",SUM(X730:AC730))</f>
        <v/>
      </c>
      <c r="AE730" s="3" t="str">
        <f aca="false">IF(W730="Likely Spam","Spam",IF(AD730&gt;='Scoring Model'!$B$21,"Hot",IF(AD730&gt;='Scoring Model'!$B$22,"Warm","Nurture")))</f>
        <v>Spam</v>
      </c>
      <c r="AF730" s="3" t="str">
        <f aca="false">IF(W730="Likely Spam","Flagged by spam rules",TRIM(IF(X730&gt;=20,"Strong source. ","")&amp;IF(Y730&gt;0,"Company email. ","")&amp;IF(Z730&gt;=15,"High-value product. ","")&amp;IF(AA730&gt;='Scoring Model'!$B$15,"High engagement. ","")&amp;IF(AB730&gt;0,"Buying intent in message. ","")&amp;IF(AC730&lt;0,"Negative intent in message. ","")))</f>
        <v>Flagged by spam rules</v>
      </c>
      <c r="AG730" s="11" t="str">
        <f aca="false">IF(W730="Likely Spam","",1/(1+EXP(-('Conversion Model'!$B$5+IFERROR(INDEX('Conversion Model'!$B$8:$B$14,MATCH(C730,'Conversion Model'!$A$8:$A$14,0)),0)+IFERROR(INDEX('Conversion Model'!$E$8:$E$9,MATCH(F730,'Conversion Model'!$D$8:$D$9,0)),0)+IFERROR(INDEX('Conversion Model'!$H$8:$H$12,MATCH(IF(LEFT(J730,8)="Payments","Payments",IF(LEFT(J730,7)="Lending","Lending",J730)),'Conversion Model'!$G$8:$G$12,0)),0)+MIN(L730,15)*'Conversion Model'!$B$17+IF(SUMPRODUCT(--ISNUMBER(SEARCH('Scoring Model'!$D$16:$D$25,K730)))&gt;0,'Conversion Model'!$B$18,0)+IF(SUMPRODUCT(--ISNUMBER(SEARCH('Scoring Model'!$G$16:$G$23,K730)))&gt;0,'Conversion Model'!$B$19,0)))))</f>
        <v/>
      </c>
      <c r="AH730" s="3" t="str">
        <f aca="false">IF(OR(O730="Qualified",O730="Won",O730="Lost"),1,IF(O730="Unqualified",0,""))</f>
        <v/>
      </c>
    </row>
    <row r="731" customFormat="false" ht="15" hidden="false" customHeight="true" outlineLevel="0" collapsed="false">
      <c r="A731" s="3" t="s">
        <v>2405</v>
      </c>
      <c r="B731" s="9" t="n">
        <v>46266.4770833333</v>
      </c>
      <c r="C731" s="3" t="s">
        <v>91</v>
      </c>
      <c r="D731" s="3" t="s">
        <v>1133</v>
      </c>
      <c r="E731" s="3" t="s">
        <v>2406</v>
      </c>
      <c r="F731" s="3" t="s">
        <v>54</v>
      </c>
      <c r="G731" s="3" t="s">
        <v>237</v>
      </c>
      <c r="H731" s="3"/>
      <c r="I731" s="3" t="s">
        <v>73</v>
      </c>
      <c r="J731" s="3" t="s">
        <v>122</v>
      </c>
      <c r="K731" s="3" t="s">
        <v>239</v>
      </c>
      <c r="L731" s="3" t="n">
        <v>1</v>
      </c>
      <c r="M731" s="3" t="n">
        <v>26.7</v>
      </c>
      <c r="N731" s="3" t="s">
        <v>171</v>
      </c>
      <c r="O731" s="3"/>
      <c r="P731" s="10"/>
      <c r="Q731" s="3" t="n">
        <f aca="false">IF(F731="Disposable",1,0)</f>
        <v>0</v>
      </c>
      <c r="R731" s="3" t="n">
        <f aca="false">IF(SUMPRODUCT(--ISNUMBER(SEARCH('Spam Rules'!$A$22:$A$35,K731)))&gt;0,1,0)</f>
        <v>1</v>
      </c>
      <c r="S731" s="3" t="n">
        <f aca="false">IF(AND(F731="Free",G731=""),1,0)</f>
        <v>0</v>
      </c>
      <c r="T731" s="3" t="n">
        <f aca="false">IF(LEN(TRIM(K731))&lt;15,1,0)</f>
        <v>0</v>
      </c>
      <c r="U731" s="3" t="n">
        <f aca="false">IF(COUNTIF($E$2:$E$801,E731)&gt;1,1,0)</f>
        <v>0</v>
      </c>
      <c r="V731" s="3" t="n">
        <f aca="false">Q731*'Spam Rules'!$H$6+R731*'Spam Rules'!$H$7+S731*'Spam Rules'!$H$8+T731*'Spam Rules'!$H$9+U731*'Spam Rules'!$H$10</f>
        <v>1</v>
      </c>
      <c r="W731" s="3" t="str">
        <f aca="false">IF(V731&gt;='Spam Rules'!$B$3,"Likely Spam","Genuine")</f>
        <v>Likely Spam</v>
      </c>
      <c r="X731" s="3" t="n">
        <f aca="false">IFERROR(INDEX('Scoring Model'!$B$5:$B$11,MATCH(C731,'Scoring Model'!$A$5:$A$11,0)),0)</f>
        <v>5</v>
      </c>
      <c r="Y731" s="3" t="n">
        <f aca="false">IFERROR(INDEX('Scoring Model'!$E$5:$E$7,MATCH(F731,'Scoring Model'!$D$5:$D$7,0)),0)</f>
        <v>0</v>
      </c>
      <c r="Z731" s="3" t="n">
        <f aca="false">IFERROR(INDEX('Scoring Model'!$H$5:$H$13,MATCH(J731,'Scoring Model'!$G$5:$G$13,0)),0)</f>
        <v>15</v>
      </c>
      <c r="AA731" s="3" t="n">
        <f aca="false">IF(L731&gt;='Scoring Model'!$B$14,'Scoring Model'!$B$15,IF(L731&gt;='Scoring Model'!$B$16,'Scoring Model'!$B$17,0))</f>
        <v>0</v>
      </c>
      <c r="AB731" s="3" t="n">
        <f aca="false">IF(SUMPRODUCT(--ISNUMBER(SEARCH('Scoring Model'!$D$16:$D$25,K731)))&gt;0,'Scoring Model'!$B$18,0)</f>
        <v>0</v>
      </c>
      <c r="AC731" s="3" t="n">
        <f aca="false">IF(SUMPRODUCT(--ISNUMBER(SEARCH('Scoring Model'!$G$16:$G$23,K731)))&gt;0,'Scoring Model'!$B$19,0)</f>
        <v>0</v>
      </c>
      <c r="AD731" s="3" t="str">
        <f aca="false">IF(W731="Likely Spam","",SUM(X731:AC731))</f>
        <v/>
      </c>
      <c r="AE731" s="3" t="str">
        <f aca="false">IF(W731="Likely Spam","Spam",IF(AD731&gt;='Scoring Model'!$B$21,"Hot",IF(AD731&gt;='Scoring Model'!$B$22,"Warm","Nurture")))</f>
        <v>Spam</v>
      </c>
      <c r="AF731" s="3" t="str">
        <f aca="false">IF(W731="Likely Spam","Flagged by spam rules",TRIM(IF(X731&gt;=20,"Strong source. ","")&amp;IF(Y731&gt;0,"Company email. ","")&amp;IF(Z731&gt;=15,"High-value product. ","")&amp;IF(AA731&gt;='Scoring Model'!$B$15,"High engagement. ","")&amp;IF(AB731&gt;0,"Buying intent in message. ","")&amp;IF(AC731&lt;0,"Negative intent in message. ","")))</f>
        <v>Flagged by spam rules</v>
      </c>
      <c r="AG731" s="11" t="str">
        <f aca="false">IF(W731="Likely Spam","",1/(1+EXP(-('Conversion Model'!$B$5+IFERROR(INDEX('Conversion Model'!$B$8:$B$14,MATCH(C731,'Conversion Model'!$A$8:$A$14,0)),0)+IFERROR(INDEX('Conversion Model'!$E$8:$E$9,MATCH(F731,'Conversion Model'!$D$8:$D$9,0)),0)+IFERROR(INDEX('Conversion Model'!$H$8:$H$12,MATCH(IF(LEFT(J731,8)="Payments","Payments",IF(LEFT(J731,7)="Lending","Lending",J731)),'Conversion Model'!$G$8:$G$12,0)),0)+MIN(L731,15)*'Conversion Model'!$B$17+IF(SUMPRODUCT(--ISNUMBER(SEARCH('Scoring Model'!$D$16:$D$25,K731)))&gt;0,'Conversion Model'!$B$18,0)+IF(SUMPRODUCT(--ISNUMBER(SEARCH('Scoring Model'!$G$16:$G$23,K731)))&gt;0,'Conversion Model'!$B$19,0)))))</f>
        <v/>
      </c>
      <c r="AH731" s="3" t="str">
        <f aca="false">IF(OR(O731="Qualified",O731="Won",O731="Lost"),1,IF(O731="Unqualified",0,""))</f>
        <v/>
      </c>
    </row>
    <row r="732" customFormat="false" ht="15" hidden="false" customHeight="true" outlineLevel="0" collapsed="false">
      <c r="A732" s="3" t="s">
        <v>2407</v>
      </c>
      <c r="B732" s="9" t="n">
        <v>46266.7388888889</v>
      </c>
      <c r="C732" s="3" t="s">
        <v>135</v>
      </c>
      <c r="D732" s="3" t="s">
        <v>98</v>
      </c>
      <c r="E732" s="3" t="s">
        <v>2408</v>
      </c>
      <c r="F732" s="3" t="s">
        <v>54</v>
      </c>
      <c r="G732" s="3"/>
      <c r="H732" s="3"/>
      <c r="I732" s="3" t="s">
        <v>139</v>
      </c>
      <c r="J732" s="3" t="s">
        <v>81</v>
      </c>
      <c r="K732" s="3" t="s">
        <v>349</v>
      </c>
      <c r="L732" s="3" t="n">
        <v>4</v>
      </c>
      <c r="M732" s="3" t="n">
        <v>4.8</v>
      </c>
      <c r="N732" s="3" t="s">
        <v>171</v>
      </c>
      <c r="O732" s="3" t="s">
        <v>194</v>
      </c>
      <c r="P732" s="10"/>
      <c r="Q732" s="3" t="n">
        <f aca="false">IF(F732="Disposable",1,0)</f>
        <v>0</v>
      </c>
      <c r="R732" s="3" t="n">
        <f aca="false">IF(SUMPRODUCT(--ISNUMBER(SEARCH('Spam Rules'!$A$22:$A$35,K732)))&gt;0,1,0)</f>
        <v>0</v>
      </c>
      <c r="S732" s="3" t="n">
        <f aca="false">IF(AND(F732="Free",G732=""),1,0)</f>
        <v>1</v>
      </c>
      <c r="T732" s="3" t="n">
        <f aca="false">IF(LEN(TRIM(K732))&lt;15,1,0)</f>
        <v>0</v>
      </c>
      <c r="U732" s="3" t="n">
        <f aca="false">IF(COUNTIF($E$2:$E$801,E732)&gt;1,1,0)</f>
        <v>0</v>
      </c>
      <c r="V732" s="3" t="n">
        <f aca="false">Q732*'Spam Rules'!$H$6+R732*'Spam Rules'!$H$7+S732*'Spam Rules'!$H$8+T732*'Spam Rules'!$H$9+U732*'Spam Rules'!$H$10</f>
        <v>0</v>
      </c>
      <c r="W732" s="3" t="str">
        <f aca="false">IF(V732&gt;='Spam Rules'!$B$3,"Likely Spam","Genuine")</f>
        <v>Genuine</v>
      </c>
      <c r="X732" s="3" t="n">
        <f aca="false">IFERROR(INDEX('Scoring Model'!$B$5:$B$11,MATCH(C732,'Scoring Model'!$A$5:$A$11,0)),0)</f>
        <v>20</v>
      </c>
      <c r="Y732" s="3" t="n">
        <f aca="false">IFERROR(INDEX('Scoring Model'!$E$5:$E$7,MATCH(F732,'Scoring Model'!$D$5:$D$7,0)),0)</f>
        <v>0</v>
      </c>
      <c r="Z732" s="3" t="n">
        <f aca="false">IFERROR(INDEX('Scoring Model'!$H$5:$H$13,MATCH(J732,'Scoring Model'!$G$5:$G$13,0)),0)</f>
        <v>5</v>
      </c>
      <c r="AA732" s="3" t="n">
        <f aca="false">IF(L732&gt;='Scoring Model'!$B$14,'Scoring Model'!$B$15,IF(L732&gt;='Scoring Model'!$B$16,'Scoring Model'!$B$17,0))</f>
        <v>8</v>
      </c>
      <c r="AB732" s="3" t="n">
        <f aca="false">IF(SUMPRODUCT(--ISNUMBER(SEARCH('Scoring Model'!$D$16:$D$25,K732)))&gt;0,'Scoring Model'!$B$18,0)</f>
        <v>0</v>
      </c>
      <c r="AC732" s="3" t="n">
        <f aca="false">IF(SUMPRODUCT(--ISNUMBER(SEARCH('Scoring Model'!$G$16:$G$23,K732)))&gt;0,'Scoring Model'!$B$19,0)</f>
        <v>-30</v>
      </c>
      <c r="AD732" s="3" t="n">
        <f aca="false">IF(W732="Likely Spam","",SUM(X732:AC732))</f>
        <v>3</v>
      </c>
      <c r="AE732" s="3" t="str">
        <f aca="false">IF(W732="Likely Spam","Spam",IF(AD732&gt;='Scoring Model'!$B$21,"Hot",IF(AD732&gt;='Scoring Model'!$B$22,"Warm","Nurture")))</f>
        <v>Nurture</v>
      </c>
      <c r="AF732" s="3" t="str">
        <f aca="false">IF(W732="Likely Spam","Flagged by spam rules",TRIM(IF(X732&gt;=20,"Strong source. ","")&amp;IF(Y732&gt;0,"Company email. ","")&amp;IF(Z732&gt;=15,"High-value product. ","")&amp;IF(AA732&gt;='Scoring Model'!$B$15,"High engagement. ","")&amp;IF(AB732&gt;0,"Buying intent in message. ","")&amp;IF(AC732&lt;0,"Negative intent in message. ","")))</f>
        <v>Strong source. Negative intent in message.</v>
      </c>
      <c r="AG732" s="11" t="n">
        <f aca="false">IF(W732="Likely Spam","",1/(1+EXP(-('Conversion Model'!$B$5+IFERROR(INDEX('Conversion Model'!$B$8:$B$14,MATCH(C732,'Conversion Model'!$A$8:$A$14,0)),0)+IFERROR(INDEX('Conversion Model'!$E$8:$E$9,MATCH(F732,'Conversion Model'!$D$8:$D$9,0)),0)+IFERROR(INDEX('Conversion Model'!$H$8:$H$12,MATCH(IF(LEFT(J732,8)="Payments","Payments",IF(LEFT(J732,7)="Lending","Lending",J732)),'Conversion Model'!$G$8:$G$12,0)),0)+MIN(L732,15)*'Conversion Model'!$B$17+IF(SUMPRODUCT(--ISNUMBER(SEARCH('Scoring Model'!$D$16:$D$25,K732)))&gt;0,'Conversion Model'!$B$18,0)+IF(SUMPRODUCT(--ISNUMBER(SEARCH('Scoring Model'!$G$16:$G$23,K732)))&gt;0,'Conversion Model'!$B$19,0)))))</f>
        <v>0.0195123969014177</v>
      </c>
      <c r="AH732" s="3" t="n">
        <f aca="false">IF(OR(O732="Qualified",O732="Won",O732="Lost"),1,IF(O732="Unqualified",0,""))</f>
        <v>0</v>
      </c>
    </row>
    <row r="733" customFormat="false" ht="15" hidden="false" customHeight="true" outlineLevel="0" collapsed="false">
      <c r="A733" s="3" t="s">
        <v>2409</v>
      </c>
      <c r="B733" s="9" t="n">
        <v>46267.2333333333</v>
      </c>
      <c r="C733" s="3" t="s">
        <v>76</v>
      </c>
      <c r="D733" s="3" t="s">
        <v>1286</v>
      </c>
      <c r="E733" s="3" t="s">
        <v>2410</v>
      </c>
      <c r="F733" s="3" t="s">
        <v>54</v>
      </c>
      <c r="G733" s="3" t="s">
        <v>79</v>
      </c>
      <c r="H733" s="3"/>
      <c r="I733" s="3" t="s">
        <v>94</v>
      </c>
      <c r="J733" s="3" t="s">
        <v>65</v>
      </c>
      <c r="K733" s="3" t="s">
        <v>363</v>
      </c>
      <c r="L733" s="3" t="n">
        <v>2</v>
      </c>
      <c r="M733" s="3" t="n">
        <v>23.4</v>
      </c>
      <c r="N733" s="3" t="s">
        <v>96</v>
      </c>
      <c r="O733" s="3" t="s">
        <v>68</v>
      </c>
      <c r="P733" s="10"/>
      <c r="Q733" s="3" t="n">
        <f aca="false">IF(F733="Disposable",1,0)</f>
        <v>0</v>
      </c>
      <c r="R733" s="3" t="n">
        <f aca="false">IF(SUMPRODUCT(--ISNUMBER(SEARCH('Spam Rules'!$A$22:$A$35,K733)))&gt;0,1,0)</f>
        <v>1</v>
      </c>
      <c r="S733" s="3" t="n">
        <f aca="false">IF(AND(F733="Free",G733=""),1,0)</f>
        <v>0</v>
      </c>
      <c r="T733" s="3" t="n">
        <f aca="false">IF(LEN(TRIM(K733))&lt;15,1,0)</f>
        <v>0</v>
      </c>
      <c r="U733" s="3" t="n">
        <f aca="false">IF(COUNTIF($E$2:$E$801,E733)&gt;1,1,0)</f>
        <v>1</v>
      </c>
      <c r="V733" s="3" t="n">
        <f aca="false">Q733*'Spam Rules'!$H$6+R733*'Spam Rules'!$H$7+S733*'Spam Rules'!$H$8+T733*'Spam Rules'!$H$9+U733*'Spam Rules'!$H$10</f>
        <v>1</v>
      </c>
      <c r="W733" s="3" t="str">
        <f aca="false">IF(V733&gt;='Spam Rules'!$B$3,"Likely Spam","Genuine")</f>
        <v>Likely Spam</v>
      </c>
      <c r="X733" s="3" t="n">
        <f aca="false">IFERROR(INDEX('Scoring Model'!$B$5:$B$11,MATCH(C733,'Scoring Model'!$A$5:$A$11,0)),0)</f>
        <v>0</v>
      </c>
      <c r="Y733" s="3" t="n">
        <f aca="false">IFERROR(INDEX('Scoring Model'!$E$5:$E$7,MATCH(F733,'Scoring Model'!$D$5:$D$7,0)),0)</f>
        <v>0</v>
      </c>
      <c r="Z733" s="3" t="n">
        <f aca="false">IFERROR(INDEX('Scoring Model'!$H$5:$H$13,MATCH(J733,'Scoring Model'!$G$5:$G$13,0)),0)</f>
        <v>0</v>
      </c>
      <c r="AA733" s="3" t="n">
        <f aca="false">IF(L733&gt;='Scoring Model'!$B$14,'Scoring Model'!$B$15,IF(L733&gt;='Scoring Model'!$B$16,'Scoring Model'!$B$17,0))</f>
        <v>0</v>
      </c>
      <c r="AB733" s="3" t="n">
        <f aca="false">IF(SUMPRODUCT(--ISNUMBER(SEARCH('Scoring Model'!$D$16:$D$25,K733)))&gt;0,'Scoring Model'!$B$18,0)</f>
        <v>0</v>
      </c>
      <c r="AC733" s="3" t="n">
        <f aca="false">IF(SUMPRODUCT(--ISNUMBER(SEARCH('Scoring Model'!$G$16:$G$23,K733)))&gt;0,'Scoring Model'!$B$19,0)</f>
        <v>0</v>
      </c>
      <c r="AD733" s="3" t="str">
        <f aca="false">IF(W733="Likely Spam","",SUM(X733:AC733))</f>
        <v/>
      </c>
      <c r="AE733" s="3" t="str">
        <f aca="false">IF(W733="Likely Spam","Spam",IF(AD733&gt;='Scoring Model'!$B$21,"Hot",IF(AD733&gt;='Scoring Model'!$B$22,"Warm","Nurture")))</f>
        <v>Spam</v>
      </c>
      <c r="AF733" s="3" t="str">
        <f aca="false">IF(W733="Likely Spam","Flagged by spam rules",TRIM(IF(X733&gt;=20,"Strong source. ","")&amp;IF(Y733&gt;0,"Company email. ","")&amp;IF(Z733&gt;=15,"High-value product. ","")&amp;IF(AA733&gt;='Scoring Model'!$B$15,"High engagement. ","")&amp;IF(AB733&gt;0,"Buying intent in message. ","")&amp;IF(AC733&lt;0,"Negative intent in message. ","")))</f>
        <v>Flagged by spam rules</v>
      </c>
      <c r="AG733" s="11" t="str">
        <f aca="false">IF(W733="Likely Spam","",1/(1+EXP(-('Conversion Model'!$B$5+IFERROR(INDEX('Conversion Model'!$B$8:$B$14,MATCH(C733,'Conversion Model'!$A$8:$A$14,0)),0)+IFERROR(INDEX('Conversion Model'!$E$8:$E$9,MATCH(F733,'Conversion Model'!$D$8:$D$9,0)),0)+IFERROR(INDEX('Conversion Model'!$H$8:$H$12,MATCH(IF(LEFT(J733,8)="Payments","Payments",IF(LEFT(J733,7)="Lending","Lending",J733)),'Conversion Model'!$G$8:$G$12,0)),0)+MIN(L733,15)*'Conversion Model'!$B$17+IF(SUMPRODUCT(--ISNUMBER(SEARCH('Scoring Model'!$D$16:$D$25,K733)))&gt;0,'Conversion Model'!$B$18,0)+IF(SUMPRODUCT(--ISNUMBER(SEARCH('Scoring Model'!$G$16:$G$23,K733)))&gt;0,'Conversion Model'!$B$19,0)))))</f>
        <v/>
      </c>
      <c r="AH733" s="3" t="str">
        <f aca="false">IF(OR(O733="Qualified",O733="Won",O733="Lost"),1,IF(O733="Unqualified",0,""))</f>
        <v/>
      </c>
    </row>
    <row r="734" customFormat="false" ht="15" hidden="false" customHeight="true" outlineLevel="0" collapsed="false">
      <c r="A734" s="3" t="s">
        <v>2411</v>
      </c>
      <c r="B734" s="9" t="n">
        <v>46267.5895833333</v>
      </c>
      <c r="C734" s="3" t="s">
        <v>91</v>
      </c>
      <c r="D734" s="3" t="s">
        <v>215</v>
      </c>
      <c r="E734" s="3" t="s">
        <v>2412</v>
      </c>
      <c r="F734" s="3" t="s">
        <v>54</v>
      </c>
      <c r="G734" s="3" t="s">
        <v>1603</v>
      </c>
      <c r="H734" s="3"/>
      <c r="I734" s="3" t="s">
        <v>56</v>
      </c>
      <c r="J734" s="3" t="s">
        <v>108</v>
      </c>
      <c r="K734" s="3" t="s">
        <v>2413</v>
      </c>
      <c r="L734" s="3" t="n">
        <v>1</v>
      </c>
      <c r="M734" s="3" t="n">
        <v>12.6</v>
      </c>
      <c r="N734" s="3" t="s">
        <v>96</v>
      </c>
      <c r="O734" s="3"/>
      <c r="P734" s="10"/>
      <c r="Q734" s="3" t="n">
        <f aca="false">IF(F734="Disposable",1,0)</f>
        <v>0</v>
      </c>
      <c r="R734" s="3" t="n">
        <f aca="false">IF(SUMPRODUCT(--ISNUMBER(SEARCH('Spam Rules'!$A$22:$A$35,K734)))&gt;0,1,0)</f>
        <v>0</v>
      </c>
      <c r="S734" s="3" t="n">
        <f aca="false">IF(AND(F734="Free",G734=""),1,0)</f>
        <v>0</v>
      </c>
      <c r="T734" s="3" t="n">
        <f aca="false">IF(LEN(TRIM(K734))&lt;15,1,0)</f>
        <v>0</v>
      </c>
      <c r="U734" s="3" t="n">
        <f aca="false">IF(COUNTIF($E$2:$E$801,E734)&gt;1,1,0)</f>
        <v>0</v>
      </c>
      <c r="V734" s="3" t="n">
        <f aca="false">Q734*'Spam Rules'!$H$6+R734*'Spam Rules'!$H$7+S734*'Spam Rules'!$H$8+T734*'Spam Rules'!$H$9+U734*'Spam Rules'!$H$10</f>
        <v>0</v>
      </c>
      <c r="W734" s="3" t="str">
        <f aca="false">IF(V734&gt;='Spam Rules'!$B$3,"Likely Spam","Genuine")</f>
        <v>Genuine</v>
      </c>
      <c r="X734" s="3" t="n">
        <f aca="false">IFERROR(INDEX('Scoring Model'!$B$5:$B$11,MATCH(C734,'Scoring Model'!$A$5:$A$11,0)),0)</f>
        <v>5</v>
      </c>
      <c r="Y734" s="3" t="n">
        <f aca="false">IFERROR(INDEX('Scoring Model'!$E$5:$E$7,MATCH(F734,'Scoring Model'!$D$5:$D$7,0)),0)</f>
        <v>0</v>
      </c>
      <c r="Z734" s="3" t="n">
        <f aca="false">IFERROR(INDEX('Scoring Model'!$H$5:$H$13,MATCH(J734,'Scoring Model'!$G$5:$G$13,0)),0)</f>
        <v>15</v>
      </c>
      <c r="AA734" s="3" t="n">
        <f aca="false">IF(L734&gt;='Scoring Model'!$B$14,'Scoring Model'!$B$15,IF(L734&gt;='Scoring Model'!$B$16,'Scoring Model'!$B$17,0))</f>
        <v>0</v>
      </c>
      <c r="AB734" s="3" t="n">
        <f aca="false">IF(SUMPRODUCT(--ISNUMBER(SEARCH('Scoring Model'!$D$16:$D$25,K734)))&gt;0,'Scoring Model'!$B$18,0)</f>
        <v>15</v>
      </c>
      <c r="AC734" s="3" t="n">
        <f aca="false">IF(SUMPRODUCT(--ISNUMBER(SEARCH('Scoring Model'!$G$16:$G$23,K734)))&gt;0,'Scoring Model'!$B$19,0)</f>
        <v>0</v>
      </c>
      <c r="AD734" s="3" t="n">
        <f aca="false">IF(W734="Likely Spam","",SUM(X734:AC734))</f>
        <v>35</v>
      </c>
      <c r="AE734" s="3" t="str">
        <f aca="false">IF(W734="Likely Spam","Spam",IF(AD734&gt;='Scoring Model'!$B$21,"Hot",IF(AD734&gt;='Scoring Model'!$B$22,"Warm","Nurture")))</f>
        <v>Nurture</v>
      </c>
      <c r="AF734" s="3" t="str">
        <f aca="false">IF(W734="Likely Spam","Flagged by spam rules",TRIM(IF(X734&gt;=20,"Strong source. ","")&amp;IF(Y734&gt;0,"Company email. ","")&amp;IF(Z734&gt;=15,"High-value product. ","")&amp;IF(AA734&gt;='Scoring Model'!$B$15,"High engagement. ","")&amp;IF(AB734&gt;0,"Buying intent in message. ","")&amp;IF(AC734&lt;0,"Negative intent in message. ","")))</f>
        <v>High-value product. Buying intent in message.</v>
      </c>
      <c r="AG734" s="11" t="n">
        <f aca="false">IF(W734="Likely Spam","",1/(1+EXP(-('Conversion Model'!$B$5+IFERROR(INDEX('Conversion Model'!$B$8:$B$14,MATCH(C734,'Conversion Model'!$A$8:$A$14,0)),0)+IFERROR(INDEX('Conversion Model'!$E$8:$E$9,MATCH(F734,'Conversion Model'!$D$8:$D$9,0)),0)+IFERROR(INDEX('Conversion Model'!$H$8:$H$12,MATCH(IF(LEFT(J734,8)="Payments","Payments",IF(LEFT(J734,7)="Lending","Lending",J734)),'Conversion Model'!$G$8:$G$12,0)),0)+MIN(L734,15)*'Conversion Model'!$B$17+IF(SUMPRODUCT(--ISNUMBER(SEARCH('Scoring Model'!$D$16:$D$25,K734)))&gt;0,'Conversion Model'!$B$18,0)+IF(SUMPRODUCT(--ISNUMBER(SEARCH('Scoring Model'!$G$16:$G$23,K734)))&gt;0,'Conversion Model'!$B$19,0)))))</f>
        <v>0.0261858827883713</v>
      </c>
      <c r="AH734" s="3" t="str">
        <f aca="false">IF(OR(O734="Qualified",O734="Won",O734="Lost"),1,IF(O734="Unqualified",0,""))</f>
        <v/>
      </c>
    </row>
    <row r="735" customFormat="false" ht="15" hidden="false" customHeight="true" outlineLevel="0" collapsed="false">
      <c r="A735" s="3" t="s">
        <v>2414</v>
      </c>
      <c r="B735" s="9" t="n">
        <v>46267.75625</v>
      </c>
      <c r="C735" s="3" t="s">
        <v>51</v>
      </c>
      <c r="D735" s="3" t="s">
        <v>2415</v>
      </c>
      <c r="E735" s="3" t="s">
        <v>2410</v>
      </c>
      <c r="F735" s="3" t="s">
        <v>22</v>
      </c>
      <c r="G735" s="3" t="s">
        <v>487</v>
      </c>
      <c r="H735" s="3" t="s">
        <v>488</v>
      </c>
      <c r="I735" s="3" t="s">
        <v>204</v>
      </c>
      <c r="J735" s="3" t="s">
        <v>122</v>
      </c>
      <c r="K735" s="3" t="s">
        <v>66</v>
      </c>
      <c r="L735" s="3" t="n">
        <v>2</v>
      </c>
      <c r="M735" s="3" t="n">
        <v>7.1</v>
      </c>
      <c r="N735" s="3" t="s">
        <v>96</v>
      </c>
      <c r="O735" s="3"/>
      <c r="P735" s="10"/>
      <c r="Q735" s="3" t="n">
        <f aca="false">IF(F735="Disposable",1,0)</f>
        <v>0</v>
      </c>
      <c r="R735" s="3" t="n">
        <f aca="false">IF(SUMPRODUCT(--ISNUMBER(SEARCH('Spam Rules'!$A$22:$A$35,K735)))&gt;0,1,0)</f>
        <v>1</v>
      </c>
      <c r="S735" s="3" t="n">
        <f aca="false">IF(AND(F735="Free",G735=""),1,0)</f>
        <v>0</v>
      </c>
      <c r="T735" s="3" t="n">
        <f aca="false">IF(LEN(TRIM(K735))&lt;15,1,0)</f>
        <v>0</v>
      </c>
      <c r="U735" s="3" t="n">
        <f aca="false">IF(COUNTIF($E$2:$E$801,E735)&gt;1,1,0)</f>
        <v>1</v>
      </c>
      <c r="V735" s="3" t="n">
        <f aca="false">Q735*'Spam Rules'!$H$6+R735*'Spam Rules'!$H$7+S735*'Spam Rules'!$H$8+T735*'Spam Rules'!$H$9+U735*'Spam Rules'!$H$10</f>
        <v>1</v>
      </c>
      <c r="W735" s="3" t="str">
        <f aca="false">IF(V735&gt;='Spam Rules'!$B$3,"Likely Spam","Genuine")</f>
        <v>Likely Spam</v>
      </c>
      <c r="X735" s="3" t="n">
        <f aca="false">IFERROR(INDEX('Scoring Model'!$B$5:$B$11,MATCH(C735,'Scoring Model'!$A$5:$A$11,0)),0)</f>
        <v>10</v>
      </c>
      <c r="Y735" s="3" t="n">
        <f aca="false">IFERROR(INDEX('Scoring Model'!$E$5:$E$7,MATCH(F735,'Scoring Model'!$D$5:$D$7,0)),0)</f>
        <v>20</v>
      </c>
      <c r="Z735" s="3" t="n">
        <f aca="false">IFERROR(INDEX('Scoring Model'!$H$5:$H$13,MATCH(J735,'Scoring Model'!$G$5:$G$13,0)),0)</f>
        <v>15</v>
      </c>
      <c r="AA735" s="3" t="n">
        <f aca="false">IF(L735&gt;='Scoring Model'!$B$14,'Scoring Model'!$B$15,IF(L735&gt;='Scoring Model'!$B$16,'Scoring Model'!$B$17,0))</f>
        <v>0</v>
      </c>
      <c r="AB735" s="3" t="n">
        <f aca="false">IF(SUMPRODUCT(--ISNUMBER(SEARCH('Scoring Model'!$D$16:$D$25,K735)))&gt;0,'Scoring Model'!$B$18,0)</f>
        <v>0</v>
      </c>
      <c r="AC735" s="3" t="n">
        <f aca="false">IF(SUMPRODUCT(--ISNUMBER(SEARCH('Scoring Model'!$G$16:$G$23,K735)))&gt;0,'Scoring Model'!$B$19,0)</f>
        <v>0</v>
      </c>
      <c r="AD735" s="3" t="str">
        <f aca="false">IF(W735="Likely Spam","",SUM(X735:AC735))</f>
        <v/>
      </c>
      <c r="AE735" s="3" t="str">
        <f aca="false">IF(W735="Likely Spam","Spam",IF(AD735&gt;='Scoring Model'!$B$21,"Hot",IF(AD735&gt;='Scoring Model'!$B$22,"Warm","Nurture")))</f>
        <v>Spam</v>
      </c>
      <c r="AF735" s="3" t="str">
        <f aca="false">IF(W735="Likely Spam","Flagged by spam rules",TRIM(IF(X735&gt;=20,"Strong source. ","")&amp;IF(Y735&gt;0,"Company email. ","")&amp;IF(Z735&gt;=15,"High-value product. ","")&amp;IF(AA735&gt;='Scoring Model'!$B$15,"High engagement. ","")&amp;IF(AB735&gt;0,"Buying intent in message. ","")&amp;IF(AC735&lt;0,"Negative intent in message. ","")))</f>
        <v>Flagged by spam rules</v>
      </c>
      <c r="AG735" s="11" t="str">
        <f aca="false">IF(W735="Likely Spam","",1/(1+EXP(-('Conversion Model'!$B$5+IFERROR(INDEX('Conversion Model'!$B$8:$B$14,MATCH(C735,'Conversion Model'!$A$8:$A$14,0)),0)+IFERROR(INDEX('Conversion Model'!$E$8:$E$9,MATCH(F735,'Conversion Model'!$D$8:$D$9,0)),0)+IFERROR(INDEX('Conversion Model'!$H$8:$H$12,MATCH(IF(LEFT(J735,8)="Payments","Payments",IF(LEFT(J735,7)="Lending","Lending",J735)),'Conversion Model'!$G$8:$G$12,0)),0)+MIN(L735,15)*'Conversion Model'!$B$17+IF(SUMPRODUCT(--ISNUMBER(SEARCH('Scoring Model'!$D$16:$D$25,K735)))&gt;0,'Conversion Model'!$B$18,0)+IF(SUMPRODUCT(--ISNUMBER(SEARCH('Scoring Model'!$G$16:$G$23,K735)))&gt;0,'Conversion Model'!$B$19,0)))))</f>
        <v/>
      </c>
      <c r="AH735" s="3" t="str">
        <f aca="false">IF(OR(O735="Qualified",O735="Won",O735="Lost"),1,IF(O735="Unqualified",0,""))</f>
        <v/>
      </c>
    </row>
    <row r="736" customFormat="false" ht="15" hidden="false" customHeight="true" outlineLevel="0" collapsed="false">
      <c r="A736" s="3" t="s">
        <v>2416</v>
      </c>
      <c r="B736" s="9" t="n">
        <v>46268.2291666667</v>
      </c>
      <c r="C736" s="3" t="s">
        <v>51</v>
      </c>
      <c r="D736" s="3" t="s">
        <v>2417</v>
      </c>
      <c r="E736" s="3" t="s">
        <v>2418</v>
      </c>
      <c r="F736" s="3" t="s">
        <v>22</v>
      </c>
      <c r="G736" s="3" t="s">
        <v>86</v>
      </c>
      <c r="H736" s="3" t="s">
        <v>87</v>
      </c>
      <c r="I736" s="3" t="s">
        <v>188</v>
      </c>
      <c r="J736" s="3" t="s">
        <v>81</v>
      </c>
      <c r="K736" s="3" t="s">
        <v>322</v>
      </c>
      <c r="L736" s="3" t="n">
        <v>1</v>
      </c>
      <c r="M736" s="3" t="n">
        <v>80.2</v>
      </c>
      <c r="N736" s="3" t="s">
        <v>67</v>
      </c>
      <c r="O736" s="3" t="s">
        <v>68</v>
      </c>
      <c r="P736" s="10"/>
      <c r="Q736" s="3" t="n">
        <f aca="false">IF(F736="Disposable",1,0)</f>
        <v>0</v>
      </c>
      <c r="R736" s="3" t="n">
        <f aca="false">IF(SUMPRODUCT(--ISNUMBER(SEARCH('Spam Rules'!$A$22:$A$35,K736)))&gt;0,1,0)</f>
        <v>0</v>
      </c>
      <c r="S736" s="3" t="n">
        <f aca="false">IF(AND(F736="Free",G736=""),1,0)</f>
        <v>0</v>
      </c>
      <c r="T736" s="3" t="n">
        <f aca="false">IF(LEN(TRIM(K736))&lt;15,1,0)</f>
        <v>1</v>
      </c>
      <c r="U736" s="3" t="n">
        <f aca="false">IF(COUNTIF($E$2:$E$801,E736)&gt;1,1,0)</f>
        <v>0</v>
      </c>
      <c r="V736" s="3" t="n">
        <f aca="false">Q736*'Spam Rules'!$H$6+R736*'Spam Rules'!$H$7+S736*'Spam Rules'!$H$8+T736*'Spam Rules'!$H$9+U736*'Spam Rules'!$H$10</f>
        <v>1</v>
      </c>
      <c r="W736" s="3" t="str">
        <f aca="false">IF(V736&gt;='Spam Rules'!$B$3,"Likely Spam","Genuine")</f>
        <v>Likely Spam</v>
      </c>
      <c r="X736" s="3" t="n">
        <f aca="false">IFERROR(INDEX('Scoring Model'!$B$5:$B$11,MATCH(C736,'Scoring Model'!$A$5:$A$11,0)),0)</f>
        <v>10</v>
      </c>
      <c r="Y736" s="3" t="n">
        <f aca="false">IFERROR(INDEX('Scoring Model'!$E$5:$E$7,MATCH(F736,'Scoring Model'!$D$5:$D$7,0)),0)</f>
        <v>20</v>
      </c>
      <c r="Z736" s="3" t="n">
        <f aca="false">IFERROR(INDEX('Scoring Model'!$H$5:$H$13,MATCH(J736,'Scoring Model'!$G$5:$G$13,0)),0)</f>
        <v>5</v>
      </c>
      <c r="AA736" s="3" t="n">
        <f aca="false">IF(L736&gt;='Scoring Model'!$B$14,'Scoring Model'!$B$15,IF(L736&gt;='Scoring Model'!$B$16,'Scoring Model'!$B$17,0))</f>
        <v>0</v>
      </c>
      <c r="AB736" s="3" t="n">
        <f aca="false">IF(SUMPRODUCT(--ISNUMBER(SEARCH('Scoring Model'!$D$16:$D$25,K736)))&gt;0,'Scoring Model'!$B$18,0)</f>
        <v>0</v>
      </c>
      <c r="AC736" s="3" t="n">
        <f aca="false">IF(SUMPRODUCT(--ISNUMBER(SEARCH('Scoring Model'!$G$16:$G$23,K736)))&gt;0,'Scoring Model'!$B$19,0)</f>
        <v>0</v>
      </c>
      <c r="AD736" s="3" t="str">
        <f aca="false">IF(W736="Likely Spam","",SUM(X736:AC736))</f>
        <v/>
      </c>
      <c r="AE736" s="3" t="str">
        <f aca="false">IF(W736="Likely Spam","Spam",IF(AD736&gt;='Scoring Model'!$B$21,"Hot",IF(AD736&gt;='Scoring Model'!$B$22,"Warm","Nurture")))</f>
        <v>Spam</v>
      </c>
      <c r="AF736" s="3" t="str">
        <f aca="false">IF(W736="Likely Spam","Flagged by spam rules",TRIM(IF(X736&gt;=20,"Strong source. ","")&amp;IF(Y736&gt;0,"Company email. ","")&amp;IF(Z736&gt;=15,"High-value product. ","")&amp;IF(AA736&gt;='Scoring Model'!$B$15,"High engagement. ","")&amp;IF(AB736&gt;0,"Buying intent in message. ","")&amp;IF(AC736&lt;0,"Negative intent in message. ","")))</f>
        <v>Flagged by spam rules</v>
      </c>
      <c r="AG736" s="11" t="str">
        <f aca="false">IF(W736="Likely Spam","",1/(1+EXP(-('Conversion Model'!$B$5+IFERROR(INDEX('Conversion Model'!$B$8:$B$14,MATCH(C736,'Conversion Model'!$A$8:$A$14,0)),0)+IFERROR(INDEX('Conversion Model'!$E$8:$E$9,MATCH(F736,'Conversion Model'!$D$8:$D$9,0)),0)+IFERROR(INDEX('Conversion Model'!$H$8:$H$12,MATCH(IF(LEFT(J736,8)="Payments","Payments",IF(LEFT(J736,7)="Lending","Lending",J736)),'Conversion Model'!$G$8:$G$12,0)),0)+MIN(L736,15)*'Conversion Model'!$B$17+IF(SUMPRODUCT(--ISNUMBER(SEARCH('Scoring Model'!$D$16:$D$25,K736)))&gt;0,'Conversion Model'!$B$18,0)+IF(SUMPRODUCT(--ISNUMBER(SEARCH('Scoring Model'!$G$16:$G$23,K736)))&gt;0,'Conversion Model'!$B$19,0)))))</f>
        <v/>
      </c>
      <c r="AH736" s="3" t="str">
        <f aca="false">IF(OR(O736="Qualified",O736="Won",O736="Lost"),1,IF(O736="Unqualified",0,""))</f>
        <v/>
      </c>
    </row>
    <row r="737" customFormat="false" ht="15" hidden="false" customHeight="true" outlineLevel="0" collapsed="false">
      <c r="A737" s="3" t="s">
        <v>2419</v>
      </c>
      <c r="B737" s="9" t="n">
        <v>46268.3354166667</v>
      </c>
      <c r="C737" s="3" t="s">
        <v>51</v>
      </c>
      <c r="D737" s="3" t="s">
        <v>1333</v>
      </c>
      <c r="E737" s="3" t="s">
        <v>708</v>
      </c>
      <c r="F737" s="3" t="s">
        <v>22</v>
      </c>
      <c r="G737" s="3" t="s">
        <v>86</v>
      </c>
      <c r="H737" s="3" t="s">
        <v>87</v>
      </c>
      <c r="I737" s="3" t="s">
        <v>73</v>
      </c>
      <c r="J737" s="3" t="s">
        <v>65</v>
      </c>
      <c r="K737" s="3" t="s">
        <v>66</v>
      </c>
      <c r="L737" s="3" t="n">
        <v>2</v>
      </c>
      <c r="M737" s="3" t="n">
        <v>29.5</v>
      </c>
      <c r="N737" s="3" t="s">
        <v>171</v>
      </c>
      <c r="O737" s="3"/>
      <c r="P737" s="10"/>
      <c r="Q737" s="3" t="n">
        <f aca="false">IF(F737="Disposable",1,0)</f>
        <v>0</v>
      </c>
      <c r="R737" s="3" t="n">
        <f aca="false">IF(SUMPRODUCT(--ISNUMBER(SEARCH('Spam Rules'!$A$22:$A$35,K737)))&gt;0,1,0)</f>
        <v>1</v>
      </c>
      <c r="S737" s="3" t="n">
        <f aca="false">IF(AND(F737="Free",G737=""),1,0)</f>
        <v>0</v>
      </c>
      <c r="T737" s="3" t="n">
        <f aca="false">IF(LEN(TRIM(K737))&lt;15,1,0)</f>
        <v>0</v>
      </c>
      <c r="U737" s="3" t="n">
        <f aca="false">IF(COUNTIF($E$2:$E$801,E737)&gt;1,1,0)</f>
        <v>1</v>
      </c>
      <c r="V737" s="3" t="n">
        <f aca="false">Q737*'Spam Rules'!$H$6+R737*'Spam Rules'!$H$7+S737*'Spam Rules'!$H$8+T737*'Spam Rules'!$H$9+U737*'Spam Rules'!$H$10</f>
        <v>1</v>
      </c>
      <c r="W737" s="3" t="str">
        <f aca="false">IF(V737&gt;='Spam Rules'!$B$3,"Likely Spam","Genuine")</f>
        <v>Likely Spam</v>
      </c>
      <c r="X737" s="3" t="n">
        <f aca="false">IFERROR(INDEX('Scoring Model'!$B$5:$B$11,MATCH(C737,'Scoring Model'!$A$5:$A$11,0)),0)</f>
        <v>10</v>
      </c>
      <c r="Y737" s="3" t="n">
        <f aca="false">IFERROR(INDEX('Scoring Model'!$E$5:$E$7,MATCH(F737,'Scoring Model'!$D$5:$D$7,0)),0)</f>
        <v>20</v>
      </c>
      <c r="Z737" s="3" t="n">
        <f aca="false">IFERROR(INDEX('Scoring Model'!$H$5:$H$13,MATCH(J737,'Scoring Model'!$G$5:$G$13,0)),0)</f>
        <v>0</v>
      </c>
      <c r="AA737" s="3" t="n">
        <f aca="false">IF(L737&gt;='Scoring Model'!$B$14,'Scoring Model'!$B$15,IF(L737&gt;='Scoring Model'!$B$16,'Scoring Model'!$B$17,0))</f>
        <v>0</v>
      </c>
      <c r="AB737" s="3" t="n">
        <f aca="false">IF(SUMPRODUCT(--ISNUMBER(SEARCH('Scoring Model'!$D$16:$D$25,K737)))&gt;0,'Scoring Model'!$B$18,0)</f>
        <v>0</v>
      </c>
      <c r="AC737" s="3" t="n">
        <f aca="false">IF(SUMPRODUCT(--ISNUMBER(SEARCH('Scoring Model'!$G$16:$G$23,K737)))&gt;0,'Scoring Model'!$B$19,0)</f>
        <v>0</v>
      </c>
      <c r="AD737" s="3" t="str">
        <f aca="false">IF(W737="Likely Spam","",SUM(X737:AC737))</f>
        <v/>
      </c>
      <c r="AE737" s="3" t="str">
        <f aca="false">IF(W737="Likely Spam","Spam",IF(AD737&gt;='Scoring Model'!$B$21,"Hot",IF(AD737&gt;='Scoring Model'!$B$22,"Warm","Nurture")))</f>
        <v>Spam</v>
      </c>
      <c r="AF737" s="3" t="str">
        <f aca="false">IF(W737="Likely Spam","Flagged by spam rules",TRIM(IF(X737&gt;=20,"Strong source. ","")&amp;IF(Y737&gt;0,"Company email. ","")&amp;IF(Z737&gt;=15,"High-value product. ","")&amp;IF(AA737&gt;='Scoring Model'!$B$15,"High engagement. ","")&amp;IF(AB737&gt;0,"Buying intent in message. ","")&amp;IF(AC737&lt;0,"Negative intent in message. ","")))</f>
        <v>Flagged by spam rules</v>
      </c>
      <c r="AG737" s="11" t="str">
        <f aca="false">IF(W737="Likely Spam","",1/(1+EXP(-('Conversion Model'!$B$5+IFERROR(INDEX('Conversion Model'!$B$8:$B$14,MATCH(C737,'Conversion Model'!$A$8:$A$14,0)),0)+IFERROR(INDEX('Conversion Model'!$E$8:$E$9,MATCH(F737,'Conversion Model'!$D$8:$D$9,0)),0)+IFERROR(INDEX('Conversion Model'!$H$8:$H$12,MATCH(IF(LEFT(J737,8)="Payments","Payments",IF(LEFT(J737,7)="Lending","Lending",J737)),'Conversion Model'!$G$8:$G$12,0)),0)+MIN(L737,15)*'Conversion Model'!$B$17+IF(SUMPRODUCT(--ISNUMBER(SEARCH('Scoring Model'!$D$16:$D$25,K737)))&gt;0,'Conversion Model'!$B$18,0)+IF(SUMPRODUCT(--ISNUMBER(SEARCH('Scoring Model'!$G$16:$G$23,K737)))&gt;0,'Conversion Model'!$B$19,0)))))</f>
        <v/>
      </c>
      <c r="AH737" s="3" t="str">
        <f aca="false">IF(OR(O737="Qualified",O737="Won",O737="Lost"),1,IF(O737="Unqualified",0,""))</f>
        <v/>
      </c>
    </row>
    <row r="738" customFormat="false" ht="15" hidden="false" customHeight="true" outlineLevel="0" collapsed="false">
      <c r="A738" s="3" t="s">
        <v>2420</v>
      </c>
      <c r="B738" s="9" t="n">
        <v>46268.5131944444</v>
      </c>
      <c r="C738" s="3" t="s">
        <v>160</v>
      </c>
      <c r="D738" s="3" t="s">
        <v>1138</v>
      </c>
      <c r="E738" s="3" t="s">
        <v>2421</v>
      </c>
      <c r="F738" s="3" t="s">
        <v>22</v>
      </c>
      <c r="G738" s="3" t="s">
        <v>1862</v>
      </c>
      <c r="H738" s="3" t="s">
        <v>1863</v>
      </c>
      <c r="I738" s="3" t="s">
        <v>73</v>
      </c>
      <c r="J738" s="3" t="s">
        <v>81</v>
      </c>
      <c r="K738" s="3" t="s">
        <v>1533</v>
      </c>
      <c r="L738" s="3" t="n">
        <v>6</v>
      </c>
      <c r="M738" s="3" t="n">
        <v>15</v>
      </c>
      <c r="N738" s="3" t="s">
        <v>67</v>
      </c>
      <c r="O738" s="3" t="s">
        <v>194</v>
      </c>
      <c r="P738" s="10"/>
      <c r="Q738" s="3" t="n">
        <f aca="false">IF(F738="Disposable",1,0)</f>
        <v>0</v>
      </c>
      <c r="R738" s="3" t="n">
        <f aca="false">IF(SUMPRODUCT(--ISNUMBER(SEARCH('Spam Rules'!$A$22:$A$35,K738)))&gt;0,1,0)</f>
        <v>0</v>
      </c>
      <c r="S738" s="3" t="n">
        <f aca="false">IF(AND(F738="Free",G738=""),1,0)</f>
        <v>0</v>
      </c>
      <c r="T738" s="3" t="n">
        <f aca="false">IF(LEN(TRIM(K738))&lt;15,1,0)</f>
        <v>0</v>
      </c>
      <c r="U738" s="3" t="n">
        <f aca="false">IF(COUNTIF($E$2:$E$801,E738)&gt;1,1,0)</f>
        <v>0</v>
      </c>
      <c r="V738" s="3" t="n">
        <f aca="false">Q738*'Spam Rules'!$H$6+R738*'Spam Rules'!$H$7+S738*'Spam Rules'!$H$8+T738*'Spam Rules'!$H$9+U738*'Spam Rules'!$H$10</f>
        <v>0</v>
      </c>
      <c r="W738" s="3" t="str">
        <f aca="false">IF(V738&gt;='Spam Rules'!$B$3,"Likely Spam","Genuine")</f>
        <v>Genuine</v>
      </c>
      <c r="X738" s="3" t="n">
        <f aca="false">IFERROR(INDEX('Scoring Model'!$B$5:$B$11,MATCH(C738,'Scoring Model'!$A$5:$A$11,0)),0)</f>
        <v>25</v>
      </c>
      <c r="Y738" s="3" t="n">
        <f aca="false">IFERROR(INDEX('Scoring Model'!$E$5:$E$7,MATCH(F738,'Scoring Model'!$D$5:$D$7,0)),0)</f>
        <v>20</v>
      </c>
      <c r="Z738" s="3" t="n">
        <f aca="false">IFERROR(INDEX('Scoring Model'!$H$5:$H$13,MATCH(J738,'Scoring Model'!$G$5:$G$13,0)),0)</f>
        <v>5</v>
      </c>
      <c r="AA738" s="3" t="n">
        <f aca="false">IF(L738&gt;='Scoring Model'!$B$14,'Scoring Model'!$B$15,IF(L738&gt;='Scoring Model'!$B$16,'Scoring Model'!$B$17,0))</f>
        <v>8</v>
      </c>
      <c r="AB738" s="3" t="n">
        <f aca="false">IF(SUMPRODUCT(--ISNUMBER(SEARCH('Scoring Model'!$D$16:$D$25,K738)))&gt;0,'Scoring Model'!$B$18,0)</f>
        <v>15</v>
      </c>
      <c r="AC738" s="3" t="n">
        <f aca="false">IF(SUMPRODUCT(--ISNUMBER(SEARCH('Scoring Model'!$G$16:$G$23,K738)))&gt;0,'Scoring Model'!$B$19,0)</f>
        <v>0</v>
      </c>
      <c r="AD738" s="3" t="n">
        <f aca="false">IF(W738="Likely Spam","",SUM(X738:AC738))</f>
        <v>73</v>
      </c>
      <c r="AE738" s="3" t="str">
        <f aca="false">IF(W738="Likely Spam","Spam",IF(AD738&gt;='Scoring Model'!$B$21,"Hot",IF(AD738&gt;='Scoring Model'!$B$22,"Warm","Nurture")))</f>
        <v>Hot</v>
      </c>
      <c r="AF738" s="3" t="str">
        <f aca="false">IF(W738="Likely Spam","Flagged by spam rules",TRIM(IF(X738&gt;=20,"Strong source. ","")&amp;IF(Y738&gt;0,"Company email. ","")&amp;IF(Z738&gt;=15,"High-value product. ","")&amp;IF(AA738&gt;='Scoring Model'!$B$15,"High engagement. ","")&amp;IF(AB738&gt;0,"Buying intent in message. ","")&amp;IF(AC738&lt;0,"Negative intent in message. ","")))</f>
        <v>Strong source. Company email. Buying intent in message.</v>
      </c>
      <c r="AG738" s="11" t="n">
        <f aca="false">IF(W738="Likely Spam","",1/(1+EXP(-('Conversion Model'!$B$5+IFERROR(INDEX('Conversion Model'!$B$8:$B$14,MATCH(C738,'Conversion Model'!$A$8:$A$14,0)),0)+IFERROR(INDEX('Conversion Model'!$E$8:$E$9,MATCH(F738,'Conversion Model'!$D$8:$D$9,0)),0)+IFERROR(INDEX('Conversion Model'!$H$8:$H$12,MATCH(IF(LEFT(J738,8)="Payments","Payments",IF(LEFT(J738,7)="Lending","Lending",J738)),'Conversion Model'!$G$8:$G$12,0)),0)+MIN(L738,15)*'Conversion Model'!$B$17+IF(SUMPRODUCT(--ISNUMBER(SEARCH('Scoring Model'!$D$16:$D$25,K738)))&gt;0,'Conversion Model'!$B$18,0)+IF(SUMPRODUCT(--ISNUMBER(SEARCH('Scoring Model'!$G$16:$G$23,K738)))&gt;0,'Conversion Model'!$B$19,0)))))</f>
        <v>0.84787104431298</v>
      </c>
      <c r="AH738" s="3" t="n">
        <f aca="false">IF(OR(O738="Qualified",O738="Won",O738="Lost"),1,IF(O738="Unqualified",0,""))</f>
        <v>0</v>
      </c>
    </row>
    <row r="739" customFormat="false" ht="15" hidden="false" customHeight="true" outlineLevel="0" collapsed="false">
      <c r="A739" s="3" t="s">
        <v>2422</v>
      </c>
      <c r="B739" s="9" t="n">
        <v>46268.5611111111</v>
      </c>
      <c r="C739" s="3" t="s">
        <v>51</v>
      </c>
      <c r="D739" s="3" t="s">
        <v>1329</v>
      </c>
      <c r="E739" s="3" t="s">
        <v>1526</v>
      </c>
      <c r="F739" s="3" t="s">
        <v>63</v>
      </c>
      <c r="G739" s="3"/>
      <c r="H739" s="3"/>
      <c r="I739" s="3" t="s">
        <v>204</v>
      </c>
      <c r="J739" s="3" t="s">
        <v>81</v>
      </c>
      <c r="K739" s="3" t="s">
        <v>126</v>
      </c>
      <c r="L739" s="3" t="n">
        <v>2</v>
      </c>
      <c r="M739" s="3"/>
      <c r="N739" s="3" t="s">
        <v>96</v>
      </c>
      <c r="O739" s="3" t="s">
        <v>68</v>
      </c>
      <c r="P739" s="10"/>
      <c r="Q739" s="3" t="n">
        <f aca="false">IF(F739="Disposable",1,0)</f>
        <v>1</v>
      </c>
      <c r="R739" s="3" t="n">
        <f aca="false">IF(SUMPRODUCT(--ISNUMBER(SEARCH('Spam Rules'!$A$22:$A$35,K739)))&gt;0,1,0)</f>
        <v>0</v>
      </c>
      <c r="S739" s="3" t="n">
        <f aca="false">IF(AND(F739="Free",G739=""),1,0)</f>
        <v>0</v>
      </c>
      <c r="T739" s="3" t="n">
        <f aca="false">IF(LEN(TRIM(K739))&lt;15,1,0)</f>
        <v>1</v>
      </c>
      <c r="U739" s="3" t="n">
        <f aca="false">IF(COUNTIF($E$2:$E$801,E739)&gt;1,1,0)</f>
        <v>1</v>
      </c>
      <c r="V739" s="3" t="n">
        <f aca="false">Q739*'Spam Rules'!$H$6+R739*'Spam Rules'!$H$7+S739*'Spam Rules'!$H$8+T739*'Spam Rules'!$H$9+U739*'Spam Rules'!$H$10</f>
        <v>2</v>
      </c>
      <c r="W739" s="3" t="str">
        <f aca="false">IF(V739&gt;='Spam Rules'!$B$3,"Likely Spam","Genuine")</f>
        <v>Likely Spam</v>
      </c>
      <c r="X739" s="3" t="n">
        <f aca="false">IFERROR(INDEX('Scoring Model'!$B$5:$B$11,MATCH(C739,'Scoring Model'!$A$5:$A$11,0)),0)</f>
        <v>10</v>
      </c>
      <c r="Y739" s="3" t="n">
        <f aca="false">IFERROR(INDEX('Scoring Model'!$E$5:$E$7,MATCH(F739,'Scoring Model'!$D$5:$D$7,0)),0)</f>
        <v>0</v>
      </c>
      <c r="Z739" s="3" t="n">
        <f aca="false">IFERROR(INDEX('Scoring Model'!$H$5:$H$13,MATCH(J739,'Scoring Model'!$G$5:$G$13,0)),0)</f>
        <v>5</v>
      </c>
      <c r="AA739" s="3" t="n">
        <f aca="false">IF(L739&gt;='Scoring Model'!$B$14,'Scoring Model'!$B$15,IF(L739&gt;='Scoring Model'!$B$16,'Scoring Model'!$B$17,0))</f>
        <v>0</v>
      </c>
      <c r="AB739" s="3" t="n">
        <f aca="false">IF(SUMPRODUCT(--ISNUMBER(SEARCH('Scoring Model'!$D$16:$D$25,K739)))&gt;0,'Scoring Model'!$B$18,0)</f>
        <v>0</v>
      </c>
      <c r="AC739" s="3" t="n">
        <f aca="false">IF(SUMPRODUCT(--ISNUMBER(SEARCH('Scoring Model'!$G$16:$G$23,K739)))&gt;0,'Scoring Model'!$B$19,0)</f>
        <v>0</v>
      </c>
      <c r="AD739" s="3" t="str">
        <f aca="false">IF(W739="Likely Spam","",SUM(X739:AC739))</f>
        <v/>
      </c>
      <c r="AE739" s="3" t="str">
        <f aca="false">IF(W739="Likely Spam","Spam",IF(AD739&gt;='Scoring Model'!$B$21,"Hot",IF(AD739&gt;='Scoring Model'!$B$22,"Warm","Nurture")))</f>
        <v>Spam</v>
      </c>
      <c r="AF739" s="3" t="str">
        <f aca="false">IF(W739="Likely Spam","Flagged by spam rules",TRIM(IF(X739&gt;=20,"Strong source. ","")&amp;IF(Y739&gt;0,"Company email. ","")&amp;IF(Z739&gt;=15,"High-value product. ","")&amp;IF(AA739&gt;='Scoring Model'!$B$15,"High engagement. ","")&amp;IF(AB739&gt;0,"Buying intent in message. ","")&amp;IF(AC739&lt;0,"Negative intent in message. ","")))</f>
        <v>Flagged by spam rules</v>
      </c>
      <c r="AG739" s="11" t="str">
        <f aca="false">IF(W739="Likely Spam","",1/(1+EXP(-('Conversion Model'!$B$5+IFERROR(INDEX('Conversion Model'!$B$8:$B$14,MATCH(C739,'Conversion Model'!$A$8:$A$14,0)),0)+IFERROR(INDEX('Conversion Model'!$E$8:$E$9,MATCH(F739,'Conversion Model'!$D$8:$D$9,0)),0)+IFERROR(INDEX('Conversion Model'!$H$8:$H$12,MATCH(IF(LEFT(J739,8)="Payments","Payments",IF(LEFT(J739,7)="Lending","Lending",J739)),'Conversion Model'!$G$8:$G$12,0)),0)+MIN(L739,15)*'Conversion Model'!$B$17+IF(SUMPRODUCT(--ISNUMBER(SEARCH('Scoring Model'!$D$16:$D$25,K739)))&gt;0,'Conversion Model'!$B$18,0)+IF(SUMPRODUCT(--ISNUMBER(SEARCH('Scoring Model'!$G$16:$G$23,K739)))&gt;0,'Conversion Model'!$B$19,0)))))</f>
        <v/>
      </c>
      <c r="AH739" s="3" t="str">
        <f aca="false">IF(OR(O739="Qualified",O739="Won",O739="Lost"),1,IF(O739="Unqualified",0,""))</f>
        <v/>
      </c>
    </row>
    <row r="740" customFormat="false" ht="15" hidden="false" customHeight="true" outlineLevel="0" collapsed="false">
      <c r="A740" s="3" t="s">
        <v>2423</v>
      </c>
      <c r="B740" s="9" t="n">
        <v>46268.6048611111</v>
      </c>
      <c r="C740" s="3" t="s">
        <v>135</v>
      </c>
      <c r="D740" s="3" t="s">
        <v>1831</v>
      </c>
      <c r="E740" s="3" t="s">
        <v>2424</v>
      </c>
      <c r="F740" s="3" t="s">
        <v>54</v>
      </c>
      <c r="G740" s="3"/>
      <c r="H740" s="3"/>
      <c r="I740" s="3" t="s">
        <v>139</v>
      </c>
      <c r="J740" s="3" t="s">
        <v>81</v>
      </c>
      <c r="K740" s="3" t="s">
        <v>101</v>
      </c>
      <c r="L740" s="3" t="n">
        <v>2</v>
      </c>
      <c r="M740" s="3" t="n">
        <v>22.2</v>
      </c>
      <c r="N740" s="3" t="s">
        <v>171</v>
      </c>
      <c r="O740" s="3" t="s">
        <v>194</v>
      </c>
      <c r="P740" s="10"/>
      <c r="Q740" s="3" t="n">
        <f aca="false">IF(F740="Disposable",1,0)</f>
        <v>0</v>
      </c>
      <c r="R740" s="3" t="n">
        <f aca="false">IF(SUMPRODUCT(--ISNUMBER(SEARCH('Spam Rules'!$A$22:$A$35,K740)))&gt;0,1,0)</f>
        <v>0</v>
      </c>
      <c r="S740" s="3" t="n">
        <f aca="false">IF(AND(F740="Free",G740=""),1,0)</f>
        <v>1</v>
      </c>
      <c r="T740" s="3" t="n">
        <f aca="false">IF(LEN(TRIM(K740))&lt;15,1,0)</f>
        <v>0</v>
      </c>
      <c r="U740" s="3" t="n">
        <f aca="false">IF(COUNTIF($E$2:$E$801,E740)&gt;1,1,0)</f>
        <v>0</v>
      </c>
      <c r="V740" s="3" t="n">
        <f aca="false">Q740*'Spam Rules'!$H$6+R740*'Spam Rules'!$H$7+S740*'Spam Rules'!$H$8+T740*'Spam Rules'!$H$9+U740*'Spam Rules'!$H$10</f>
        <v>0</v>
      </c>
      <c r="W740" s="3" t="str">
        <f aca="false">IF(V740&gt;='Spam Rules'!$B$3,"Likely Spam","Genuine")</f>
        <v>Genuine</v>
      </c>
      <c r="X740" s="3" t="n">
        <f aca="false">IFERROR(INDEX('Scoring Model'!$B$5:$B$11,MATCH(C740,'Scoring Model'!$A$5:$A$11,0)),0)</f>
        <v>20</v>
      </c>
      <c r="Y740" s="3" t="n">
        <f aca="false">IFERROR(INDEX('Scoring Model'!$E$5:$E$7,MATCH(F740,'Scoring Model'!$D$5:$D$7,0)),0)</f>
        <v>0</v>
      </c>
      <c r="Z740" s="3" t="n">
        <f aca="false">IFERROR(INDEX('Scoring Model'!$H$5:$H$13,MATCH(J740,'Scoring Model'!$G$5:$G$13,0)),0)</f>
        <v>5</v>
      </c>
      <c r="AA740" s="3" t="n">
        <f aca="false">IF(L740&gt;='Scoring Model'!$B$14,'Scoring Model'!$B$15,IF(L740&gt;='Scoring Model'!$B$16,'Scoring Model'!$B$17,0))</f>
        <v>0</v>
      </c>
      <c r="AB740" s="3" t="n">
        <f aca="false">IF(SUMPRODUCT(--ISNUMBER(SEARCH('Scoring Model'!$D$16:$D$25,K740)))&gt;0,'Scoring Model'!$B$18,0)</f>
        <v>0</v>
      </c>
      <c r="AC740" s="3" t="n">
        <f aca="false">IF(SUMPRODUCT(--ISNUMBER(SEARCH('Scoring Model'!$G$16:$G$23,K740)))&gt;0,'Scoring Model'!$B$19,0)</f>
        <v>-30</v>
      </c>
      <c r="AD740" s="3" t="n">
        <f aca="false">IF(W740="Likely Spam","",SUM(X740:AC740))</f>
        <v>-5</v>
      </c>
      <c r="AE740" s="3" t="str">
        <f aca="false">IF(W740="Likely Spam","Spam",IF(AD740&gt;='Scoring Model'!$B$21,"Hot",IF(AD740&gt;='Scoring Model'!$B$22,"Warm","Nurture")))</f>
        <v>Nurture</v>
      </c>
      <c r="AF740" s="3" t="str">
        <f aca="false">IF(W740="Likely Spam","Flagged by spam rules",TRIM(IF(X740&gt;=20,"Strong source. ","")&amp;IF(Y740&gt;0,"Company email. ","")&amp;IF(Z740&gt;=15,"High-value product. ","")&amp;IF(AA740&gt;='Scoring Model'!$B$15,"High engagement. ","")&amp;IF(AB740&gt;0,"Buying intent in message. ","")&amp;IF(AC740&lt;0,"Negative intent in message. ","")))</f>
        <v>Strong source. Negative intent in message.</v>
      </c>
      <c r="AG740" s="11" t="n">
        <f aca="false">IF(W740="Likely Spam","",1/(1+EXP(-('Conversion Model'!$B$5+IFERROR(INDEX('Conversion Model'!$B$8:$B$14,MATCH(C740,'Conversion Model'!$A$8:$A$14,0)),0)+IFERROR(INDEX('Conversion Model'!$E$8:$E$9,MATCH(F740,'Conversion Model'!$D$8:$D$9,0)),0)+IFERROR(INDEX('Conversion Model'!$H$8:$H$12,MATCH(IF(LEFT(J740,8)="Payments","Payments",IF(LEFT(J740,7)="Lending","Lending",J740)),'Conversion Model'!$G$8:$G$12,0)),0)+MIN(L740,15)*'Conversion Model'!$B$17+IF(SUMPRODUCT(--ISNUMBER(SEARCH('Scoring Model'!$D$16:$D$25,K740)))&gt;0,'Conversion Model'!$B$18,0)+IF(SUMPRODUCT(--ISNUMBER(SEARCH('Scoring Model'!$G$16:$G$23,K740)))&gt;0,'Conversion Model'!$B$19,0)))))</f>
        <v>0.00398589317334019</v>
      </c>
      <c r="AH740" s="3" t="n">
        <f aca="false">IF(OR(O740="Qualified",O740="Won",O740="Lost"),1,IF(O740="Unqualified",0,""))</f>
        <v>0</v>
      </c>
    </row>
    <row r="741" customFormat="false" ht="15" hidden="false" customHeight="true" outlineLevel="0" collapsed="false">
      <c r="A741" s="3" t="s">
        <v>2425</v>
      </c>
      <c r="B741" s="9" t="n">
        <v>46268.6145833333</v>
      </c>
      <c r="C741" s="3" t="s">
        <v>91</v>
      </c>
      <c r="D741" s="3" t="s">
        <v>779</v>
      </c>
      <c r="E741" s="3" t="s">
        <v>2426</v>
      </c>
      <c r="F741" s="3" t="s">
        <v>22</v>
      </c>
      <c r="G741" s="3" t="s">
        <v>1363</v>
      </c>
      <c r="H741" s="3" t="s">
        <v>1364</v>
      </c>
      <c r="I741" s="3" t="s">
        <v>188</v>
      </c>
      <c r="J741" s="3" t="s">
        <v>81</v>
      </c>
      <c r="K741" s="3" t="s">
        <v>58</v>
      </c>
      <c r="L741" s="3" t="n">
        <v>1</v>
      </c>
      <c r="M741" s="3" t="n">
        <v>18.9</v>
      </c>
      <c r="N741" s="3" t="s">
        <v>59</v>
      </c>
      <c r="O741" s="3" t="s">
        <v>133</v>
      </c>
      <c r="P741" s="10"/>
      <c r="Q741" s="3" t="n">
        <f aca="false">IF(F741="Disposable",1,0)</f>
        <v>0</v>
      </c>
      <c r="R741" s="3" t="n">
        <f aca="false">IF(SUMPRODUCT(--ISNUMBER(SEARCH('Spam Rules'!$A$22:$A$35,K741)))&gt;0,1,0)</f>
        <v>0</v>
      </c>
      <c r="S741" s="3" t="n">
        <f aca="false">IF(AND(F741="Free",G741=""),1,0)</f>
        <v>0</v>
      </c>
      <c r="T741" s="3" t="n">
        <f aca="false">IF(LEN(TRIM(K741))&lt;15,1,0)</f>
        <v>0</v>
      </c>
      <c r="U741" s="3" t="n">
        <f aca="false">IF(COUNTIF($E$2:$E$801,E741)&gt;1,1,0)</f>
        <v>0</v>
      </c>
      <c r="V741" s="3" t="n">
        <f aca="false">Q741*'Spam Rules'!$H$6+R741*'Spam Rules'!$H$7+S741*'Spam Rules'!$H$8+T741*'Spam Rules'!$H$9+U741*'Spam Rules'!$H$10</f>
        <v>0</v>
      </c>
      <c r="W741" s="3" t="str">
        <f aca="false">IF(V741&gt;='Spam Rules'!$B$3,"Likely Spam","Genuine")</f>
        <v>Genuine</v>
      </c>
      <c r="X741" s="3" t="n">
        <f aca="false">IFERROR(INDEX('Scoring Model'!$B$5:$B$11,MATCH(C741,'Scoring Model'!$A$5:$A$11,0)),0)</f>
        <v>5</v>
      </c>
      <c r="Y741" s="3" t="n">
        <f aca="false">IFERROR(INDEX('Scoring Model'!$E$5:$E$7,MATCH(F741,'Scoring Model'!$D$5:$D$7,0)),0)</f>
        <v>20</v>
      </c>
      <c r="Z741" s="3" t="n">
        <f aca="false">IFERROR(INDEX('Scoring Model'!$H$5:$H$13,MATCH(J741,'Scoring Model'!$G$5:$G$13,0)),0)</f>
        <v>5</v>
      </c>
      <c r="AA741" s="3" t="n">
        <f aca="false">IF(L741&gt;='Scoring Model'!$B$14,'Scoring Model'!$B$15,IF(L741&gt;='Scoring Model'!$B$16,'Scoring Model'!$B$17,0))</f>
        <v>0</v>
      </c>
      <c r="AB741" s="3" t="n">
        <f aca="false">IF(SUMPRODUCT(--ISNUMBER(SEARCH('Scoring Model'!$D$16:$D$25,K741)))&gt;0,'Scoring Model'!$B$18,0)</f>
        <v>15</v>
      </c>
      <c r="AC741" s="3" t="n">
        <f aca="false">IF(SUMPRODUCT(--ISNUMBER(SEARCH('Scoring Model'!$G$16:$G$23,K741)))&gt;0,'Scoring Model'!$B$19,0)</f>
        <v>0</v>
      </c>
      <c r="AD741" s="3" t="n">
        <f aca="false">IF(W741="Likely Spam","",SUM(X741:AC741))</f>
        <v>45</v>
      </c>
      <c r="AE741" s="3" t="str">
        <f aca="false">IF(W741="Likely Spam","Spam",IF(AD741&gt;='Scoring Model'!$B$21,"Hot",IF(AD741&gt;='Scoring Model'!$B$22,"Warm","Nurture")))</f>
        <v>Warm</v>
      </c>
      <c r="AF741" s="3" t="str">
        <f aca="false">IF(W741="Likely Spam","Flagged by spam rules",TRIM(IF(X741&gt;=20,"Strong source. ","")&amp;IF(Y741&gt;0,"Company email. ","")&amp;IF(Z741&gt;=15,"High-value product. ","")&amp;IF(AA741&gt;='Scoring Model'!$B$15,"High engagement. ","")&amp;IF(AB741&gt;0,"Buying intent in message. ","")&amp;IF(AC741&lt;0,"Negative intent in message. ","")))</f>
        <v>Company email. Buying intent in message.</v>
      </c>
      <c r="AG741" s="11" t="n">
        <f aca="false">IF(W741="Likely Spam","",1/(1+EXP(-('Conversion Model'!$B$5+IFERROR(INDEX('Conversion Model'!$B$8:$B$14,MATCH(C741,'Conversion Model'!$A$8:$A$14,0)),0)+IFERROR(INDEX('Conversion Model'!$E$8:$E$9,MATCH(F741,'Conversion Model'!$D$8:$D$9,0)),0)+IFERROR(INDEX('Conversion Model'!$H$8:$H$12,MATCH(IF(LEFT(J741,8)="Payments","Payments",IF(LEFT(J741,7)="Lending","Lending",J741)),'Conversion Model'!$G$8:$G$12,0)),0)+MIN(L741,15)*'Conversion Model'!$B$17+IF(SUMPRODUCT(--ISNUMBER(SEARCH('Scoring Model'!$D$16:$D$25,K741)))&gt;0,'Conversion Model'!$B$18,0)+IF(SUMPRODUCT(--ISNUMBER(SEARCH('Scoring Model'!$G$16:$G$23,K741)))&gt;0,'Conversion Model'!$B$19,0)))))</f>
        <v>0.0422492890277659</v>
      </c>
      <c r="AH741" s="3" t="str">
        <f aca="false">IF(OR(O741="Qualified",O741="Won",O741="Lost"),1,IF(O741="Unqualified",0,""))</f>
        <v/>
      </c>
    </row>
    <row r="742" customFormat="false" ht="15" hidden="false" customHeight="true" outlineLevel="0" collapsed="false">
      <c r="A742" s="3" t="s">
        <v>2427</v>
      </c>
      <c r="B742" s="9" t="n">
        <v>46269.2472222222</v>
      </c>
      <c r="C742" s="3" t="s">
        <v>112</v>
      </c>
      <c r="D742" s="3" t="s">
        <v>1194</v>
      </c>
      <c r="E742" s="3" t="s">
        <v>2428</v>
      </c>
      <c r="F742" s="3" t="s">
        <v>54</v>
      </c>
      <c r="G742" s="3" t="s">
        <v>2429</v>
      </c>
      <c r="H742" s="3"/>
      <c r="I742" s="3" t="s">
        <v>80</v>
      </c>
      <c r="J742" s="3" t="s">
        <v>57</v>
      </c>
      <c r="K742" s="3" t="s">
        <v>228</v>
      </c>
      <c r="L742" s="3" t="n">
        <v>5</v>
      </c>
      <c r="M742" s="3" t="n">
        <v>58.9</v>
      </c>
      <c r="N742" s="3" t="s">
        <v>59</v>
      </c>
      <c r="O742" s="3"/>
      <c r="P742" s="10"/>
      <c r="Q742" s="3" t="n">
        <f aca="false">IF(F742="Disposable",1,0)</f>
        <v>0</v>
      </c>
      <c r="R742" s="3" t="n">
        <f aca="false">IF(SUMPRODUCT(--ISNUMBER(SEARCH('Spam Rules'!$A$22:$A$35,K742)))&gt;0,1,0)</f>
        <v>0</v>
      </c>
      <c r="S742" s="3" t="n">
        <f aca="false">IF(AND(F742="Free",G742=""),1,0)</f>
        <v>0</v>
      </c>
      <c r="T742" s="3" t="n">
        <f aca="false">IF(LEN(TRIM(K742))&lt;15,1,0)</f>
        <v>0</v>
      </c>
      <c r="U742" s="3" t="n">
        <f aca="false">IF(COUNTIF($E$2:$E$801,E742)&gt;1,1,0)</f>
        <v>0</v>
      </c>
      <c r="V742" s="3" t="n">
        <f aca="false">Q742*'Spam Rules'!$H$6+R742*'Spam Rules'!$H$7+S742*'Spam Rules'!$H$8+T742*'Spam Rules'!$H$9+U742*'Spam Rules'!$H$10</f>
        <v>0</v>
      </c>
      <c r="W742" s="3" t="str">
        <f aca="false">IF(V742&gt;='Spam Rules'!$B$3,"Likely Spam","Genuine")</f>
        <v>Genuine</v>
      </c>
      <c r="X742" s="3" t="n">
        <f aca="false">IFERROR(INDEX('Scoring Model'!$B$5:$B$11,MATCH(C742,'Scoring Model'!$A$5:$A$11,0)),0)</f>
        <v>15</v>
      </c>
      <c r="Y742" s="3" t="n">
        <f aca="false">IFERROR(INDEX('Scoring Model'!$E$5:$E$7,MATCH(F742,'Scoring Model'!$D$5:$D$7,0)),0)</f>
        <v>0</v>
      </c>
      <c r="Z742" s="3" t="n">
        <f aca="false">IFERROR(INDEX('Scoring Model'!$H$5:$H$13,MATCH(J742,'Scoring Model'!$G$5:$G$13,0)),0)</f>
        <v>15</v>
      </c>
      <c r="AA742" s="3" t="n">
        <f aca="false">IF(L742&gt;='Scoring Model'!$B$14,'Scoring Model'!$B$15,IF(L742&gt;='Scoring Model'!$B$16,'Scoring Model'!$B$17,0))</f>
        <v>8</v>
      </c>
      <c r="AB742" s="3" t="n">
        <f aca="false">IF(SUMPRODUCT(--ISNUMBER(SEARCH('Scoring Model'!$D$16:$D$25,K742)))&gt;0,'Scoring Model'!$B$18,0)</f>
        <v>15</v>
      </c>
      <c r="AC742" s="3" t="n">
        <f aca="false">IF(SUMPRODUCT(--ISNUMBER(SEARCH('Scoring Model'!$G$16:$G$23,K742)))&gt;0,'Scoring Model'!$B$19,0)</f>
        <v>0</v>
      </c>
      <c r="AD742" s="3" t="n">
        <f aca="false">IF(W742="Likely Spam","",SUM(X742:AC742))</f>
        <v>53</v>
      </c>
      <c r="AE742" s="3" t="str">
        <f aca="false">IF(W742="Likely Spam","Spam",IF(AD742&gt;='Scoring Model'!$B$21,"Hot",IF(AD742&gt;='Scoring Model'!$B$22,"Warm","Nurture")))</f>
        <v>Warm</v>
      </c>
      <c r="AF742" s="3" t="str">
        <f aca="false">IF(W742="Likely Spam","Flagged by spam rules",TRIM(IF(X742&gt;=20,"Strong source. ","")&amp;IF(Y742&gt;0,"Company email. ","")&amp;IF(Z742&gt;=15,"High-value product. ","")&amp;IF(AA742&gt;='Scoring Model'!$B$15,"High engagement. ","")&amp;IF(AB742&gt;0,"Buying intent in message. ","")&amp;IF(AC742&lt;0,"Negative intent in message. ","")))</f>
        <v>High-value product. Buying intent in message.</v>
      </c>
      <c r="AG742" s="11" t="n">
        <f aca="false">IF(W742="Likely Spam","",1/(1+EXP(-('Conversion Model'!$B$5+IFERROR(INDEX('Conversion Model'!$B$8:$B$14,MATCH(C742,'Conversion Model'!$A$8:$A$14,0)),0)+IFERROR(INDEX('Conversion Model'!$E$8:$E$9,MATCH(F742,'Conversion Model'!$D$8:$D$9,0)),0)+IFERROR(INDEX('Conversion Model'!$H$8:$H$12,MATCH(IF(LEFT(J742,8)="Payments","Payments",IF(LEFT(J742,7)="Lending","Lending",J742)),'Conversion Model'!$G$8:$G$12,0)),0)+MIN(L742,15)*'Conversion Model'!$B$17+IF(SUMPRODUCT(--ISNUMBER(SEARCH('Scoring Model'!$D$16:$D$25,K742)))&gt;0,'Conversion Model'!$B$18,0)+IF(SUMPRODUCT(--ISNUMBER(SEARCH('Scoring Model'!$G$16:$G$23,K742)))&gt;0,'Conversion Model'!$B$19,0)))))</f>
        <v>0.483755718937927</v>
      </c>
      <c r="AH742" s="3" t="str">
        <f aca="false">IF(OR(O742="Qualified",O742="Won",O742="Lost"),1,IF(O742="Unqualified",0,""))</f>
        <v/>
      </c>
    </row>
    <row r="743" customFormat="false" ht="15" hidden="false" customHeight="true" outlineLevel="0" collapsed="false">
      <c r="A743" s="3" t="s">
        <v>2430</v>
      </c>
      <c r="B743" s="9" t="n">
        <v>46269.3305555556</v>
      </c>
      <c r="C743" s="3" t="s">
        <v>51</v>
      </c>
      <c r="D743" s="3" t="s">
        <v>511</v>
      </c>
      <c r="E743" s="3" t="s">
        <v>2431</v>
      </c>
      <c r="F743" s="3" t="s">
        <v>22</v>
      </c>
      <c r="G743" s="3" t="s">
        <v>2432</v>
      </c>
      <c r="H743" s="3" t="s">
        <v>2433</v>
      </c>
      <c r="I743" s="3" t="s">
        <v>56</v>
      </c>
      <c r="J743" s="3" t="s">
        <v>81</v>
      </c>
      <c r="K743" s="3" t="s">
        <v>355</v>
      </c>
      <c r="L743" s="3" t="n">
        <v>4</v>
      </c>
      <c r="M743" s="3" t="n">
        <v>20</v>
      </c>
      <c r="N743" s="3" t="s">
        <v>59</v>
      </c>
      <c r="O743" s="3" t="s">
        <v>133</v>
      </c>
      <c r="P743" s="10"/>
      <c r="Q743" s="3" t="n">
        <f aca="false">IF(F743="Disposable",1,0)</f>
        <v>0</v>
      </c>
      <c r="R743" s="3" t="n">
        <f aca="false">IF(SUMPRODUCT(--ISNUMBER(SEARCH('Spam Rules'!$A$22:$A$35,K743)))&gt;0,1,0)</f>
        <v>0</v>
      </c>
      <c r="S743" s="3" t="n">
        <f aca="false">IF(AND(F743="Free",G743=""),1,0)</f>
        <v>0</v>
      </c>
      <c r="T743" s="3" t="n">
        <f aca="false">IF(LEN(TRIM(K743))&lt;15,1,0)</f>
        <v>0</v>
      </c>
      <c r="U743" s="3" t="n">
        <f aca="false">IF(COUNTIF($E$2:$E$801,E743)&gt;1,1,0)</f>
        <v>0</v>
      </c>
      <c r="V743" s="3" t="n">
        <f aca="false">Q743*'Spam Rules'!$H$6+R743*'Spam Rules'!$H$7+S743*'Spam Rules'!$H$8+T743*'Spam Rules'!$H$9+U743*'Spam Rules'!$H$10</f>
        <v>0</v>
      </c>
      <c r="W743" s="3" t="str">
        <f aca="false">IF(V743&gt;='Spam Rules'!$B$3,"Likely Spam","Genuine")</f>
        <v>Genuine</v>
      </c>
      <c r="X743" s="3" t="n">
        <f aca="false">IFERROR(INDEX('Scoring Model'!$B$5:$B$11,MATCH(C743,'Scoring Model'!$A$5:$A$11,0)),0)</f>
        <v>10</v>
      </c>
      <c r="Y743" s="3" t="n">
        <f aca="false">IFERROR(INDEX('Scoring Model'!$E$5:$E$7,MATCH(F743,'Scoring Model'!$D$5:$D$7,0)),0)</f>
        <v>20</v>
      </c>
      <c r="Z743" s="3" t="n">
        <f aca="false">IFERROR(INDEX('Scoring Model'!$H$5:$H$13,MATCH(J743,'Scoring Model'!$G$5:$G$13,0)),0)</f>
        <v>5</v>
      </c>
      <c r="AA743" s="3" t="n">
        <f aca="false">IF(L743&gt;='Scoring Model'!$B$14,'Scoring Model'!$B$15,IF(L743&gt;='Scoring Model'!$B$16,'Scoring Model'!$B$17,0))</f>
        <v>8</v>
      </c>
      <c r="AB743" s="3" t="n">
        <f aca="false">IF(SUMPRODUCT(--ISNUMBER(SEARCH('Scoring Model'!$D$16:$D$25,K743)))&gt;0,'Scoring Model'!$B$18,0)</f>
        <v>15</v>
      </c>
      <c r="AC743" s="3" t="n">
        <f aca="false">IF(SUMPRODUCT(--ISNUMBER(SEARCH('Scoring Model'!$G$16:$G$23,K743)))&gt;0,'Scoring Model'!$B$19,0)</f>
        <v>0</v>
      </c>
      <c r="AD743" s="3" t="n">
        <f aca="false">IF(W743="Likely Spam","",SUM(X743:AC743))</f>
        <v>58</v>
      </c>
      <c r="AE743" s="3" t="str">
        <f aca="false">IF(W743="Likely Spam","Spam",IF(AD743&gt;='Scoring Model'!$B$21,"Hot",IF(AD743&gt;='Scoring Model'!$B$22,"Warm","Nurture")))</f>
        <v>Warm</v>
      </c>
      <c r="AF743" s="3" t="str">
        <f aca="false">IF(W743="Likely Spam","Flagged by spam rules",TRIM(IF(X743&gt;=20,"Strong source. ","")&amp;IF(Y743&gt;0,"Company email. ","")&amp;IF(Z743&gt;=15,"High-value product. ","")&amp;IF(AA743&gt;='Scoring Model'!$B$15,"High engagement. ","")&amp;IF(AB743&gt;0,"Buying intent in message. ","")&amp;IF(AC743&lt;0,"Negative intent in message. ","")))</f>
        <v>Company email. Buying intent in message.</v>
      </c>
      <c r="AG743" s="11" t="n">
        <f aca="false">IF(W743="Likely Spam","",1/(1+EXP(-('Conversion Model'!$B$5+IFERROR(INDEX('Conversion Model'!$B$8:$B$14,MATCH(C743,'Conversion Model'!$A$8:$A$14,0)),0)+IFERROR(INDEX('Conversion Model'!$E$8:$E$9,MATCH(F743,'Conversion Model'!$D$8:$D$9,0)),0)+IFERROR(INDEX('Conversion Model'!$H$8:$H$12,MATCH(IF(LEFT(J743,8)="Payments","Payments",IF(LEFT(J743,7)="Lending","Lending",J743)),'Conversion Model'!$G$8:$G$12,0)),0)+MIN(L743,15)*'Conversion Model'!$B$17+IF(SUMPRODUCT(--ISNUMBER(SEARCH('Scoring Model'!$D$16:$D$25,K743)))&gt;0,'Conversion Model'!$B$18,0)+IF(SUMPRODUCT(--ISNUMBER(SEARCH('Scoring Model'!$G$16:$G$23,K743)))&gt;0,'Conversion Model'!$B$19,0)))))</f>
        <v>0.400591771524367</v>
      </c>
      <c r="AH743" s="3" t="str">
        <f aca="false">IF(OR(O743="Qualified",O743="Won",O743="Lost"),1,IF(O743="Unqualified",0,""))</f>
        <v/>
      </c>
    </row>
    <row r="744" customFormat="false" ht="15" hidden="false" customHeight="true" outlineLevel="0" collapsed="false">
      <c r="A744" s="3" t="s">
        <v>2434</v>
      </c>
      <c r="B744" s="9" t="n">
        <v>46269.8305555556</v>
      </c>
      <c r="C744" s="3" t="s">
        <v>76</v>
      </c>
      <c r="D744" s="3" t="s">
        <v>2435</v>
      </c>
      <c r="E744" s="3" t="s">
        <v>2436</v>
      </c>
      <c r="F744" s="3" t="s">
        <v>54</v>
      </c>
      <c r="G744" s="3" t="s">
        <v>321</v>
      </c>
      <c r="H744" s="3"/>
      <c r="I744" s="3" t="s">
        <v>107</v>
      </c>
      <c r="J744" s="3" t="s">
        <v>65</v>
      </c>
      <c r="K744" s="3" t="s">
        <v>322</v>
      </c>
      <c r="L744" s="3" t="n">
        <v>1</v>
      </c>
      <c r="M744" s="3"/>
      <c r="N744" s="3" t="s">
        <v>67</v>
      </c>
      <c r="O744" s="3" t="s">
        <v>68</v>
      </c>
      <c r="P744" s="10"/>
      <c r="Q744" s="3" t="n">
        <f aca="false">IF(F744="Disposable",1,0)</f>
        <v>0</v>
      </c>
      <c r="R744" s="3" t="n">
        <f aca="false">IF(SUMPRODUCT(--ISNUMBER(SEARCH('Spam Rules'!$A$22:$A$35,K744)))&gt;0,1,0)</f>
        <v>0</v>
      </c>
      <c r="S744" s="3" t="n">
        <f aca="false">IF(AND(F744="Free",G744=""),1,0)</f>
        <v>0</v>
      </c>
      <c r="T744" s="3" t="n">
        <f aca="false">IF(LEN(TRIM(K744))&lt;15,1,0)</f>
        <v>1</v>
      </c>
      <c r="U744" s="3" t="n">
        <f aca="false">IF(COUNTIF($E$2:$E$801,E744)&gt;1,1,0)</f>
        <v>0</v>
      </c>
      <c r="V744" s="3" t="n">
        <f aca="false">Q744*'Spam Rules'!$H$6+R744*'Spam Rules'!$H$7+S744*'Spam Rules'!$H$8+T744*'Spam Rules'!$H$9+U744*'Spam Rules'!$H$10</f>
        <v>1</v>
      </c>
      <c r="W744" s="3" t="str">
        <f aca="false">IF(V744&gt;='Spam Rules'!$B$3,"Likely Spam","Genuine")</f>
        <v>Likely Spam</v>
      </c>
      <c r="X744" s="3" t="n">
        <f aca="false">IFERROR(INDEX('Scoring Model'!$B$5:$B$11,MATCH(C744,'Scoring Model'!$A$5:$A$11,0)),0)</f>
        <v>0</v>
      </c>
      <c r="Y744" s="3" t="n">
        <f aca="false">IFERROR(INDEX('Scoring Model'!$E$5:$E$7,MATCH(F744,'Scoring Model'!$D$5:$D$7,0)),0)</f>
        <v>0</v>
      </c>
      <c r="Z744" s="3" t="n">
        <f aca="false">IFERROR(INDEX('Scoring Model'!$H$5:$H$13,MATCH(J744,'Scoring Model'!$G$5:$G$13,0)),0)</f>
        <v>0</v>
      </c>
      <c r="AA744" s="3" t="n">
        <f aca="false">IF(L744&gt;='Scoring Model'!$B$14,'Scoring Model'!$B$15,IF(L744&gt;='Scoring Model'!$B$16,'Scoring Model'!$B$17,0))</f>
        <v>0</v>
      </c>
      <c r="AB744" s="3" t="n">
        <f aca="false">IF(SUMPRODUCT(--ISNUMBER(SEARCH('Scoring Model'!$D$16:$D$25,K744)))&gt;0,'Scoring Model'!$B$18,0)</f>
        <v>0</v>
      </c>
      <c r="AC744" s="3" t="n">
        <f aca="false">IF(SUMPRODUCT(--ISNUMBER(SEARCH('Scoring Model'!$G$16:$G$23,K744)))&gt;0,'Scoring Model'!$B$19,0)</f>
        <v>0</v>
      </c>
      <c r="AD744" s="3" t="str">
        <f aca="false">IF(W744="Likely Spam","",SUM(X744:AC744))</f>
        <v/>
      </c>
      <c r="AE744" s="3" t="str">
        <f aca="false">IF(W744="Likely Spam","Spam",IF(AD744&gt;='Scoring Model'!$B$21,"Hot",IF(AD744&gt;='Scoring Model'!$B$22,"Warm","Nurture")))</f>
        <v>Spam</v>
      </c>
      <c r="AF744" s="3" t="str">
        <f aca="false">IF(W744="Likely Spam","Flagged by spam rules",TRIM(IF(X744&gt;=20,"Strong source. ","")&amp;IF(Y744&gt;0,"Company email. ","")&amp;IF(Z744&gt;=15,"High-value product. ","")&amp;IF(AA744&gt;='Scoring Model'!$B$15,"High engagement. ","")&amp;IF(AB744&gt;0,"Buying intent in message. ","")&amp;IF(AC744&lt;0,"Negative intent in message. ","")))</f>
        <v>Flagged by spam rules</v>
      </c>
      <c r="AG744" s="11" t="str">
        <f aca="false">IF(W744="Likely Spam","",1/(1+EXP(-('Conversion Model'!$B$5+IFERROR(INDEX('Conversion Model'!$B$8:$B$14,MATCH(C744,'Conversion Model'!$A$8:$A$14,0)),0)+IFERROR(INDEX('Conversion Model'!$E$8:$E$9,MATCH(F744,'Conversion Model'!$D$8:$D$9,0)),0)+IFERROR(INDEX('Conversion Model'!$H$8:$H$12,MATCH(IF(LEFT(J744,8)="Payments","Payments",IF(LEFT(J744,7)="Lending","Lending",J744)),'Conversion Model'!$G$8:$G$12,0)),0)+MIN(L744,15)*'Conversion Model'!$B$17+IF(SUMPRODUCT(--ISNUMBER(SEARCH('Scoring Model'!$D$16:$D$25,K744)))&gt;0,'Conversion Model'!$B$18,0)+IF(SUMPRODUCT(--ISNUMBER(SEARCH('Scoring Model'!$G$16:$G$23,K744)))&gt;0,'Conversion Model'!$B$19,0)))))</f>
        <v/>
      </c>
      <c r="AH744" s="3" t="str">
        <f aca="false">IF(OR(O744="Qualified",O744="Won",O744="Lost"),1,IF(O744="Unqualified",0,""))</f>
        <v/>
      </c>
    </row>
    <row r="745" customFormat="false" ht="15" hidden="false" customHeight="true" outlineLevel="0" collapsed="false">
      <c r="A745" s="3" t="s">
        <v>2437</v>
      </c>
      <c r="B745" s="9" t="n">
        <v>46269.9805555556</v>
      </c>
      <c r="C745" s="3" t="s">
        <v>76</v>
      </c>
      <c r="D745" s="3" t="s">
        <v>925</v>
      </c>
      <c r="E745" s="3" t="s">
        <v>2438</v>
      </c>
      <c r="F745" s="3" t="s">
        <v>63</v>
      </c>
      <c r="G745" s="3"/>
      <c r="H745" s="3"/>
      <c r="I745" s="3" t="s">
        <v>107</v>
      </c>
      <c r="J745" s="3" t="s">
        <v>81</v>
      </c>
      <c r="K745" s="3" t="s">
        <v>363</v>
      </c>
      <c r="L745" s="3" t="n">
        <v>1</v>
      </c>
      <c r="M745" s="3" t="n">
        <v>15.5</v>
      </c>
      <c r="N745" s="3" t="s">
        <v>59</v>
      </c>
      <c r="O745" s="3"/>
      <c r="P745" s="10"/>
      <c r="Q745" s="3" t="n">
        <f aca="false">IF(F745="Disposable",1,0)</f>
        <v>1</v>
      </c>
      <c r="R745" s="3" t="n">
        <f aca="false">IF(SUMPRODUCT(--ISNUMBER(SEARCH('Spam Rules'!$A$22:$A$35,K745)))&gt;0,1,0)</f>
        <v>1</v>
      </c>
      <c r="S745" s="3" t="n">
        <f aca="false">IF(AND(F745="Free",G745=""),1,0)</f>
        <v>0</v>
      </c>
      <c r="T745" s="3" t="n">
        <f aca="false">IF(LEN(TRIM(K745))&lt;15,1,0)</f>
        <v>0</v>
      </c>
      <c r="U745" s="3" t="n">
        <f aca="false">IF(COUNTIF($E$2:$E$801,E745)&gt;1,1,0)</f>
        <v>0</v>
      </c>
      <c r="V745" s="3" t="n">
        <f aca="false">Q745*'Spam Rules'!$H$6+R745*'Spam Rules'!$H$7+S745*'Spam Rules'!$H$8+T745*'Spam Rules'!$H$9+U745*'Spam Rules'!$H$10</f>
        <v>2</v>
      </c>
      <c r="W745" s="3" t="str">
        <f aca="false">IF(V745&gt;='Spam Rules'!$B$3,"Likely Spam","Genuine")</f>
        <v>Likely Spam</v>
      </c>
      <c r="X745" s="3" t="n">
        <f aca="false">IFERROR(INDEX('Scoring Model'!$B$5:$B$11,MATCH(C745,'Scoring Model'!$A$5:$A$11,0)),0)</f>
        <v>0</v>
      </c>
      <c r="Y745" s="3" t="n">
        <f aca="false">IFERROR(INDEX('Scoring Model'!$E$5:$E$7,MATCH(F745,'Scoring Model'!$D$5:$D$7,0)),0)</f>
        <v>0</v>
      </c>
      <c r="Z745" s="3" t="n">
        <f aca="false">IFERROR(INDEX('Scoring Model'!$H$5:$H$13,MATCH(J745,'Scoring Model'!$G$5:$G$13,0)),0)</f>
        <v>5</v>
      </c>
      <c r="AA745" s="3" t="n">
        <f aca="false">IF(L745&gt;='Scoring Model'!$B$14,'Scoring Model'!$B$15,IF(L745&gt;='Scoring Model'!$B$16,'Scoring Model'!$B$17,0))</f>
        <v>0</v>
      </c>
      <c r="AB745" s="3" t="n">
        <f aca="false">IF(SUMPRODUCT(--ISNUMBER(SEARCH('Scoring Model'!$D$16:$D$25,K745)))&gt;0,'Scoring Model'!$B$18,0)</f>
        <v>0</v>
      </c>
      <c r="AC745" s="3" t="n">
        <f aca="false">IF(SUMPRODUCT(--ISNUMBER(SEARCH('Scoring Model'!$G$16:$G$23,K745)))&gt;0,'Scoring Model'!$B$19,0)</f>
        <v>0</v>
      </c>
      <c r="AD745" s="3" t="str">
        <f aca="false">IF(W745="Likely Spam","",SUM(X745:AC745))</f>
        <v/>
      </c>
      <c r="AE745" s="3" t="str">
        <f aca="false">IF(W745="Likely Spam","Spam",IF(AD745&gt;='Scoring Model'!$B$21,"Hot",IF(AD745&gt;='Scoring Model'!$B$22,"Warm","Nurture")))</f>
        <v>Spam</v>
      </c>
      <c r="AF745" s="3" t="str">
        <f aca="false">IF(W745="Likely Spam","Flagged by spam rules",TRIM(IF(X745&gt;=20,"Strong source. ","")&amp;IF(Y745&gt;0,"Company email. ","")&amp;IF(Z745&gt;=15,"High-value product. ","")&amp;IF(AA745&gt;='Scoring Model'!$B$15,"High engagement. ","")&amp;IF(AB745&gt;0,"Buying intent in message. ","")&amp;IF(AC745&lt;0,"Negative intent in message. ","")))</f>
        <v>Flagged by spam rules</v>
      </c>
      <c r="AG745" s="11" t="str">
        <f aca="false">IF(W745="Likely Spam","",1/(1+EXP(-('Conversion Model'!$B$5+IFERROR(INDEX('Conversion Model'!$B$8:$B$14,MATCH(C745,'Conversion Model'!$A$8:$A$14,0)),0)+IFERROR(INDEX('Conversion Model'!$E$8:$E$9,MATCH(F745,'Conversion Model'!$D$8:$D$9,0)),0)+IFERROR(INDEX('Conversion Model'!$H$8:$H$12,MATCH(IF(LEFT(J745,8)="Payments","Payments",IF(LEFT(J745,7)="Lending","Lending",J745)),'Conversion Model'!$G$8:$G$12,0)),0)+MIN(L745,15)*'Conversion Model'!$B$17+IF(SUMPRODUCT(--ISNUMBER(SEARCH('Scoring Model'!$D$16:$D$25,K745)))&gt;0,'Conversion Model'!$B$18,0)+IF(SUMPRODUCT(--ISNUMBER(SEARCH('Scoring Model'!$G$16:$G$23,K745)))&gt;0,'Conversion Model'!$B$19,0)))))</f>
        <v/>
      </c>
      <c r="AH745" s="3" t="str">
        <f aca="false">IF(OR(O745="Qualified",O745="Won",O745="Lost"),1,IF(O745="Unqualified",0,""))</f>
        <v/>
      </c>
    </row>
    <row r="746" customFormat="false" ht="15" hidden="false" customHeight="true" outlineLevel="0" collapsed="false">
      <c r="A746" s="3" t="s">
        <v>2439</v>
      </c>
      <c r="B746" s="9" t="n">
        <v>46270.1729166667</v>
      </c>
      <c r="C746" s="3" t="s">
        <v>160</v>
      </c>
      <c r="D746" s="3" t="s">
        <v>2440</v>
      </c>
      <c r="E746" s="3" t="s">
        <v>2441</v>
      </c>
      <c r="F746" s="3" t="s">
        <v>54</v>
      </c>
      <c r="G746" s="3" t="s">
        <v>2442</v>
      </c>
      <c r="H746" s="3"/>
      <c r="I746" s="3" t="s">
        <v>204</v>
      </c>
      <c r="J746" s="3" t="s">
        <v>145</v>
      </c>
      <c r="K746" s="3" t="s">
        <v>213</v>
      </c>
      <c r="L746" s="3" t="n">
        <v>4</v>
      </c>
      <c r="M746" s="3" t="n">
        <v>9.2</v>
      </c>
      <c r="N746" s="3" t="s">
        <v>59</v>
      </c>
      <c r="O746" s="3" t="s">
        <v>194</v>
      </c>
      <c r="P746" s="10"/>
      <c r="Q746" s="3" t="n">
        <f aca="false">IF(F746="Disposable",1,0)</f>
        <v>0</v>
      </c>
      <c r="R746" s="3" t="n">
        <f aca="false">IF(SUMPRODUCT(--ISNUMBER(SEARCH('Spam Rules'!$A$22:$A$35,K746)))&gt;0,1,0)</f>
        <v>0</v>
      </c>
      <c r="S746" s="3" t="n">
        <f aca="false">IF(AND(F746="Free",G746=""),1,0)</f>
        <v>0</v>
      </c>
      <c r="T746" s="3" t="n">
        <f aca="false">IF(LEN(TRIM(K746))&lt;15,1,0)</f>
        <v>0</v>
      </c>
      <c r="U746" s="3" t="n">
        <f aca="false">IF(COUNTIF($E$2:$E$801,E746)&gt;1,1,0)</f>
        <v>0</v>
      </c>
      <c r="V746" s="3" t="n">
        <f aca="false">Q746*'Spam Rules'!$H$6+R746*'Spam Rules'!$H$7+S746*'Spam Rules'!$H$8+T746*'Spam Rules'!$H$9+U746*'Spam Rules'!$H$10</f>
        <v>0</v>
      </c>
      <c r="W746" s="3" t="str">
        <f aca="false">IF(V746&gt;='Spam Rules'!$B$3,"Likely Spam","Genuine")</f>
        <v>Genuine</v>
      </c>
      <c r="X746" s="3" t="n">
        <f aca="false">IFERROR(INDEX('Scoring Model'!$B$5:$B$11,MATCH(C746,'Scoring Model'!$A$5:$A$11,0)),0)</f>
        <v>25</v>
      </c>
      <c r="Y746" s="3" t="n">
        <f aca="false">IFERROR(INDEX('Scoring Model'!$E$5:$E$7,MATCH(F746,'Scoring Model'!$D$5:$D$7,0)),0)</f>
        <v>0</v>
      </c>
      <c r="Z746" s="3" t="n">
        <f aca="false">IFERROR(INDEX('Scoring Model'!$H$5:$H$13,MATCH(J746,'Scoring Model'!$G$5:$G$13,0)),0)</f>
        <v>5</v>
      </c>
      <c r="AA746" s="3" t="n">
        <f aca="false">IF(L746&gt;='Scoring Model'!$B$14,'Scoring Model'!$B$15,IF(L746&gt;='Scoring Model'!$B$16,'Scoring Model'!$B$17,0))</f>
        <v>8</v>
      </c>
      <c r="AB746" s="3" t="n">
        <f aca="false">IF(SUMPRODUCT(--ISNUMBER(SEARCH('Scoring Model'!$D$16:$D$25,K746)))&gt;0,'Scoring Model'!$B$18,0)</f>
        <v>0</v>
      </c>
      <c r="AC746" s="3" t="n">
        <f aca="false">IF(SUMPRODUCT(--ISNUMBER(SEARCH('Scoring Model'!$G$16:$G$23,K746)))&gt;0,'Scoring Model'!$B$19,0)</f>
        <v>-30</v>
      </c>
      <c r="AD746" s="3" t="n">
        <f aca="false">IF(W746="Likely Spam","",SUM(X746:AC746))</f>
        <v>8</v>
      </c>
      <c r="AE746" s="3" t="str">
        <f aca="false">IF(W746="Likely Spam","Spam",IF(AD746&gt;='Scoring Model'!$B$21,"Hot",IF(AD746&gt;='Scoring Model'!$B$22,"Warm","Nurture")))</f>
        <v>Nurture</v>
      </c>
      <c r="AF746" s="3" t="str">
        <f aca="false">IF(W746="Likely Spam","Flagged by spam rules",TRIM(IF(X746&gt;=20,"Strong source. ","")&amp;IF(Y746&gt;0,"Company email. ","")&amp;IF(Z746&gt;=15,"High-value product. ","")&amp;IF(AA746&gt;='Scoring Model'!$B$15,"High engagement. ","")&amp;IF(AB746&gt;0,"Buying intent in message. ","")&amp;IF(AC746&lt;0,"Negative intent in message. ","")))</f>
        <v>Strong source. Negative intent in message.</v>
      </c>
      <c r="AG746" s="11" t="n">
        <f aca="false">IF(W746="Likely Spam","",1/(1+EXP(-('Conversion Model'!$B$5+IFERROR(INDEX('Conversion Model'!$B$8:$B$14,MATCH(C746,'Conversion Model'!$A$8:$A$14,0)),0)+IFERROR(INDEX('Conversion Model'!$E$8:$E$9,MATCH(F746,'Conversion Model'!$D$8:$D$9,0)),0)+IFERROR(INDEX('Conversion Model'!$H$8:$H$12,MATCH(IF(LEFT(J746,8)="Payments","Payments",IF(LEFT(J746,7)="Lending","Lending",J746)),'Conversion Model'!$G$8:$G$12,0)),0)+MIN(L746,15)*'Conversion Model'!$B$17+IF(SUMPRODUCT(--ISNUMBER(SEARCH('Scoring Model'!$D$16:$D$25,K746)))&gt;0,'Conversion Model'!$B$18,0)+IF(SUMPRODUCT(--ISNUMBER(SEARCH('Scoring Model'!$G$16:$G$23,K746)))&gt;0,'Conversion Model'!$B$19,0)))))</f>
        <v>0.0234994109193391</v>
      </c>
      <c r="AH746" s="3" t="n">
        <f aca="false">IF(OR(O746="Qualified",O746="Won",O746="Lost"),1,IF(O746="Unqualified",0,""))</f>
        <v>0</v>
      </c>
    </row>
    <row r="747" customFormat="false" ht="15" hidden="false" customHeight="true" outlineLevel="0" collapsed="false">
      <c r="A747" s="3" t="s">
        <v>2443</v>
      </c>
      <c r="B747" s="9" t="n">
        <v>46270.5756944444</v>
      </c>
      <c r="C747" s="3" t="s">
        <v>51</v>
      </c>
      <c r="D747" s="3" t="s">
        <v>2444</v>
      </c>
      <c r="E747" s="3" t="s">
        <v>2445</v>
      </c>
      <c r="F747" s="3" t="s">
        <v>54</v>
      </c>
      <c r="G747" s="3" t="s">
        <v>972</v>
      </c>
      <c r="H747" s="3"/>
      <c r="I747" s="3" t="s">
        <v>260</v>
      </c>
      <c r="J747" s="3" t="s">
        <v>145</v>
      </c>
      <c r="K747" s="3" t="s">
        <v>213</v>
      </c>
      <c r="L747" s="3" t="n">
        <v>3</v>
      </c>
      <c r="M747" s="3" t="n">
        <v>22.5</v>
      </c>
      <c r="N747" s="3" t="s">
        <v>67</v>
      </c>
      <c r="O747" s="3" t="s">
        <v>194</v>
      </c>
      <c r="P747" s="10"/>
      <c r="Q747" s="3" t="n">
        <f aca="false">IF(F747="Disposable",1,0)</f>
        <v>0</v>
      </c>
      <c r="R747" s="3" t="n">
        <f aca="false">IF(SUMPRODUCT(--ISNUMBER(SEARCH('Spam Rules'!$A$22:$A$35,K747)))&gt;0,1,0)</f>
        <v>0</v>
      </c>
      <c r="S747" s="3" t="n">
        <f aca="false">IF(AND(F747="Free",G747=""),1,0)</f>
        <v>0</v>
      </c>
      <c r="T747" s="3" t="n">
        <f aca="false">IF(LEN(TRIM(K747))&lt;15,1,0)</f>
        <v>0</v>
      </c>
      <c r="U747" s="3" t="n">
        <f aca="false">IF(COUNTIF($E$2:$E$801,E747)&gt;1,1,0)</f>
        <v>0</v>
      </c>
      <c r="V747" s="3" t="n">
        <f aca="false">Q747*'Spam Rules'!$H$6+R747*'Spam Rules'!$H$7+S747*'Spam Rules'!$H$8+T747*'Spam Rules'!$H$9+U747*'Spam Rules'!$H$10</f>
        <v>0</v>
      </c>
      <c r="W747" s="3" t="str">
        <f aca="false">IF(V747&gt;='Spam Rules'!$B$3,"Likely Spam","Genuine")</f>
        <v>Genuine</v>
      </c>
      <c r="X747" s="3" t="n">
        <f aca="false">IFERROR(INDEX('Scoring Model'!$B$5:$B$11,MATCH(C747,'Scoring Model'!$A$5:$A$11,0)),0)</f>
        <v>10</v>
      </c>
      <c r="Y747" s="3" t="n">
        <f aca="false">IFERROR(INDEX('Scoring Model'!$E$5:$E$7,MATCH(F747,'Scoring Model'!$D$5:$D$7,0)),0)</f>
        <v>0</v>
      </c>
      <c r="Z747" s="3" t="n">
        <f aca="false">IFERROR(INDEX('Scoring Model'!$H$5:$H$13,MATCH(J747,'Scoring Model'!$G$5:$G$13,0)),0)</f>
        <v>5</v>
      </c>
      <c r="AA747" s="3" t="n">
        <f aca="false">IF(L747&gt;='Scoring Model'!$B$14,'Scoring Model'!$B$15,IF(L747&gt;='Scoring Model'!$B$16,'Scoring Model'!$B$17,0))</f>
        <v>0</v>
      </c>
      <c r="AB747" s="3" t="n">
        <f aca="false">IF(SUMPRODUCT(--ISNUMBER(SEARCH('Scoring Model'!$D$16:$D$25,K747)))&gt;0,'Scoring Model'!$B$18,0)</f>
        <v>0</v>
      </c>
      <c r="AC747" s="3" t="n">
        <f aca="false">IF(SUMPRODUCT(--ISNUMBER(SEARCH('Scoring Model'!$G$16:$G$23,K747)))&gt;0,'Scoring Model'!$B$19,0)</f>
        <v>-30</v>
      </c>
      <c r="AD747" s="3" t="n">
        <f aca="false">IF(W747="Likely Spam","",SUM(X747:AC747))</f>
        <v>-15</v>
      </c>
      <c r="AE747" s="3" t="str">
        <f aca="false">IF(W747="Likely Spam","Spam",IF(AD747&gt;='Scoring Model'!$B$21,"Hot",IF(AD747&gt;='Scoring Model'!$B$22,"Warm","Nurture")))</f>
        <v>Nurture</v>
      </c>
      <c r="AF747" s="3" t="str">
        <f aca="false">IF(W747="Likely Spam","Flagged by spam rules",TRIM(IF(X747&gt;=20,"Strong source. ","")&amp;IF(Y747&gt;0,"Company email. ","")&amp;IF(Z747&gt;=15,"High-value product. ","")&amp;IF(AA747&gt;='Scoring Model'!$B$15,"High engagement. ","")&amp;IF(AB747&gt;0,"Buying intent in message. ","")&amp;IF(AC747&lt;0,"Negative intent in message. ","")))</f>
        <v>Negative intent in message.</v>
      </c>
      <c r="AG747" s="11" t="n">
        <f aca="false">IF(W747="Likely Spam","",1/(1+EXP(-('Conversion Model'!$B$5+IFERROR(INDEX('Conversion Model'!$B$8:$B$14,MATCH(C747,'Conversion Model'!$A$8:$A$14,0)),0)+IFERROR(INDEX('Conversion Model'!$E$8:$E$9,MATCH(F747,'Conversion Model'!$D$8:$D$9,0)),0)+IFERROR(INDEX('Conversion Model'!$H$8:$H$12,MATCH(IF(LEFT(J747,8)="Payments","Payments",IF(LEFT(J747,7)="Lending","Lending",J747)),'Conversion Model'!$G$8:$G$12,0)),0)+MIN(L747,15)*'Conversion Model'!$B$17+IF(SUMPRODUCT(--ISNUMBER(SEARCH('Scoring Model'!$D$16:$D$25,K747)))&gt;0,'Conversion Model'!$B$18,0)+IF(SUMPRODUCT(--ISNUMBER(SEARCH('Scoring Model'!$G$16:$G$23,K747)))&gt;0,'Conversion Model'!$B$19,0)))))</f>
        <v>0.00639387738074586</v>
      </c>
      <c r="AH747" s="3" t="n">
        <f aca="false">IF(OR(O747="Qualified",O747="Won",O747="Lost"),1,IF(O747="Unqualified",0,""))</f>
        <v>0</v>
      </c>
    </row>
    <row r="748" customFormat="false" ht="15" hidden="false" customHeight="true" outlineLevel="0" collapsed="false">
      <c r="A748" s="3" t="s">
        <v>2446</v>
      </c>
      <c r="B748" s="9" t="n">
        <v>46270.7597222222</v>
      </c>
      <c r="C748" s="3" t="s">
        <v>128</v>
      </c>
      <c r="D748" s="3" t="s">
        <v>1744</v>
      </c>
      <c r="E748" s="3" t="s">
        <v>2447</v>
      </c>
      <c r="F748" s="3" t="s">
        <v>54</v>
      </c>
      <c r="G748" s="3"/>
      <c r="H748" s="3"/>
      <c r="I748" s="3" t="s">
        <v>80</v>
      </c>
      <c r="J748" s="3" t="s">
        <v>81</v>
      </c>
      <c r="K748" s="3" t="s">
        <v>349</v>
      </c>
      <c r="L748" s="3" t="n">
        <v>4</v>
      </c>
      <c r="M748" s="3" t="n">
        <v>47.8</v>
      </c>
      <c r="N748" s="3" t="s">
        <v>59</v>
      </c>
      <c r="O748" s="3" t="s">
        <v>194</v>
      </c>
      <c r="P748" s="10"/>
      <c r="Q748" s="3" t="n">
        <f aca="false">IF(F748="Disposable",1,0)</f>
        <v>0</v>
      </c>
      <c r="R748" s="3" t="n">
        <f aca="false">IF(SUMPRODUCT(--ISNUMBER(SEARCH('Spam Rules'!$A$22:$A$35,K748)))&gt;0,1,0)</f>
        <v>0</v>
      </c>
      <c r="S748" s="3" t="n">
        <f aca="false">IF(AND(F748="Free",G748=""),1,0)</f>
        <v>1</v>
      </c>
      <c r="T748" s="3" t="n">
        <f aca="false">IF(LEN(TRIM(K748))&lt;15,1,0)</f>
        <v>0</v>
      </c>
      <c r="U748" s="3" t="n">
        <f aca="false">IF(COUNTIF($E$2:$E$801,E748)&gt;1,1,0)</f>
        <v>0</v>
      </c>
      <c r="V748" s="3" t="n">
        <f aca="false">Q748*'Spam Rules'!$H$6+R748*'Spam Rules'!$H$7+S748*'Spam Rules'!$H$8+T748*'Spam Rules'!$H$9+U748*'Spam Rules'!$H$10</f>
        <v>0</v>
      </c>
      <c r="W748" s="3" t="str">
        <f aca="false">IF(V748&gt;='Spam Rules'!$B$3,"Likely Spam","Genuine")</f>
        <v>Genuine</v>
      </c>
      <c r="X748" s="3" t="n">
        <f aca="false">IFERROR(INDEX('Scoring Model'!$B$5:$B$11,MATCH(C748,'Scoring Model'!$A$5:$A$11,0)),0)</f>
        <v>30</v>
      </c>
      <c r="Y748" s="3" t="n">
        <f aca="false">IFERROR(INDEX('Scoring Model'!$E$5:$E$7,MATCH(F748,'Scoring Model'!$D$5:$D$7,0)),0)</f>
        <v>0</v>
      </c>
      <c r="Z748" s="3" t="n">
        <f aca="false">IFERROR(INDEX('Scoring Model'!$H$5:$H$13,MATCH(J748,'Scoring Model'!$G$5:$G$13,0)),0)</f>
        <v>5</v>
      </c>
      <c r="AA748" s="3" t="n">
        <f aca="false">IF(L748&gt;='Scoring Model'!$B$14,'Scoring Model'!$B$15,IF(L748&gt;='Scoring Model'!$B$16,'Scoring Model'!$B$17,0))</f>
        <v>8</v>
      </c>
      <c r="AB748" s="3" t="n">
        <f aca="false">IF(SUMPRODUCT(--ISNUMBER(SEARCH('Scoring Model'!$D$16:$D$25,K748)))&gt;0,'Scoring Model'!$B$18,0)</f>
        <v>0</v>
      </c>
      <c r="AC748" s="3" t="n">
        <f aca="false">IF(SUMPRODUCT(--ISNUMBER(SEARCH('Scoring Model'!$G$16:$G$23,K748)))&gt;0,'Scoring Model'!$B$19,0)</f>
        <v>-30</v>
      </c>
      <c r="AD748" s="3" t="n">
        <f aca="false">IF(W748="Likely Spam","",SUM(X748:AC748))</f>
        <v>13</v>
      </c>
      <c r="AE748" s="3" t="str">
        <f aca="false">IF(W748="Likely Spam","Spam",IF(AD748&gt;='Scoring Model'!$B$21,"Hot",IF(AD748&gt;='Scoring Model'!$B$22,"Warm","Nurture")))</f>
        <v>Nurture</v>
      </c>
      <c r="AF748" s="3" t="str">
        <f aca="false">IF(W748="Likely Spam","Flagged by spam rules",TRIM(IF(X748&gt;=20,"Strong source. ","")&amp;IF(Y748&gt;0,"Company email. ","")&amp;IF(Z748&gt;=15,"High-value product. ","")&amp;IF(AA748&gt;='Scoring Model'!$B$15,"High engagement. ","")&amp;IF(AB748&gt;0,"Buying intent in message. ","")&amp;IF(AC748&lt;0,"Negative intent in message. ","")))</f>
        <v>Strong source. Negative intent in message.</v>
      </c>
      <c r="AG748" s="11" t="n">
        <f aca="false">IF(W748="Likely Spam","",1/(1+EXP(-('Conversion Model'!$B$5+IFERROR(INDEX('Conversion Model'!$B$8:$B$14,MATCH(C748,'Conversion Model'!$A$8:$A$14,0)),0)+IFERROR(INDEX('Conversion Model'!$E$8:$E$9,MATCH(F748,'Conversion Model'!$D$8:$D$9,0)),0)+IFERROR(INDEX('Conversion Model'!$H$8:$H$12,MATCH(IF(LEFT(J748,8)="Payments","Payments",IF(LEFT(J748,7)="Lending","Lending",J748)),'Conversion Model'!$G$8:$G$12,0)),0)+MIN(L748,15)*'Conversion Model'!$B$17+IF(SUMPRODUCT(--ISNUMBER(SEARCH('Scoring Model'!$D$16:$D$25,K748)))&gt;0,'Conversion Model'!$B$18,0)+IF(SUMPRODUCT(--ISNUMBER(SEARCH('Scoring Model'!$G$16:$G$23,K748)))&gt;0,'Conversion Model'!$B$19,0)))))</f>
        <v>0.02667477276176</v>
      </c>
      <c r="AH748" s="3" t="n">
        <f aca="false">IF(OR(O748="Qualified",O748="Won",O748="Lost"),1,IF(O748="Unqualified",0,""))</f>
        <v>0</v>
      </c>
    </row>
    <row r="749" customFormat="false" ht="15" hidden="false" customHeight="true" outlineLevel="0" collapsed="false">
      <c r="A749" s="3" t="s">
        <v>2448</v>
      </c>
      <c r="B749" s="9" t="n">
        <v>46270.9055555556</v>
      </c>
      <c r="C749" s="3" t="s">
        <v>76</v>
      </c>
      <c r="D749" s="3" t="s">
        <v>2449</v>
      </c>
      <c r="E749" s="3" t="s">
        <v>2450</v>
      </c>
      <c r="F749" s="3" t="s">
        <v>54</v>
      </c>
      <c r="G749" s="3" t="s">
        <v>264</v>
      </c>
      <c r="H749" s="3"/>
      <c r="I749" s="3" t="s">
        <v>107</v>
      </c>
      <c r="J749" s="3" t="s">
        <v>117</v>
      </c>
      <c r="K749" s="3" t="s">
        <v>228</v>
      </c>
      <c r="L749" s="3" t="n">
        <v>4</v>
      </c>
      <c r="M749" s="3" t="n">
        <v>37.8</v>
      </c>
      <c r="N749" s="3" t="s">
        <v>59</v>
      </c>
      <c r="O749" s="3" t="s">
        <v>133</v>
      </c>
      <c r="P749" s="10"/>
      <c r="Q749" s="3" t="n">
        <f aca="false">IF(F749="Disposable",1,0)</f>
        <v>0</v>
      </c>
      <c r="R749" s="3" t="n">
        <f aca="false">IF(SUMPRODUCT(--ISNUMBER(SEARCH('Spam Rules'!$A$22:$A$35,K749)))&gt;0,1,0)</f>
        <v>0</v>
      </c>
      <c r="S749" s="3" t="n">
        <f aca="false">IF(AND(F749="Free",G749=""),1,0)</f>
        <v>0</v>
      </c>
      <c r="T749" s="3" t="n">
        <f aca="false">IF(LEN(TRIM(K749))&lt;15,1,0)</f>
        <v>0</v>
      </c>
      <c r="U749" s="3" t="n">
        <f aca="false">IF(COUNTIF($E$2:$E$801,E749)&gt;1,1,0)</f>
        <v>0</v>
      </c>
      <c r="V749" s="3" t="n">
        <f aca="false">Q749*'Spam Rules'!$H$6+R749*'Spam Rules'!$H$7+S749*'Spam Rules'!$H$8+T749*'Spam Rules'!$H$9+U749*'Spam Rules'!$H$10</f>
        <v>0</v>
      </c>
      <c r="W749" s="3" t="str">
        <f aca="false">IF(V749&gt;='Spam Rules'!$B$3,"Likely Spam","Genuine")</f>
        <v>Genuine</v>
      </c>
      <c r="X749" s="3" t="n">
        <f aca="false">IFERROR(INDEX('Scoring Model'!$B$5:$B$11,MATCH(C749,'Scoring Model'!$A$5:$A$11,0)),0)</f>
        <v>0</v>
      </c>
      <c r="Y749" s="3" t="n">
        <f aca="false">IFERROR(INDEX('Scoring Model'!$E$5:$E$7,MATCH(F749,'Scoring Model'!$D$5:$D$7,0)),0)</f>
        <v>0</v>
      </c>
      <c r="Z749" s="3" t="n">
        <f aca="false">IFERROR(INDEX('Scoring Model'!$H$5:$H$13,MATCH(J749,'Scoring Model'!$G$5:$G$13,0)),0)</f>
        <v>15</v>
      </c>
      <c r="AA749" s="3" t="n">
        <f aca="false">IF(L749&gt;='Scoring Model'!$B$14,'Scoring Model'!$B$15,IF(L749&gt;='Scoring Model'!$B$16,'Scoring Model'!$B$17,0))</f>
        <v>8</v>
      </c>
      <c r="AB749" s="3" t="n">
        <f aca="false">IF(SUMPRODUCT(--ISNUMBER(SEARCH('Scoring Model'!$D$16:$D$25,K749)))&gt;0,'Scoring Model'!$B$18,0)</f>
        <v>15</v>
      </c>
      <c r="AC749" s="3" t="n">
        <f aca="false">IF(SUMPRODUCT(--ISNUMBER(SEARCH('Scoring Model'!$G$16:$G$23,K749)))&gt;0,'Scoring Model'!$B$19,0)</f>
        <v>0</v>
      </c>
      <c r="AD749" s="3" t="n">
        <f aca="false">IF(W749="Likely Spam","",SUM(X749:AC749))</f>
        <v>38</v>
      </c>
      <c r="AE749" s="3" t="str">
        <f aca="false">IF(W749="Likely Spam","Spam",IF(AD749&gt;='Scoring Model'!$B$21,"Hot",IF(AD749&gt;='Scoring Model'!$B$22,"Warm","Nurture")))</f>
        <v>Nurture</v>
      </c>
      <c r="AF749" s="3" t="str">
        <f aca="false">IF(W749="Likely Spam","Flagged by spam rules",TRIM(IF(X749&gt;=20,"Strong source. ","")&amp;IF(Y749&gt;0,"Company email. ","")&amp;IF(Z749&gt;=15,"High-value product. ","")&amp;IF(AA749&gt;='Scoring Model'!$B$15,"High engagement. ","")&amp;IF(AB749&gt;0,"Buying intent in message. ","")&amp;IF(AC749&lt;0,"Negative intent in message. ","")))</f>
        <v>High-value product. Buying intent in message.</v>
      </c>
      <c r="AG749" s="11" t="n">
        <f aca="false">IF(W749="Likely Spam","",1/(1+EXP(-('Conversion Model'!$B$5+IFERROR(INDEX('Conversion Model'!$B$8:$B$14,MATCH(C749,'Conversion Model'!$A$8:$A$14,0)),0)+IFERROR(INDEX('Conversion Model'!$E$8:$E$9,MATCH(F749,'Conversion Model'!$D$8:$D$9,0)),0)+IFERROR(INDEX('Conversion Model'!$H$8:$H$12,MATCH(IF(LEFT(J749,8)="Payments","Payments",IF(LEFT(J749,7)="Lending","Lending",J749)),'Conversion Model'!$G$8:$G$12,0)),0)+MIN(L749,15)*'Conversion Model'!$B$17+IF(SUMPRODUCT(--ISNUMBER(SEARCH('Scoring Model'!$D$16:$D$25,K749)))&gt;0,'Conversion Model'!$B$18,0)+IF(SUMPRODUCT(--ISNUMBER(SEARCH('Scoring Model'!$G$16:$G$23,K749)))&gt;0,'Conversion Model'!$B$19,0)))))</f>
        <v>0.431925365643412</v>
      </c>
      <c r="AH749" s="3" t="str">
        <f aca="false">IF(OR(O749="Qualified",O749="Won",O749="Lost"),1,IF(O749="Unqualified",0,""))</f>
        <v/>
      </c>
    </row>
    <row r="750" customFormat="false" ht="15" hidden="false" customHeight="true" outlineLevel="0" collapsed="false">
      <c r="A750" s="3" t="s">
        <v>2451</v>
      </c>
      <c r="B750" s="9" t="n">
        <v>46271.1229166667</v>
      </c>
      <c r="C750" s="3" t="s">
        <v>51</v>
      </c>
      <c r="D750" s="3" t="s">
        <v>374</v>
      </c>
      <c r="E750" s="3" t="s">
        <v>2452</v>
      </c>
      <c r="F750" s="3" t="s">
        <v>54</v>
      </c>
      <c r="G750" s="3"/>
      <c r="H750" s="3"/>
      <c r="I750" s="3" t="s">
        <v>334</v>
      </c>
      <c r="J750" s="3" t="s">
        <v>65</v>
      </c>
      <c r="K750" s="3" t="s">
        <v>170</v>
      </c>
      <c r="L750" s="3" t="n">
        <v>1</v>
      </c>
      <c r="M750" s="3"/>
      <c r="N750" s="3" t="s">
        <v>59</v>
      </c>
      <c r="O750" s="3"/>
      <c r="P750" s="10"/>
      <c r="Q750" s="3" t="n">
        <f aca="false">IF(F750="Disposable",1,0)</f>
        <v>0</v>
      </c>
      <c r="R750" s="3" t="n">
        <f aca="false">IF(SUMPRODUCT(--ISNUMBER(SEARCH('Spam Rules'!$A$22:$A$35,K750)))&gt;0,1,0)</f>
        <v>0</v>
      </c>
      <c r="S750" s="3" t="n">
        <f aca="false">IF(AND(F750="Free",G750=""),1,0)</f>
        <v>1</v>
      </c>
      <c r="T750" s="3" t="n">
        <f aca="false">IF(LEN(TRIM(K750))&lt;15,1,0)</f>
        <v>1</v>
      </c>
      <c r="U750" s="3" t="n">
        <f aca="false">IF(COUNTIF($E$2:$E$801,E750)&gt;1,1,0)</f>
        <v>0</v>
      </c>
      <c r="V750" s="3" t="n">
        <f aca="false">Q750*'Spam Rules'!$H$6+R750*'Spam Rules'!$H$7+S750*'Spam Rules'!$H$8+T750*'Spam Rules'!$H$9+U750*'Spam Rules'!$H$10</f>
        <v>1</v>
      </c>
      <c r="W750" s="3" t="str">
        <f aca="false">IF(V750&gt;='Spam Rules'!$B$3,"Likely Spam","Genuine")</f>
        <v>Likely Spam</v>
      </c>
      <c r="X750" s="3" t="n">
        <f aca="false">IFERROR(INDEX('Scoring Model'!$B$5:$B$11,MATCH(C750,'Scoring Model'!$A$5:$A$11,0)),0)</f>
        <v>10</v>
      </c>
      <c r="Y750" s="3" t="n">
        <f aca="false">IFERROR(INDEX('Scoring Model'!$E$5:$E$7,MATCH(F750,'Scoring Model'!$D$5:$D$7,0)),0)</f>
        <v>0</v>
      </c>
      <c r="Z750" s="3" t="n">
        <f aca="false">IFERROR(INDEX('Scoring Model'!$H$5:$H$13,MATCH(J750,'Scoring Model'!$G$5:$G$13,0)),0)</f>
        <v>0</v>
      </c>
      <c r="AA750" s="3" t="n">
        <f aca="false">IF(L750&gt;='Scoring Model'!$B$14,'Scoring Model'!$B$15,IF(L750&gt;='Scoring Model'!$B$16,'Scoring Model'!$B$17,0))</f>
        <v>0</v>
      </c>
      <c r="AB750" s="3" t="n">
        <f aca="false">IF(SUMPRODUCT(--ISNUMBER(SEARCH('Scoring Model'!$D$16:$D$25,K750)))&gt;0,'Scoring Model'!$B$18,0)</f>
        <v>0</v>
      </c>
      <c r="AC750" s="3" t="n">
        <f aca="false">IF(SUMPRODUCT(--ISNUMBER(SEARCH('Scoring Model'!$G$16:$G$23,K750)))&gt;0,'Scoring Model'!$B$19,0)</f>
        <v>0</v>
      </c>
      <c r="AD750" s="3" t="str">
        <f aca="false">IF(W750="Likely Spam","",SUM(X750:AC750))</f>
        <v/>
      </c>
      <c r="AE750" s="3" t="str">
        <f aca="false">IF(W750="Likely Spam","Spam",IF(AD750&gt;='Scoring Model'!$B$21,"Hot",IF(AD750&gt;='Scoring Model'!$B$22,"Warm","Nurture")))</f>
        <v>Spam</v>
      </c>
      <c r="AF750" s="3" t="str">
        <f aca="false">IF(W750="Likely Spam","Flagged by spam rules",TRIM(IF(X750&gt;=20,"Strong source. ","")&amp;IF(Y750&gt;0,"Company email. ","")&amp;IF(Z750&gt;=15,"High-value product. ","")&amp;IF(AA750&gt;='Scoring Model'!$B$15,"High engagement. ","")&amp;IF(AB750&gt;0,"Buying intent in message. ","")&amp;IF(AC750&lt;0,"Negative intent in message. ","")))</f>
        <v>Flagged by spam rules</v>
      </c>
      <c r="AG750" s="11" t="str">
        <f aca="false">IF(W750="Likely Spam","",1/(1+EXP(-('Conversion Model'!$B$5+IFERROR(INDEX('Conversion Model'!$B$8:$B$14,MATCH(C750,'Conversion Model'!$A$8:$A$14,0)),0)+IFERROR(INDEX('Conversion Model'!$E$8:$E$9,MATCH(F750,'Conversion Model'!$D$8:$D$9,0)),0)+IFERROR(INDEX('Conversion Model'!$H$8:$H$12,MATCH(IF(LEFT(J750,8)="Payments","Payments",IF(LEFT(J750,7)="Lending","Lending",J750)),'Conversion Model'!$G$8:$G$12,0)),0)+MIN(L750,15)*'Conversion Model'!$B$17+IF(SUMPRODUCT(--ISNUMBER(SEARCH('Scoring Model'!$D$16:$D$25,K750)))&gt;0,'Conversion Model'!$B$18,0)+IF(SUMPRODUCT(--ISNUMBER(SEARCH('Scoring Model'!$G$16:$G$23,K750)))&gt;0,'Conversion Model'!$B$19,0)))))</f>
        <v/>
      </c>
      <c r="AH750" s="3" t="str">
        <f aca="false">IF(OR(O750="Qualified",O750="Won",O750="Lost"),1,IF(O750="Unqualified",0,""))</f>
        <v/>
      </c>
    </row>
    <row r="751" customFormat="false" ht="15" hidden="false" customHeight="true" outlineLevel="0" collapsed="false">
      <c r="A751" s="3" t="s">
        <v>2453</v>
      </c>
      <c r="B751" s="9" t="n">
        <v>46271.1763888889</v>
      </c>
      <c r="C751" s="3" t="s">
        <v>112</v>
      </c>
      <c r="D751" s="3" t="s">
        <v>2454</v>
      </c>
      <c r="E751" s="3" t="s">
        <v>2455</v>
      </c>
      <c r="F751" s="3" t="s">
        <v>54</v>
      </c>
      <c r="G751" s="3" t="s">
        <v>1379</v>
      </c>
      <c r="H751" s="3"/>
      <c r="I751" s="3" t="s">
        <v>116</v>
      </c>
      <c r="J751" s="3" t="s">
        <v>145</v>
      </c>
      <c r="K751" s="3" t="s">
        <v>58</v>
      </c>
      <c r="L751" s="3" t="n">
        <v>4</v>
      </c>
      <c r="M751" s="3" t="n">
        <v>5.3</v>
      </c>
      <c r="N751" s="3" t="s">
        <v>59</v>
      </c>
      <c r="O751" s="3" t="s">
        <v>133</v>
      </c>
      <c r="P751" s="10"/>
      <c r="Q751" s="3" t="n">
        <f aca="false">IF(F751="Disposable",1,0)</f>
        <v>0</v>
      </c>
      <c r="R751" s="3" t="n">
        <f aca="false">IF(SUMPRODUCT(--ISNUMBER(SEARCH('Spam Rules'!$A$22:$A$35,K751)))&gt;0,1,0)</f>
        <v>0</v>
      </c>
      <c r="S751" s="3" t="n">
        <f aca="false">IF(AND(F751="Free",G751=""),1,0)</f>
        <v>0</v>
      </c>
      <c r="T751" s="3" t="n">
        <f aca="false">IF(LEN(TRIM(K751))&lt;15,1,0)</f>
        <v>0</v>
      </c>
      <c r="U751" s="3" t="n">
        <f aca="false">IF(COUNTIF($E$2:$E$801,E751)&gt;1,1,0)</f>
        <v>0</v>
      </c>
      <c r="V751" s="3" t="n">
        <f aca="false">Q751*'Spam Rules'!$H$6+R751*'Spam Rules'!$H$7+S751*'Spam Rules'!$H$8+T751*'Spam Rules'!$H$9+U751*'Spam Rules'!$H$10</f>
        <v>0</v>
      </c>
      <c r="W751" s="3" t="str">
        <f aca="false">IF(V751&gt;='Spam Rules'!$B$3,"Likely Spam","Genuine")</f>
        <v>Genuine</v>
      </c>
      <c r="X751" s="3" t="n">
        <f aca="false">IFERROR(INDEX('Scoring Model'!$B$5:$B$11,MATCH(C751,'Scoring Model'!$A$5:$A$11,0)),0)</f>
        <v>15</v>
      </c>
      <c r="Y751" s="3" t="n">
        <f aca="false">IFERROR(INDEX('Scoring Model'!$E$5:$E$7,MATCH(F751,'Scoring Model'!$D$5:$D$7,0)),0)</f>
        <v>0</v>
      </c>
      <c r="Z751" s="3" t="n">
        <f aca="false">IFERROR(INDEX('Scoring Model'!$H$5:$H$13,MATCH(J751,'Scoring Model'!$G$5:$G$13,0)),0)</f>
        <v>5</v>
      </c>
      <c r="AA751" s="3" t="n">
        <f aca="false">IF(L751&gt;='Scoring Model'!$B$14,'Scoring Model'!$B$15,IF(L751&gt;='Scoring Model'!$B$16,'Scoring Model'!$B$17,0))</f>
        <v>8</v>
      </c>
      <c r="AB751" s="3" t="n">
        <f aca="false">IF(SUMPRODUCT(--ISNUMBER(SEARCH('Scoring Model'!$D$16:$D$25,K751)))&gt;0,'Scoring Model'!$B$18,0)</f>
        <v>15</v>
      </c>
      <c r="AC751" s="3" t="n">
        <f aca="false">IF(SUMPRODUCT(--ISNUMBER(SEARCH('Scoring Model'!$G$16:$G$23,K751)))&gt;0,'Scoring Model'!$B$19,0)</f>
        <v>0</v>
      </c>
      <c r="AD751" s="3" t="n">
        <f aca="false">IF(W751="Likely Spam","",SUM(X751:AC751))</f>
        <v>43</v>
      </c>
      <c r="AE751" s="3" t="str">
        <f aca="false">IF(W751="Likely Spam","Spam",IF(AD751&gt;='Scoring Model'!$B$21,"Hot",IF(AD751&gt;='Scoring Model'!$B$22,"Warm","Nurture")))</f>
        <v>Nurture</v>
      </c>
      <c r="AF751" s="3" t="str">
        <f aca="false">IF(W751="Likely Spam","Flagged by spam rules",TRIM(IF(X751&gt;=20,"Strong source. ","")&amp;IF(Y751&gt;0,"Company email. ","")&amp;IF(Z751&gt;=15,"High-value product. ","")&amp;IF(AA751&gt;='Scoring Model'!$B$15,"High engagement. ","")&amp;IF(AB751&gt;0,"Buying intent in message. ","")&amp;IF(AC751&lt;0,"Negative intent in message. ","")))</f>
        <v>Buying intent in message.</v>
      </c>
      <c r="AG751" s="11" t="n">
        <f aca="false">IF(W751="Likely Spam","",1/(1+EXP(-('Conversion Model'!$B$5+IFERROR(INDEX('Conversion Model'!$B$8:$B$14,MATCH(C751,'Conversion Model'!$A$8:$A$14,0)),0)+IFERROR(INDEX('Conversion Model'!$E$8:$E$9,MATCH(F751,'Conversion Model'!$D$8:$D$9,0)),0)+IFERROR(INDEX('Conversion Model'!$H$8:$H$12,MATCH(IF(LEFT(J751,8)="Payments","Payments",IF(LEFT(J751,7)="Lending","Lending",J751)),'Conversion Model'!$G$8:$G$12,0)),0)+MIN(L751,15)*'Conversion Model'!$B$17+IF(SUMPRODUCT(--ISNUMBER(SEARCH('Scoring Model'!$D$16:$D$25,K751)))&gt;0,'Conversion Model'!$B$18,0)+IF(SUMPRODUCT(--ISNUMBER(SEARCH('Scoring Model'!$G$16:$G$23,K751)))&gt;0,'Conversion Model'!$B$19,0)))))</f>
        <v>0.330925973748733</v>
      </c>
      <c r="AH751" s="3" t="str">
        <f aca="false">IF(OR(O751="Qualified",O751="Won",O751="Lost"),1,IF(O751="Unqualified",0,""))</f>
        <v/>
      </c>
    </row>
    <row r="752" customFormat="false" ht="15" hidden="false" customHeight="true" outlineLevel="0" collapsed="false">
      <c r="A752" s="3" t="s">
        <v>2456</v>
      </c>
      <c r="B752" s="9" t="n">
        <v>46271.4305555556</v>
      </c>
      <c r="C752" s="3" t="s">
        <v>91</v>
      </c>
      <c r="D752" s="3" t="s">
        <v>681</v>
      </c>
      <c r="E752" s="3" t="s">
        <v>2457</v>
      </c>
      <c r="F752" s="3" t="s">
        <v>22</v>
      </c>
      <c r="G752" s="3" t="s">
        <v>432</v>
      </c>
      <c r="H752" s="3" t="s">
        <v>433</v>
      </c>
      <c r="I752" s="3" t="s">
        <v>80</v>
      </c>
      <c r="J752" s="3" t="s">
        <v>122</v>
      </c>
      <c r="K752" s="3" t="s">
        <v>58</v>
      </c>
      <c r="L752" s="3" t="n">
        <v>3</v>
      </c>
      <c r="M752" s="3" t="n">
        <v>22.6</v>
      </c>
      <c r="N752" s="3" t="s">
        <v>96</v>
      </c>
      <c r="O752" s="3" t="s">
        <v>133</v>
      </c>
      <c r="P752" s="10"/>
      <c r="Q752" s="3" t="n">
        <f aca="false">IF(F752="Disposable",1,0)</f>
        <v>0</v>
      </c>
      <c r="R752" s="3" t="n">
        <f aca="false">IF(SUMPRODUCT(--ISNUMBER(SEARCH('Spam Rules'!$A$22:$A$35,K752)))&gt;0,1,0)</f>
        <v>0</v>
      </c>
      <c r="S752" s="3" t="n">
        <f aca="false">IF(AND(F752="Free",G752=""),1,0)</f>
        <v>0</v>
      </c>
      <c r="T752" s="3" t="n">
        <f aca="false">IF(LEN(TRIM(K752))&lt;15,1,0)</f>
        <v>0</v>
      </c>
      <c r="U752" s="3" t="n">
        <f aca="false">IF(COUNTIF($E$2:$E$801,E752)&gt;1,1,0)</f>
        <v>0</v>
      </c>
      <c r="V752" s="3" t="n">
        <f aca="false">Q752*'Spam Rules'!$H$6+R752*'Spam Rules'!$H$7+S752*'Spam Rules'!$H$8+T752*'Spam Rules'!$H$9+U752*'Spam Rules'!$H$10</f>
        <v>0</v>
      </c>
      <c r="W752" s="3" t="str">
        <f aca="false">IF(V752&gt;='Spam Rules'!$B$3,"Likely Spam","Genuine")</f>
        <v>Genuine</v>
      </c>
      <c r="X752" s="3" t="n">
        <f aca="false">IFERROR(INDEX('Scoring Model'!$B$5:$B$11,MATCH(C752,'Scoring Model'!$A$5:$A$11,0)),0)</f>
        <v>5</v>
      </c>
      <c r="Y752" s="3" t="n">
        <f aca="false">IFERROR(INDEX('Scoring Model'!$E$5:$E$7,MATCH(F752,'Scoring Model'!$D$5:$D$7,0)),0)</f>
        <v>20</v>
      </c>
      <c r="Z752" s="3" t="n">
        <f aca="false">IFERROR(INDEX('Scoring Model'!$H$5:$H$13,MATCH(J752,'Scoring Model'!$G$5:$G$13,0)),0)</f>
        <v>15</v>
      </c>
      <c r="AA752" s="3" t="n">
        <f aca="false">IF(L752&gt;='Scoring Model'!$B$14,'Scoring Model'!$B$15,IF(L752&gt;='Scoring Model'!$B$16,'Scoring Model'!$B$17,0))</f>
        <v>0</v>
      </c>
      <c r="AB752" s="3" t="n">
        <f aca="false">IF(SUMPRODUCT(--ISNUMBER(SEARCH('Scoring Model'!$D$16:$D$25,K752)))&gt;0,'Scoring Model'!$B$18,0)</f>
        <v>15</v>
      </c>
      <c r="AC752" s="3" t="n">
        <f aca="false">IF(SUMPRODUCT(--ISNUMBER(SEARCH('Scoring Model'!$G$16:$G$23,K752)))&gt;0,'Scoring Model'!$B$19,0)</f>
        <v>0</v>
      </c>
      <c r="AD752" s="3" t="n">
        <f aca="false">IF(W752="Likely Spam","",SUM(X752:AC752))</f>
        <v>55</v>
      </c>
      <c r="AE752" s="3" t="str">
        <f aca="false">IF(W752="Likely Spam","Spam",IF(AD752&gt;='Scoring Model'!$B$21,"Hot",IF(AD752&gt;='Scoring Model'!$B$22,"Warm","Nurture")))</f>
        <v>Warm</v>
      </c>
      <c r="AF752" s="3" t="str">
        <f aca="false">IF(W752="Likely Spam","Flagged by spam rules",TRIM(IF(X752&gt;=20,"Strong source. ","")&amp;IF(Y752&gt;0,"Company email. ","")&amp;IF(Z752&gt;=15,"High-value product. ","")&amp;IF(AA752&gt;='Scoring Model'!$B$15,"High engagement. ","")&amp;IF(AB752&gt;0,"Buying intent in message. ","")&amp;IF(AC752&lt;0,"Negative intent in message. ","")))</f>
        <v>Company email. High-value product. Buying intent in message.</v>
      </c>
      <c r="AG752" s="11" t="n">
        <f aca="false">IF(W752="Likely Spam","",1/(1+EXP(-('Conversion Model'!$B$5+IFERROR(INDEX('Conversion Model'!$B$8:$B$14,MATCH(C752,'Conversion Model'!$A$8:$A$14,0)),0)+IFERROR(INDEX('Conversion Model'!$E$8:$E$9,MATCH(F752,'Conversion Model'!$D$8:$D$9,0)),0)+IFERROR(INDEX('Conversion Model'!$H$8:$H$12,MATCH(IF(LEFT(J752,8)="Payments","Payments",IF(LEFT(J752,7)="Lending","Lending",J752)),'Conversion Model'!$G$8:$G$12,0)),0)+MIN(L752,15)*'Conversion Model'!$B$17+IF(SUMPRODUCT(--ISNUMBER(SEARCH('Scoring Model'!$D$16:$D$25,K752)))&gt;0,'Conversion Model'!$B$18,0)+IF(SUMPRODUCT(--ISNUMBER(SEARCH('Scoring Model'!$G$16:$G$23,K752)))&gt;0,'Conversion Model'!$B$19,0)))))</f>
        <v>0.24397660166495</v>
      </c>
      <c r="AH752" s="3" t="str">
        <f aca="false">IF(OR(O752="Qualified",O752="Won",O752="Lost"),1,IF(O752="Unqualified",0,""))</f>
        <v/>
      </c>
    </row>
    <row r="753" customFormat="false" ht="15" hidden="false" customHeight="true" outlineLevel="0" collapsed="false">
      <c r="A753" s="3" t="s">
        <v>2458</v>
      </c>
      <c r="B753" s="9" t="n">
        <v>46271.5180555556</v>
      </c>
      <c r="C753" s="3" t="s">
        <v>51</v>
      </c>
      <c r="D753" s="3" t="s">
        <v>2013</v>
      </c>
      <c r="E753" s="3" t="s">
        <v>169</v>
      </c>
      <c r="F753" s="3" t="s">
        <v>63</v>
      </c>
      <c r="G753" s="3"/>
      <c r="H753" s="3"/>
      <c r="I753" s="3" t="s">
        <v>73</v>
      </c>
      <c r="J753" s="3" t="s">
        <v>122</v>
      </c>
      <c r="K753" s="3" t="s">
        <v>363</v>
      </c>
      <c r="L753" s="3" t="n">
        <v>1</v>
      </c>
      <c r="M753" s="3" t="n">
        <v>33.1</v>
      </c>
      <c r="N753" s="3" t="s">
        <v>67</v>
      </c>
      <c r="O753" s="3" t="s">
        <v>68</v>
      </c>
      <c r="P753" s="10"/>
      <c r="Q753" s="3" t="n">
        <f aca="false">IF(F753="Disposable",1,0)</f>
        <v>1</v>
      </c>
      <c r="R753" s="3" t="n">
        <f aca="false">IF(SUMPRODUCT(--ISNUMBER(SEARCH('Spam Rules'!$A$22:$A$35,K753)))&gt;0,1,0)</f>
        <v>1</v>
      </c>
      <c r="S753" s="3" t="n">
        <f aca="false">IF(AND(F753="Free",G753=""),1,0)</f>
        <v>0</v>
      </c>
      <c r="T753" s="3" t="n">
        <f aca="false">IF(LEN(TRIM(K753))&lt;15,1,0)</f>
        <v>0</v>
      </c>
      <c r="U753" s="3" t="n">
        <f aca="false">IF(COUNTIF($E$2:$E$801,E753)&gt;1,1,0)</f>
        <v>1</v>
      </c>
      <c r="V753" s="3" t="n">
        <f aca="false">Q753*'Spam Rules'!$H$6+R753*'Spam Rules'!$H$7+S753*'Spam Rules'!$H$8+T753*'Spam Rules'!$H$9+U753*'Spam Rules'!$H$10</f>
        <v>2</v>
      </c>
      <c r="W753" s="3" t="str">
        <f aca="false">IF(V753&gt;='Spam Rules'!$B$3,"Likely Spam","Genuine")</f>
        <v>Likely Spam</v>
      </c>
      <c r="X753" s="3" t="n">
        <f aca="false">IFERROR(INDEX('Scoring Model'!$B$5:$B$11,MATCH(C753,'Scoring Model'!$A$5:$A$11,0)),0)</f>
        <v>10</v>
      </c>
      <c r="Y753" s="3" t="n">
        <f aca="false">IFERROR(INDEX('Scoring Model'!$E$5:$E$7,MATCH(F753,'Scoring Model'!$D$5:$D$7,0)),0)</f>
        <v>0</v>
      </c>
      <c r="Z753" s="3" t="n">
        <f aca="false">IFERROR(INDEX('Scoring Model'!$H$5:$H$13,MATCH(J753,'Scoring Model'!$G$5:$G$13,0)),0)</f>
        <v>15</v>
      </c>
      <c r="AA753" s="3" t="n">
        <f aca="false">IF(L753&gt;='Scoring Model'!$B$14,'Scoring Model'!$B$15,IF(L753&gt;='Scoring Model'!$B$16,'Scoring Model'!$B$17,0))</f>
        <v>0</v>
      </c>
      <c r="AB753" s="3" t="n">
        <f aca="false">IF(SUMPRODUCT(--ISNUMBER(SEARCH('Scoring Model'!$D$16:$D$25,K753)))&gt;0,'Scoring Model'!$B$18,0)</f>
        <v>0</v>
      </c>
      <c r="AC753" s="3" t="n">
        <f aca="false">IF(SUMPRODUCT(--ISNUMBER(SEARCH('Scoring Model'!$G$16:$G$23,K753)))&gt;0,'Scoring Model'!$B$19,0)</f>
        <v>0</v>
      </c>
      <c r="AD753" s="3" t="str">
        <f aca="false">IF(W753="Likely Spam","",SUM(X753:AC753))</f>
        <v/>
      </c>
      <c r="AE753" s="3" t="str">
        <f aca="false">IF(W753="Likely Spam","Spam",IF(AD753&gt;='Scoring Model'!$B$21,"Hot",IF(AD753&gt;='Scoring Model'!$B$22,"Warm","Nurture")))</f>
        <v>Spam</v>
      </c>
      <c r="AF753" s="3" t="str">
        <f aca="false">IF(W753="Likely Spam","Flagged by spam rules",TRIM(IF(X753&gt;=20,"Strong source. ","")&amp;IF(Y753&gt;0,"Company email. ","")&amp;IF(Z753&gt;=15,"High-value product. ","")&amp;IF(AA753&gt;='Scoring Model'!$B$15,"High engagement. ","")&amp;IF(AB753&gt;0,"Buying intent in message. ","")&amp;IF(AC753&lt;0,"Negative intent in message. ","")))</f>
        <v>Flagged by spam rules</v>
      </c>
      <c r="AG753" s="11" t="str">
        <f aca="false">IF(W753="Likely Spam","",1/(1+EXP(-('Conversion Model'!$B$5+IFERROR(INDEX('Conversion Model'!$B$8:$B$14,MATCH(C753,'Conversion Model'!$A$8:$A$14,0)),0)+IFERROR(INDEX('Conversion Model'!$E$8:$E$9,MATCH(F753,'Conversion Model'!$D$8:$D$9,0)),0)+IFERROR(INDEX('Conversion Model'!$H$8:$H$12,MATCH(IF(LEFT(J753,8)="Payments","Payments",IF(LEFT(J753,7)="Lending","Lending",J753)),'Conversion Model'!$G$8:$G$12,0)),0)+MIN(L753,15)*'Conversion Model'!$B$17+IF(SUMPRODUCT(--ISNUMBER(SEARCH('Scoring Model'!$D$16:$D$25,K753)))&gt;0,'Conversion Model'!$B$18,0)+IF(SUMPRODUCT(--ISNUMBER(SEARCH('Scoring Model'!$G$16:$G$23,K753)))&gt;0,'Conversion Model'!$B$19,0)))))</f>
        <v/>
      </c>
      <c r="AH753" s="3" t="str">
        <f aca="false">IF(OR(O753="Qualified",O753="Won",O753="Lost"),1,IF(O753="Unqualified",0,""))</f>
        <v/>
      </c>
    </row>
    <row r="754" customFormat="false" ht="15" hidden="false" customHeight="true" outlineLevel="0" collapsed="false">
      <c r="A754" s="3" t="s">
        <v>2459</v>
      </c>
      <c r="B754" s="9" t="n">
        <v>46271.5833333333</v>
      </c>
      <c r="C754" s="3" t="s">
        <v>51</v>
      </c>
      <c r="D754" s="3" t="s">
        <v>758</v>
      </c>
      <c r="E754" s="3" t="s">
        <v>2460</v>
      </c>
      <c r="F754" s="3" t="s">
        <v>63</v>
      </c>
      <c r="G754" s="3"/>
      <c r="H754" s="3"/>
      <c r="I754" s="3" t="s">
        <v>227</v>
      </c>
      <c r="J754" s="3" t="s">
        <v>122</v>
      </c>
      <c r="K754" s="3" t="s">
        <v>126</v>
      </c>
      <c r="L754" s="3" t="n">
        <v>1</v>
      </c>
      <c r="M754" s="3" t="n">
        <v>8</v>
      </c>
      <c r="N754" s="3" t="s">
        <v>96</v>
      </c>
      <c r="O754" s="3" t="s">
        <v>68</v>
      </c>
      <c r="P754" s="10"/>
      <c r="Q754" s="3" t="n">
        <f aca="false">IF(F754="Disposable",1,0)</f>
        <v>1</v>
      </c>
      <c r="R754" s="3" t="n">
        <f aca="false">IF(SUMPRODUCT(--ISNUMBER(SEARCH('Spam Rules'!$A$22:$A$35,K754)))&gt;0,1,0)</f>
        <v>0</v>
      </c>
      <c r="S754" s="3" t="n">
        <f aca="false">IF(AND(F754="Free",G754=""),1,0)</f>
        <v>0</v>
      </c>
      <c r="T754" s="3" t="n">
        <f aca="false">IF(LEN(TRIM(K754))&lt;15,1,0)</f>
        <v>1</v>
      </c>
      <c r="U754" s="3" t="n">
        <f aca="false">IF(COUNTIF($E$2:$E$801,E754)&gt;1,1,0)</f>
        <v>0</v>
      </c>
      <c r="V754" s="3" t="n">
        <f aca="false">Q754*'Spam Rules'!$H$6+R754*'Spam Rules'!$H$7+S754*'Spam Rules'!$H$8+T754*'Spam Rules'!$H$9+U754*'Spam Rules'!$H$10</f>
        <v>2</v>
      </c>
      <c r="W754" s="3" t="str">
        <f aca="false">IF(V754&gt;='Spam Rules'!$B$3,"Likely Spam","Genuine")</f>
        <v>Likely Spam</v>
      </c>
      <c r="X754" s="3" t="n">
        <f aca="false">IFERROR(INDEX('Scoring Model'!$B$5:$B$11,MATCH(C754,'Scoring Model'!$A$5:$A$11,0)),0)</f>
        <v>10</v>
      </c>
      <c r="Y754" s="3" t="n">
        <f aca="false">IFERROR(INDEX('Scoring Model'!$E$5:$E$7,MATCH(F754,'Scoring Model'!$D$5:$D$7,0)),0)</f>
        <v>0</v>
      </c>
      <c r="Z754" s="3" t="n">
        <f aca="false">IFERROR(INDEX('Scoring Model'!$H$5:$H$13,MATCH(J754,'Scoring Model'!$G$5:$G$13,0)),0)</f>
        <v>15</v>
      </c>
      <c r="AA754" s="3" t="n">
        <f aca="false">IF(L754&gt;='Scoring Model'!$B$14,'Scoring Model'!$B$15,IF(L754&gt;='Scoring Model'!$B$16,'Scoring Model'!$B$17,0))</f>
        <v>0</v>
      </c>
      <c r="AB754" s="3" t="n">
        <f aca="false">IF(SUMPRODUCT(--ISNUMBER(SEARCH('Scoring Model'!$D$16:$D$25,K754)))&gt;0,'Scoring Model'!$B$18,0)</f>
        <v>0</v>
      </c>
      <c r="AC754" s="3" t="n">
        <f aca="false">IF(SUMPRODUCT(--ISNUMBER(SEARCH('Scoring Model'!$G$16:$G$23,K754)))&gt;0,'Scoring Model'!$B$19,0)</f>
        <v>0</v>
      </c>
      <c r="AD754" s="3" t="str">
        <f aca="false">IF(W754="Likely Spam","",SUM(X754:AC754))</f>
        <v/>
      </c>
      <c r="AE754" s="3" t="str">
        <f aca="false">IF(W754="Likely Spam","Spam",IF(AD754&gt;='Scoring Model'!$B$21,"Hot",IF(AD754&gt;='Scoring Model'!$B$22,"Warm","Nurture")))</f>
        <v>Spam</v>
      </c>
      <c r="AF754" s="3" t="str">
        <f aca="false">IF(W754="Likely Spam","Flagged by spam rules",TRIM(IF(X754&gt;=20,"Strong source. ","")&amp;IF(Y754&gt;0,"Company email. ","")&amp;IF(Z754&gt;=15,"High-value product. ","")&amp;IF(AA754&gt;='Scoring Model'!$B$15,"High engagement. ","")&amp;IF(AB754&gt;0,"Buying intent in message. ","")&amp;IF(AC754&lt;0,"Negative intent in message. ","")))</f>
        <v>Flagged by spam rules</v>
      </c>
      <c r="AG754" s="11" t="str">
        <f aca="false">IF(W754="Likely Spam","",1/(1+EXP(-('Conversion Model'!$B$5+IFERROR(INDEX('Conversion Model'!$B$8:$B$14,MATCH(C754,'Conversion Model'!$A$8:$A$14,0)),0)+IFERROR(INDEX('Conversion Model'!$E$8:$E$9,MATCH(F754,'Conversion Model'!$D$8:$D$9,0)),0)+IFERROR(INDEX('Conversion Model'!$H$8:$H$12,MATCH(IF(LEFT(J754,8)="Payments","Payments",IF(LEFT(J754,7)="Lending","Lending",J754)),'Conversion Model'!$G$8:$G$12,0)),0)+MIN(L754,15)*'Conversion Model'!$B$17+IF(SUMPRODUCT(--ISNUMBER(SEARCH('Scoring Model'!$D$16:$D$25,K754)))&gt;0,'Conversion Model'!$B$18,0)+IF(SUMPRODUCT(--ISNUMBER(SEARCH('Scoring Model'!$G$16:$G$23,K754)))&gt;0,'Conversion Model'!$B$19,0)))))</f>
        <v/>
      </c>
      <c r="AH754" s="3" t="str">
        <f aca="false">IF(OR(O754="Qualified",O754="Won",O754="Lost"),1,IF(O754="Unqualified",0,""))</f>
        <v/>
      </c>
    </row>
    <row r="755" customFormat="false" ht="15" hidden="false" customHeight="true" outlineLevel="0" collapsed="false">
      <c r="A755" s="3" t="s">
        <v>2461</v>
      </c>
      <c r="B755" s="9" t="n">
        <v>46271.5965277778</v>
      </c>
      <c r="C755" s="3" t="s">
        <v>160</v>
      </c>
      <c r="D755" s="3" t="s">
        <v>2275</v>
      </c>
      <c r="E755" s="3" t="s">
        <v>2462</v>
      </c>
      <c r="F755" s="3" t="s">
        <v>22</v>
      </c>
      <c r="G755" s="3" t="s">
        <v>2463</v>
      </c>
      <c r="H755" s="3" t="s">
        <v>2464</v>
      </c>
      <c r="I755" s="3" t="s">
        <v>227</v>
      </c>
      <c r="J755" s="3" t="s">
        <v>165</v>
      </c>
      <c r="K755" s="3" t="s">
        <v>189</v>
      </c>
      <c r="L755" s="3" t="n">
        <v>11</v>
      </c>
      <c r="M755" s="3" t="n">
        <v>12.7</v>
      </c>
      <c r="N755" s="3" t="s">
        <v>59</v>
      </c>
      <c r="O755" s="3" t="s">
        <v>133</v>
      </c>
      <c r="P755" s="10"/>
      <c r="Q755" s="3" t="n">
        <f aca="false">IF(F755="Disposable",1,0)</f>
        <v>0</v>
      </c>
      <c r="R755" s="3" t="n">
        <f aca="false">IF(SUMPRODUCT(--ISNUMBER(SEARCH('Spam Rules'!$A$22:$A$35,K755)))&gt;0,1,0)</f>
        <v>0</v>
      </c>
      <c r="S755" s="3" t="n">
        <f aca="false">IF(AND(F755="Free",G755=""),1,0)</f>
        <v>0</v>
      </c>
      <c r="T755" s="3" t="n">
        <f aca="false">IF(LEN(TRIM(K755))&lt;15,1,0)</f>
        <v>0</v>
      </c>
      <c r="U755" s="3" t="n">
        <f aca="false">IF(COUNTIF($E$2:$E$801,E755)&gt;1,1,0)</f>
        <v>0</v>
      </c>
      <c r="V755" s="3" t="n">
        <f aca="false">Q755*'Spam Rules'!$H$6+R755*'Spam Rules'!$H$7+S755*'Spam Rules'!$H$8+T755*'Spam Rules'!$H$9+U755*'Spam Rules'!$H$10</f>
        <v>0</v>
      </c>
      <c r="W755" s="3" t="str">
        <f aca="false">IF(V755&gt;='Spam Rules'!$B$3,"Likely Spam","Genuine")</f>
        <v>Genuine</v>
      </c>
      <c r="X755" s="3" t="n">
        <f aca="false">IFERROR(INDEX('Scoring Model'!$B$5:$B$11,MATCH(C755,'Scoring Model'!$A$5:$A$11,0)),0)</f>
        <v>25</v>
      </c>
      <c r="Y755" s="3" t="n">
        <f aca="false">IFERROR(INDEX('Scoring Model'!$E$5:$E$7,MATCH(F755,'Scoring Model'!$D$5:$D$7,0)),0)</f>
        <v>20</v>
      </c>
      <c r="Z755" s="3" t="n">
        <f aca="false">IFERROR(INDEX('Scoring Model'!$H$5:$H$13,MATCH(J755,'Scoring Model'!$G$5:$G$13,0)),0)</f>
        <v>15</v>
      </c>
      <c r="AA755" s="3" t="n">
        <f aca="false">IF(L755&gt;='Scoring Model'!$B$14,'Scoring Model'!$B$15,IF(L755&gt;='Scoring Model'!$B$16,'Scoring Model'!$B$17,0))</f>
        <v>15</v>
      </c>
      <c r="AB755" s="3" t="n">
        <f aca="false">IF(SUMPRODUCT(--ISNUMBER(SEARCH('Scoring Model'!$D$16:$D$25,K755)))&gt;0,'Scoring Model'!$B$18,0)</f>
        <v>15</v>
      </c>
      <c r="AC755" s="3" t="n">
        <f aca="false">IF(SUMPRODUCT(--ISNUMBER(SEARCH('Scoring Model'!$G$16:$G$23,K755)))&gt;0,'Scoring Model'!$B$19,0)</f>
        <v>0</v>
      </c>
      <c r="AD755" s="3" t="n">
        <f aca="false">IF(W755="Likely Spam","",SUM(X755:AC755))</f>
        <v>90</v>
      </c>
      <c r="AE755" s="3" t="str">
        <f aca="false">IF(W755="Likely Spam","Spam",IF(AD755&gt;='Scoring Model'!$B$21,"Hot",IF(AD755&gt;='Scoring Model'!$B$22,"Warm","Nurture")))</f>
        <v>Hot</v>
      </c>
      <c r="AF755" s="3" t="str">
        <f aca="false">IF(W755="Likely Spam","Flagged by spam rules",TRIM(IF(X755&gt;=20,"Strong source. ","")&amp;IF(Y755&gt;0,"Company email. ","")&amp;IF(Z755&gt;=15,"High-value product. ","")&amp;IF(AA755&gt;='Scoring Model'!$B$15,"High engagement. ","")&amp;IF(AB755&gt;0,"Buying intent in message. ","")&amp;IF(AC755&lt;0,"Negative intent in message. ","")))</f>
        <v>Strong source. Company email. High-value product. High engagement. Buying intent in message.</v>
      </c>
      <c r="AG755" s="11" t="n">
        <f aca="false">IF(W755="Likely Spam","",1/(1+EXP(-('Conversion Model'!$B$5+IFERROR(INDEX('Conversion Model'!$B$8:$B$14,MATCH(C755,'Conversion Model'!$A$8:$A$14,0)),0)+IFERROR(INDEX('Conversion Model'!$E$8:$E$9,MATCH(F755,'Conversion Model'!$D$8:$D$9,0)),0)+IFERROR(INDEX('Conversion Model'!$H$8:$H$12,MATCH(IF(LEFT(J755,8)="Payments","Payments",IF(LEFT(J755,7)="Lending","Lending",J755)),'Conversion Model'!$G$8:$G$12,0)),0)+MIN(L755,15)*'Conversion Model'!$B$17+IF(SUMPRODUCT(--ISNUMBER(SEARCH('Scoring Model'!$D$16:$D$25,K755)))&gt;0,'Conversion Model'!$B$18,0)+IF(SUMPRODUCT(--ISNUMBER(SEARCH('Scoring Model'!$G$16:$G$23,K755)))&gt;0,'Conversion Model'!$B$19,0)))))</f>
        <v>0.997793194411506</v>
      </c>
      <c r="AH755" s="3" t="str">
        <f aca="false">IF(OR(O755="Qualified",O755="Won",O755="Lost"),1,IF(O755="Unqualified",0,""))</f>
        <v/>
      </c>
    </row>
    <row r="756" customFormat="false" ht="15" hidden="false" customHeight="true" outlineLevel="0" collapsed="false">
      <c r="A756" s="3" t="s">
        <v>2465</v>
      </c>
      <c r="B756" s="9" t="n">
        <v>46271.65</v>
      </c>
      <c r="C756" s="3" t="s">
        <v>91</v>
      </c>
      <c r="D756" s="3" t="s">
        <v>882</v>
      </c>
      <c r="E756" s="3" t="s">
        <v>2466</v>
      </c>
      <c r="F756" s="3" t="s">
        <v>54</v>
      </c>
      <c r="G756" s="3" t="s">
        <v>642</v>
      </c>
      <c r="H756" s="3"/>
      <c r="I756" s="3" t="s">
        <v>64</v>
      </c>
      <c r="J756" s="3" t="s">
        <v>65</v>
      </c>
      <c r="K756" s="3" t="s">
        <v>349</v>
      </c>
      <c r="L756" s="3" t="n">
        <v>4</v>
      </c>
      <c r="M756" s="3" t="n">
        <v>7.6</v>
      </c>
      <c r="N756" s="3" t="s">
        <v>96</v>
      </c>
      <c r="O756" s="3"/>
      <c r="P756" s="10"/>
      <c r="Q756" s="3" t="n">
        <f aca="false">IF(F756="Disposable",1,0)</f>
        <v>0</v>
      </c>
      <c r="R756" s="3" t="n">
        <f aca="false">IF(SUMPRODUCT(--ISNUMBER(SEARCH('Spam Rules'!$A$22:$A$35,K756)))&gt;0,1,0)</f>
        <v>0</v>
      </c>
      <c r="S756" s="3" t="n">
        <f aca="false">IF(AND(F756="Free",G756=""),1,0)</f>
        <v>0</v>
      </c>
      <c r="T756" s="3" t="n">
        <f aca="false">IF(LEN(TRIM(K756))&lt;15,1,0)</f>
        <v>0</v>
      </c>
      <c r="U756" s="3" t="n">
        <f aca="false">IF(COUNTIF($E$2:$E$801,E756)&gt;1,1,0)</f>
        <v>0</v>
      </c>
      <c r="V756" s="3" t="n">
        <f aca="false">Q756*'Spam Rules'!$H$6+R756*'Spam Rules'!$H$7+S756*'Spam Rules'!$H$8+T756*'Spam Rules'!$H$9+U756*'Spam Rules'!$H$10</f>
        <v>0</v>
      </c>
      <c r="W756" s="3" t="str">
        <f aca="false">IF(V756&gt;='Spam Rules'!$B$3,"Likely Spam","Genuine")</f>
        <v>Genuine</v>
      </c>
      <c r="X756" s="3" t="n">
        <f aca="false">IFERROR(INDEX('Scoring Model'!$B$5:$B$11,MATCH(C756,'Scoring Model'!$A$5:$A$11,0)),0)</f>
        <v>5</v>
      </c>
      <c r="Y756" s="3" t="n">
        <f aca="false">IFERROR(INDEX('Scoring Model'!$E$5:$E$7,MATCH(F756,'Scoring Model'!$D$5:$D$7,0)),0)</f>
        <v>0</v>
      </c>
      <c r="Z756" s="3" t="n">
        <f aca="false">IFERROR(INDEX('Scoring Model'!$H$5:$H$13,MATCH(J756,'Scoring Model'!$G$5:$G$13,0)),0)</f>
        <v>0</v>
      </c>
      <c r="AA756" s="3" t="n">
        <f aca="false">IF(L756&gt;='Scoring Model'!$B$14,'Scoring Model'!$B$15,IF(L756&gt;='Scoring Model'!$B$16,'Scoring Model'!$B$17,0))</f>
        <v>8</v>
      </c>
      <c r="AB756" s="3" t="n">
        <f aca="false">IF(SUMPRODUCT(--ISNUMBER(SEARCH('Scoring Model'!$D$16:$D$25,K756)))&gt;0,'Scoring Model'!$B$18,0)</f>
        <v>0</v>
      </c>
      <c r="AC756" s="3" t="n">
        <f aca="false">IF(SUMPRODUCT(--ISNUMBER(SEARCH('Scoring Model'!$G$16:$G$23,K756)))&gt;0,'Scoring Model'!$B$19,0)</f>
        <v>-30</v>
      </c>
      <c r="AD756" s="3" t="n">
        <f aca="false">IF(W756="Likely Spam","",SUM(X756:AC756))</f>
        <v>-17</v>
      </c>
      <c r="AE756" s="3" t="str">
        <f aca="false">IF(W756="Likely Spam","Spam",IF(AD756&gt;='Scoring Model'!$B$21,"Hot",IF(AD756&gt;='Scoring Model'!$B$22,"Warm","Nurture")))</f>
        <v>Nurture</v>
      </c>
      <c r="AF756" s="3" t="str">
        <f aca="false">IF(W756="Likely Spam","Flagged by spam rules",TRIM(IF(X756&gt;=20,"Strong source. ","")&amp;IF(Y756&gt;0,"Company email. ","")&amp;IF(Z756&gt;=15,"High-value product. ","")&amp;IF(AA756&gt;='Scoring Model'!$B$15,"High engagement. ","")&amp;IF(AB756&gt;0,"Buying intent in message. ","")&amp;IF(AC756&lt;0,"Negative intent in message. ","")))</f>
        <v>Negative intent in message.</v>
      </c>
      <c r="AG756" s="11" t="n">
        <f aca="false">IF(W756="Likely Spam","",1/(1+EXP(-('Conversion Model'!$B$5+IFERROR(INDEX('Conversion Model'!$B$8:$B$14,MATCH(C756,'Conversion Model'!$A$8:$A$14,0)),0)+IFERROR(INDEX('Conversion Model'!$E$8:$E$9,MATCH(F756,'Conversion Model'!$D$8:$D$9,0)),0)+IFERROR(INDEX('Conversion Model'!$H$8:$H$12,MATCH(IF(LEFT(J756,8)="Payments","Payments",IF(LEFT(J756,7)="Lending","Lending",J756)),'Conversion Model'!$G$8:$G$12,0)),0)+MIN(L756,15)*'Conversion Model'!$B$17+IF(SUMPRODUCT(--ISNUMBER(SEARCH('Scoring Model'!$D$16:$D$25,K756)))&gt;0,'Conversion Model'!$B$18,0)+IF(SUMPRODUCT(--ISNUMBER(SEARCH('Scoring Model'!$G$16:$G$23,K756)))&gt;0,'Conversion Model'!$B$19,0)))))</f>
        <v>0.00748010669552435</v>
      </c>
      <c r="AH756" s="3" t="str">
        <f aca="false">IF(OR(O756="Qualified",O756="Won",O756="Lost"),1,IF(O756="Unqualified",0,""))</f>
        <v/>
      </c>
    </row>
    <row r="757" customFormat="false" ht="15" hidden="false" customHeight="true" outlineLevel="0" collapsed="false">
      <c r="A757" s="3" t="s">
        <v>2467</v>
      </c>
      <c r="B757" s="9" t="n">
        <v>46271.9770833333</v>
      </c>
      <c r="C757" s="3" t="s">
        <v>160</v>
      </c>
      <c r="D757" s="3" t="s">
        <v>2468</v>
      </c>
      <c r="E757" s="3" t="s">
        <v>2469</v>
      </c>
      <c r="F757" s="3" t="s">
        <v>22</v>
      </c>
      <c r="G757" s="3" t="s">
        <v>2470</v>
      </c>
      <c r="H757" s="3" t="s">
        <v>2471</v>
      </c>
      <c r="I757" s="3" t="s">
        <v>88</v>
      </c>
      <c r="J757" s="3" t="s">
        <v>165</v>
      </c>
      <c r="K757" s="3" t="s">
        <v>228</v>
      </c>
      <c r="L757" s="3" t="n">
        <v>6</v>
      </c>
      <c r="M757" s="3" t="n">
        <v>6.1</v>
      </c>
      <c r="N757" s="3" t="s">
        <v>59</v>
      </c>
      <c r="O757" s="3" t="s">
        <v>331</v>
      </c>
      <c r="P757" s="10"/>
      <c r="Q757" s="3" t="n">
        <f aca="false">IF(F757="Disposable",1,0)</f>
        <v>0</v>
      </c>
      <c r="R757" s="3" t="n">
        <f aca="false">IF(SUMPRODUCT(--ISNUMBER(SEARCH('Spam Rules'!$A$22:$A$35,K757)))&gt;0,1,0)</f>
        <v>0</v>
      </c>
      <c r="S757" s="3" t="n">
        <f aca="false">IF(AND(F757="Free",G757=""),1,0)</f>
        <v>0</v>
      </c>
      <c r="T757" s="3" t="n">
        <f aca="false">IF(LEN(TRIM(K757))&lt;15,1,0)</f>
        <v>0</v>
      </c>
      <c r="U757" s="3" t="n">
        <f aca="false">IF(COUNTIF($E$2:$E$801,E757)&gt;1,1,0)</f>
        <v>0</v>
      </c>
      <c r="V757" s="3" t="n">
        <f aca="false">Q757*'Spam Rules'!$H$6+R757*'Spam Rules'!$H$7+S757*'Spam Rules'!$H$8+T757*'Spam Rules'!$H$9+U757*'Spam Rules'!$H$10</f>
        <v>0</v>
      </c>
      <c r="W757" s="3" t="str">
        <f aca="false">IF(V757&gt;='Spam Rules'!$B$3,"Likely Spam","Genuine")</f>
        <v>Genuine</v>
      </c>
      <c r="X757" s="3" t="n">
        <f aca="false">IFERROR(INDEX('Scoring Model'!$B$5:$B$11,MATCH(C757,'Scoring Model'!$A$5:$A$11,0)),0)</f>
        <v>25</v>
      </c>
      <c r="Y757" s="3" t="n">
        <f aca="false">IFERROR(INDEX('Scoring Model'!$E$5:$E$7,MATCH(F757,'Scoring Model'!$D$5:$D$7,0)),0)</f>
        <v>20</v>
      </c>
      <c r="Z757" s="3" t="n">
        <f aca="false">IFERROR(INDEX('Scoring Model'!$H$5:$H$13,MATCH(J757,'Scoring Model'!$G$5:$G$13,0)),0)</f>
        <v>15</v>
      </c>
      <c r="AA757" s="3" t="n">
        <f aca="false">IF(L757&gt;='Scoring Model'!$B$14,'Scoring Model'!$B$15,IF(L757&gt;='Scoring Model'!$B$16,'Scoring Model'!$B$17,0))</f>
        <v>8</v>
      </c>
      <c r="AB757" s="3" t="n">
        <f aca="false">IF(SUMPRODUCT(--ISNUMBER(SEARCH('Scoring Model'!$D$16:$D$25,K757)))&gt;0,'Scoring Model'!$B$18,0)</f>
        <v>15</v>
      </c>
      <c r="AC757" s="3" t="n">
        <f aca="false">IF(SUMPRODUCT(--ISNUMBER(SEARCH('Scoring Model'!$G$16:$G$23,K757)))&gt;0,'Scoring Model'!$B$19,0)</f>
        <v>0</v>
      </c>
      <c r="AD757" s="3" t="n">
        <f aca="false">IF(W757="Likely Spam","",SUM(X757:AC757))</f>
        <v>83</v>
      </c>
      <c r="AE757" s="3" t="str">
        <f aca="false">IF(W757="Likely Spam","Spam",IF(AD757&gt;='Scoring Model'!$B$21,"Hot",IF(AD757&gt;='Scoring Model'!$B$22,"Warm","Nurture")))</f>
        <v>Hot</v>
      </c>
      <c r="AF757" s="3" t="str">
        <f aca="false">IF(W757="Likely Spam","Flagged by spam rules",TRIM(IF(X757&gt;=20,"Strong source. ","")&amp;IF(Y757&gt;0,"Company email. ","")&amp;IF(Z757&gt;=15,"High-value product. ","")&amp;IF(AA757&gt;='Scoring Model'!$B$15,"High engagement. ","")&amp;IF(AB757&gt;0,"Buying intent in message. ","")&amp;IF(AC757&lt;0,"Negative intent in message. ","")))</f>
        <v>Strong source. Company email. High-value product. Buying intent in message.</v>
      </c>
      <c r="AG757" s="11" t="n">
        <f aca="false">IF(W757="Likely Spam","",1/(1+EXP(-('Conversion Model'!$B$5+IFERROR(INDEX('Conversion Model'!$B$8:$B$14,MATCH(C757,'Conversion Model'!$A$8:$A$14,0)),0)+IFERROR(INDEX('Conversion Model'!$E$8:$E$9,MATCH(F757,'Conversion Model'!$D$8:$D$9,0)),0)+IFERROR(INDEX('Conversion Model'!$H$8:$H$12,MATCH(IF(LEFT(J757,8)="Payments","Payments",IF(LEFT(J757,7)="Lending","Lending",J757)),'Conversion Model'!$G$8:$G$12,0)),0)+MIN(L757,15)*'Conversion Model'!$B$17+IF(SUMPRODUCT(--ISNUMBER(SEARCH('Scoring Model'!$D$16:$D$25,K757)))&gt;0,'Conversion Model'!$B$18,0)+IF(SUMPRODUCT(--ISNUMBER(SEARCH('Scoring Model'!$G$16:$G$23,K757)))&gt;0,'Conversion Model'!$B$19,0)))))</f>
        <v>0.891291350156366</v>
      </c>
      <c r="AH757" s="3" t="n">
        <f aca="false">IF(OR(O757="Qualified",O757="Won",O757="Lost"),1,IF(O757="Unqualified",0,""))</f>
        <v>1</v>
      </c>
    </row>
    <row r="758" customFormat="false" ht="15" hidden="false" customHeight="true" outlineLevel="0" collapsed="false">
      <c r="A758" s="3" t="s">
        <v>2472</v>
      </c>
      <c r="B758" s="9" t="n">
        <v>46272.1895833333</v>
      </c>
      <c r="C758" s="3" t="s">
        <v>51</v>
      </c>
      <c r="D758" s="3" t="s">
        <v>703</v>
      </c>
      <c r="E758" s="3" t="s">
        <v>1209</v>
      </c>
      <c r="F758" s="3" t="s">
        <v>63</v>
      </c>
      <c r="G758" s="3"/>
      <c r="H758" s="3"/>
      <c r="I758" s="3" t="s">
        <v>139</v>
      </c>
      <c r="J758" s="3" t="s">
        <v>65</v>
      </c>
      <c r="K758" s="3" t="s">
        <v>89</v>
      </c>
      <c r="L758" s="3" t="n">
        <v>1</v>
      </c>
      <c r="M758" s="3"/>
      <c r="N758" s="3" t="s">
        <v>67</v>
      </c>
      <c r="O758" s="3" t="s">
        <v>68</v>
      </c>
      <c r="P758" s="10"/>
      <c r="Q758" s="3" t="n">
        <f aca="false">IF(F758="Disposable",1,0)</f>
        <v>1</v>
      </c>
      <c r="R758" s="3" t="n">
        <f aca="false">IF(SUMPRODUCT(--ISNUMBER(SEARCH('Spam Rules'!$A$22:$A$35,K758)))&gt;0,1,0)</f>
        <v>1</v>
      </c>
      <c r="S758" s="3" t="n">
        <f aca="false">IF(AND(F758="Free",G758=""),1,0)</f>
        <v>0</v>
      </c>
      <c r="T758" s="3" t="n">
        <f aca="false">IF(LEN(TRIM(K758))&lt;15,1,0)</f>
        <v>0</v>
      </c>
      <c r="U758" s="3" t="n">
        <f aca="false">IF(COUNTIF($E$2:$E$801,E758)&gt;1,1,0)</f>
        <v>1</v>
      </c>
      <c r="V758" s="3" t="n">
        <f aca="false">Q758*'Spam Rules'!$H$6+R758*'Spam Rules'!$H$7+S758*'Spam Rules'!$H$8+T758*'Spam Rules'!$H$9+U758*'Spam Rules'!$H$10</f>
        <v>2</v>
      </c>
      <c r="W758" s="3" t="str">
        <f aca="false">IF(V758&gt;='Spam Rules'!$B$3,"Likely Spam","Genuine")</f>
        <v>Likely Spam</v>
      </c>
      <c r="X758" s="3" t="n">
        <f aca="false">IFERROR(INDEX('Scoring Model'!$B$5:$B$11,MATCH(C758,'Scoring Model'!$A$5:$A$11,0)),0)</f>
        <v>10</v>
      </c>
      <c r="Y758" s="3" t="n">
        <f aca="false">IFERROR(INDEX('Scoring Model'!$E$5:$E$7,MATCH(F758,'Scoring Model'!$D$5:$D$7,0)),0)</f>
        <v>0</v>
      </c>
      <c r="Z758" s="3" t="n">
        <f aca="false">IFERROR(INDEX('Scoring Model'!$H$5:$H$13,MATCH(J758,'Scoring Model'!$G$5:$G$13,0)),0)</f>
        <v>0</v>
      </c>
      <c r="AA758" s="3" t="n">
        <f aca="false">IF(L758&gt;='Scoring Model'!$B$14,'Scoring Model'!$B$15,IF(L758&gt;='Scoring Model'!$B$16,'Scoring Model'!$B$17,0))</f>
        <v>0</v>
      </c>
      <c r="AB758" s="3" t="n">
        <f aca="false">IF(SUMPRODUCT(--ISNUMBER(SEARCH('Scoring Model'!$D$16:$D$25,K758)))&gt;0,'Scoring Model'!$B$18,0)</f>
        <v>0</v>
      </c>
      <c r="AC758" s="3" t="n">
        <f aca="false">IF(SUMPRODUCT(--ISNUMBER(SEARCH('Scoring Model'!$G$16:$G$23,K758)))&gt;0,'Scoring Model'!$B$19,0)</f>
        <v>0</v>
      </c>
      <c r="AD758" s="3" t="str">
        <f aca="false">IF(W758="Likely Spam","",SUM(X758:AC758))</f>
        <v/>
      </c>
      <c r="AE758" s="3" t="str">
        <f aca="false">IF(W758="Likely Spam","Spam",IF(AD758&gt;='Scoring Model'!$B$21,"Hot",IF(AD758&gt;='Scoring Model'!$B$22,"Warm","Nurture")))</f>
        <v>Spam</v>
      </c>
      <c r="AF758" s="3" t="str">
        <f aca="false">IF(W758="Likely Spam","Flagged by spam rules",TRIM(IF(X758&gt;=20,"Strong source. ","")&amp;IF(Y758&gt;0,"Company email. ","")&amp;IF(Z758&gt;=15,"High-value product. ","")&amp;IF(AA758&gt;='Scoring Model'!$B$15,"High engagement. ","")&amp;IF(AB758&gt;0,"Buying intent in message. ","")&amp;IF(AC758&lt;0,"Negative intent in message. ","")))</f>
        <v>Flagged by spam rules</v>
      </c>
      <c r="AG758" s="11" t="str">
        <f aca="false">IF(W758="Likely Spam","",1/(1+EXP(-('Conversion Model'!$B$5+IFERROR(INDEX('Conversion Model'!$B$8:$B$14,MATCH(C758,'Conversion Model'!$A$8:$A$14,0)),0)+IFERROR(INDEX('Conversion Model'!$E$8:$E$9,MATCH(F758,'Conversion Model'!$D$8:$D$9,0)),0)+IFERROR(INDEX('Conversion Model'!$H$8:$H$12,MATCH(IF(LEFT(J758,8)="Payments","Payments",IF(LEFT(J758,7)="Lending","Lending",J758)),'Conversion Model'!$G$8:$G$12,0)),0)+MIN(L758,15)*'Conversion Model'!$B$17+IF(SUMPRODUCT(--ISNUMBER(SEARCH('Scoring Model'!$D$16:$D$25,K758)))&gt;0,'Conversion Model'!$B$18,0)+IF(SUMPRODUCT(--ISNUMBER(SEARCH('Scoring Model'!$G$16:$G$23,K758)))&gt;0,'Conversion Model'!$B$19,0)))))</f>
        <v/>
      </c>
      <c r="AH758" s="3" t="str">
        <f aca="false">IF(OR(O758="Qualified",O758="Won",O758="Lost"),1,IF(O758="Unqualified",0,""))</f>
        <v/>
      </c>
    </row>
    <row r="759" customFormat="false" ht="15" hidden="false" customHeight="true" outlineLevel="0" collapsed="false">
      <c r="A759" s="3" t="s">
        <v>2473</v>
      </c>
      <c r="B759" s="9" t="n">
        <v>46272.6194444444</v>
      </c>
      <c r="C759" s="3" t="s">
        <v>51</v>
      </c>
      <c r="D759" s="3" t="s">
        <v>2204</v>
      </c>
      <c r="E759" s="3" t="s">
        <v>2205</v>
      </c>
      <c r="F759" s="3" t="s">
        <v>54</v>
      </c>
      <c r="G759" s="3" t="s">
        <v>296</v>
      </c>
      <c r="H759" s="3"/>
      <c r="I759" s="3" t="s">
        <v>107</v>
      </c>
      <c r="J759" s="3" t="s">
        <v>65</v>
      </c>
      <c r="K759" s="3" t="s">
        <v>101</v>
      </c>
      <c r="L759" s="3" t="n">
        <v>3</v>
      </c>
      <c r="M759" s="3" t="n">
        <v>30.4</v>
      </c>
      <c r="N759" s="3" t="s">
        <v>59</v>
      </c>
      <c r="O759" s="3" t="s">
        <v>194</v>
      </c>
      <c r="P759" s="10"/>
      <c r="Q759" s="3" t="n">
        <f aca="false">IF(F759="Disposable",1,0)</f>
        <v>0</v>
      </c>
      <c r="R759" s="3" t="n">
        <f aca="false">IF(SUMPRODUCT(--ISNUMBER(SEARCH('Spam Rules'!$A$22:$A$35,K759)))&gt;0,1,0)</f>
        <v>0</v>
      </c>
      <c r="S759" s="3" t="n">
        <f aca="false">IF(AND(F759="Free",G759=""),1,0)</f>
        <v>0</v>
      </c>
      <c r="T759" s="3" t="n">
        <f aca="false">IF(LEN(TRIM(K759))&lt;15,1,0)</f>
        <v>0</v>
      </c>
      <c r="U759" s="3" t="n">
        <f aca="false">IF(COUNTIF($E$2:$E$801,E759)&gt;1,1,0)</f>
        <v>1</v>
      </c>
      <c r="V759" s="3" t="n">
        <f aca="false">Q759*'Spam Rules'!$H$6+R759*'Spam Rules'!$H$7+S759*'Spam Rules'!$H$8+T759*'Spam Rules'!$H$9+U759*'Spam Rules'!$H$10</f>
        <v>0</v>
      </c>
      <c r="W759" s="3" t="str">
        <f aca="false">IF(V759&gt;='Spam Rules'!$B$3,"Likely Spam","Genuine")</f>
        <v>Genuine</v>
      </c>
      <c r="X759" s="3" t="n">
        <f aca="false">IFERROR(INDEX('Scoring Model'!$B$5:$B$11,MATCH(C759,'Scoring Model'!$A$5:$A$11,0)),0)</f>
        <v>10</v>
      </c>
      <c r="Y759" s="3" t="n">
        <f aca="false">IFERROR(INDEX('Scoring Model'!$E$5:$E$7,MATCH(F759,'Scoring Model'!$D$5:$D$7,0)),0)</f>
        <v>0</v>
      </c>
      <c r="Z759" s="3" t="n">
        <f aca="false">IFERROR(INDEX('Scoring Model'!$H$5:$H$13,MATCH(J759,'Scoring Model'!$G$5:$G$13,0)),0)</f>
        <v>0</v>
      </c>
      <c r="AA759" s="3" t="n">
        <f aca="false">IF(L759&gt;='Scoring Model'!$B$14,'Scoring Model'!$B$15,IF(L759&gt;='Scoring Model'!$B$16,'Scoring Model'!$B$17,0))</f>
        <v>0</v>
      </c>
      <c r="AB759" s="3" t="n">
        <f aca="false">IF(SUMPRODUCT(--ISNUMBER(SEARCH('Scoring Model'!$D$16:$D$25,K759)))&gt;0,'Scoring Model'!$B$18,0)</f>
        <v>0</v>
      </c>
      <c r="AC759" s="3" t="n">
        <f aca="false">IF(SUMPRODUCT(--ISNUMBER(SEARCH('Scoring Model'!$G$16:$G$23,K759)))&gt;0,'Scoring Model'!$B$19,0)</f>
        <v>-30</v>
      </c>
      <c r="AD759" s="3" t="n">
        <f aca="false">IF(W759="Likely Spam","",SUM(X759:AC759))</f>
        <v>-20</v>
      </c>
      <c r="AE759" s="3" t="str">
        <f aca="false">IF(W759="Likely Spam","Spam",IF(AD759&gt;='Scoring Model'!$B$21,"Hot",IF(AD759&gt;='Scoring Model'!$B$22,"Warm","Nurture")))</f>
        <v>Nurture</v>
      </c>
      <c r="AF759" s="3" t="str">
        <f aca="false">IF(W759="Likely Spam","Flagged by spam rules",TRIM(IF(X759&gt;=20,"Strong source. ","")&amp;IF(Y759&gt;0,"Company email. ","")&amp;IF(Z759&gt;=15,"High-value product. ","")&amp;IF(AA759&gt;='Scoring Model'!$B$15,"High engagement. ","")&amp;IF(AB759&gt;0,"Buying intent in message. ","")&amp;IF(AC759&lt;0,"Negative intent in message. ","")))</f>
        <v>Negative intent in message.</v>
      </c>
      <c r="AG759" s="11" t="n">
        <f aca="false">IF(W759="Likely Spam","",1/(1+EXP(-('Conversion Model'!$B$5+IFERROR(INDEX('Conversion Model'!$B$8:$B$14,MATCH(C759,'Conversion Model'!$A$8:$A$14,0)),0)+IFERROR(INDEX('Conversion Model'!$E$8:$E$9,MATCH(F759,'Conversion Model'!$D$8:$D$9,0)),0)+IFERROR(INDEX('Conversion Model'!$H$8:$H$12,MATCH(IF(LEFT(J759,8)="Payments","Payments",IF(LEFT(J759,7)="Lending","Lending",J759)),'Conversion Model'!$G$8:$G$12,0)),0)+MIN(L759,15)*'Conversion Model'!$B$17+IF(SUMPRODUCT(--ISNUMBER(SEARCH('Scoring Model'!$D$16:$D$25,K759)))&gt;0,'Conversion Model'!$B$18,0)+IF(SUMPRODUCT(--ISNUMBER(SEARCH('Scoring Model'!$G$16:$G$23,K759)))&gt;0,'Conversion Model'!$B$19,0)))))</f>
        <v>0.00459582764434478</v>
      </c>
      <c r="AH759" s="3" t="n">
        <f aca="false">IF(OR(O759="Qualified",O759="Won",O759="Lost"),1,IF(O759="Unqualified",0,""))</f>
        <v>0</v>
      </c>
    </row>
    <row r="760" customFormat="false" ht="15" hidden="false" customHeight="true" outlineLevel="0" collapsed="false">
      <c r="A760" s="3" t="s">
        <v>2474</v>
      </c>
      <c r="B760" s="9" t="n">
        <v>46273.1333333333</v>
      </c>
      <c r="C760" s="3" t="s">
        <v>112</v>
      </c>
      <c r="D760" s="3" t="s">
        <v>1880</v>
      </c>
      <c r="E760" s="3" t="s">
        <v>2475</v>
      </c>
      <c r="F760" s="3" t="s">
        <v>22</v>
      </c>
      <c r="G760" s="3" t="s">
        <v>151</v>
      </c>
      <c r="H760" s="3" t="s">
        <v>152</v>
      </c>
      <c r="I760" s="3" t="s">
        <v>80</v>
      </c>
      <c r="J760" s="3" t="s">
        <v>108</v>
      </c>
      <c r="K760" s="3" t="s">
        <v>2476</v>
      </c>
      <c r="L760" s="3" t="n">
        <v>11</v>
      </c>
      <c r="M760" s="3" t="n">
        <v>85.5</v>
      </c>
      <c r="N760" s="3" t="s">
        <v>96</v>
      </c>
      <c r="O760" s="3" t="s">
        <v>331</v>
      </c>
      <c r="P760" s="10"/>
      <c r="Q760" s="3" t="n">
        <f aca="false">IF(F760="Disposable",1,0)</f>
        <v>0</v>
      </c>
      <c r="R760" s="3" t="n">
        <f aca="false">IF(SUMPRODUCT(--ISNUMBER(SEARCH('Spam Rules'!$A$22:$A$35,K760)))&gt;0,1,0)</f>
        <v>0</v>
      </c>
      <c r="S760" s="3" t="n">
        <f aca="false">IF(AND(F760="Free",G760=""),1,0)</f>
        <v>0</v>
      </c>
      <c r="T760" s="3" t="n">
        <f aca="false">IF(LEN(TRIM(K760))&lt;15,1,0)</f>
        <v>0</v>
      </c>
      <c r="U760" s="3" t="n">
        <f aca="false">IF(COUNTIF($E$2:$E$801,E760)&gt;1,1,0)</f>
        <v>0</v>
      </c>
      <c r="V760" s="3" t="n">
        <f aca="false">Q760*'Spam Rules'!$H$6+R760*'Spam Rules'!$H$7+S760*'Spam Rules'!$H$8+T760*'Spam Rules'!$H$9+U760*'Spam Rules'!$H$10</f>
        <v>0</v>
      </c>
      <c r="W760" s="3" t="str">
        <f aca="false">IF(V760&gt;='Spam Rules'!$B$3,"Likely Spam","Genuine")</f>
        <v>Genuine</v>
      </c>
      <c r="X760" s="3" t="n">
        <f aca="false">IFERROR(INDEX('Scoring Model'!$B$5:$B$11,MATCH(C760,'Scoring Model'!$A$5:$A$11,0)),0)</f>
        <v>15</v>
      </c>
      <c r="Y760" s="3" t="n">
        <f aca="false">IFERROR(INDEX('Scoring Model'!$E$5:$E$7,MATCH(F760,'Scoring Model'!$D$5:$D$7,0)),0)</f>
        <v>20</v>
      </c>
      <c r="Z760" s="3" t="n">
        <f aca="false">IFERROR(INDEX('Scoring Model'!$H$5:$H$13,MATCH(J760,'Scoring Model'!$G$5:$G$13,0)),0)</f>
        <v>15</v>
      </c>
      <c r="AA760" s="3" t="n">
        <f aca="false">IF(L760&gt;='Scoring Model'!$B$14,'Scoring Model'!$B$15,IF(L760&gt;='Scoring Model'!$B$16,'Scoring Model'!$B$17,0))</f>
        <v>15</v>
      </c>
      <c r="AB760" s="3" t="n">
        <f aca="false">IF(SUMPRODUCT(--ISNUMBER(SEARCH('Scoring Model'!$D$16:$D$25,K760)))&gt;0,'Scoring Model'!$B$18,0)</f>
        <v>15</v>
      </c>
      <c r="AC760" s="3" t="n">
        <f aca="false">IF(SUMPRODUCT(--ISNUMBER(SEARCH('Scoring Model'!$G$16:$G$23,K760)))&gt;0,'Scoring Model'!$B$19,0)</f>
        <v>0</v>
      </c>
      <c r="AD760" s="3" t="n">
        <f aca="false">IF(W760="Likely Spam","",SUM(X760:AC760))</f>
        <v>80</v>
      </c>
      <c r="AE760" s="3" t="str">
        <f aca="false">IF(W760="Likely Spam","Spam",IF(AD760&gt;='Scoring Model'!$B$21,"Hot",IF(AD760&gt;='Scoring Model'!$B$22,"Warm","Nurture")))</f>
        <v>Hot</v>
      </c>
      <c r="AF760" s="3" t="str">
        <f aca="false">IF(W760="Likely Spam","Flagged by spam rules",TRIM(IF(X760&gt;=20,"Strong source. ","")&amp;IF(Y760&gt;0,"Company email. ","")&amp;IF(Z760&gt;=15,"High-value product. ","")&amp;IF(AA760&gt;='Scoring Model'!$B$15,"High engagement. ","")&amp;IF(AB760&gt;0,"Buying intent in message. ","")&amp;IF(AC760&lt;0,"Negative intent in message. ","")))</f>
        <v>Company email. High-value product. High engagement. Buying intent in message.</v>
      </c>
      <c r="AG760" s="11" t="n">
        <f aca="false">IF(W760="Likely Spam","",1/(1+EXP(-('Conversion Model'!$B$5+IFERROR(INDEX('Conversion Model'!$B$8:$B$14,MATCH(C760,'Conversion Model'!$A$8:$A$14,0)),0)+IFERROR(INDEX('Conversion Model'!$E$8:$E$9,MATCH(F760,'Conversion Model'!$D$8:$D$9,0)),0)+IFERROR(INDEX('Conversion Model'!$H$8:$H$12,MATCH(IF(LEFT(J760,8)="Payments","Payments",IF(LEFT(J760,7)="Lending","Lending",J760)),'Conversion Model'!$G$8:$G$12,0)),0)+MIN(L760,15)*'Conversion Model'!$B$17+IF(SUMPRODUCT(--ISNUMBER(SEARCH('Scoring Model'!$D$16:$D$25,K760)))&gt;0,'Conversion Model'!$B$18,0)+IF(SUMPRODUCT(--ISNUMBER(SEARCH('Scoring Model'!$G$16:$G$23,K760)))&gt;0,'Conversion Model'!$B$19,0)))))</f>
        <v>0.996417123502851</v>
      </c>
      <c r="AH760" s="3" t="n">
        <f aca="false">IF(OR(O760="Qualified",O760="Won",O760="Lost"),1,IF(O760="Unqualified",0,""))</f>
        <v>1</v>
      </c>
    </row>
    <row r="761" customFormat="false" ht="15" hidden="false" customHeight="true" outlineLevel="0" collapsed="false">
      <c r="A761" s="3" t="s">
        <v>2477</v>
      </c>
      <c r="B761" s="9" t="n">
        <v>46273.2972222222</v>
      </c>
      <c r="C761" s="3" t="s">
        <v>91</v>
      </c>
      <c r="D761" s="3" t="s">
        <v>732</v>
      </c>
      <c r="E761" s="3" t="s">
        <v>2478</v>
      </c>
      <c r="F761" s="3" t="s">
        <v>22</v>
      </c>
      <c r="G761" s="3" t="s">
        <v>1140</v>
      </c>
      <c r="H761" s="3" t="s">
        <v>1734</v>
      </c>
      <c r="I761" s="3" t="s">
        <v>94</v>
      </c>
      <c r="J761" s="3" t="s">
        <v>122</v>
      </c>
      <c r="K761" s="3" t="s">
        <v>349</v>
      </c>
      <c r="L761" s="3" t="n">
        <v>2</v>
      </c>
      <c r="M761" s="3" t="n">
        <v>31.7</v>
      </c>
      <c r="N761" s="3" t="s">
        <v>171</v>
      </c>
      <c r="O761" s="3" t="s">
        <v>194</v>
      </c>
      <c r="P761" s="10"/>
      <c r="Q761" s="3" t="n">
        <f aca="false">IF(F761="Disposable",1,0)</f>
        <v>0</v>
      </c>
      <c r="R761" s="3" t="n">
        <f aca="false">IF(SUMPRODUCT(--ISNUMBER(SEARCH('Spam Rules'!$A$22:$A$35,K761)))&gt;0,1,0)</f>
        <v>0</v>
      </c>
      <c r="S761" s="3" t="n">
        <f aca="false">IF(AND(F761="Free",G761=""),1,0)</f>
        <v>0</v>
      </c>
      <c r="T761" s="3" t="n">
        <f aca="false">IF(LEN(TRIM(K761))&lt;15,1,0)</f>
        <v>0</v>
      </c>
      <c r="U761" s="3" t="n">
        <f aca="false">IF(COUNTIF($E$2:$E$801,E761)&gt;1,1,0)</f>
        <v>0</v>
      </c>
      <c r="V761" s="3" t="n">
        <f aca="false">Q761*'Spam Rules'!$H$6+R761*'Spam Rules'!$H$7+S761*'Spam Rules'!$H$8+T761*'Spam Rules'!$H$9+U761*'Spam Rules'!$H$10</f>
        <v>0</v>
      </c>
      <c r="W761" s="3" t="str">
        <f aca="false">IF(V761&gt;='Spam Rules'!$B$3,"Likely Spam","Genuine")</f>
        <v>Genuine</v>
      </c>
      <c r="X761" s="3" t="n">
        <f aca="false">IFERROR(INDEX('Scoring Model'!$B$5:$B$11,MATCH(C761,'Scoring Model'!$A$5:$A$11,0)),0)</f>
        <v>5</v>
      </c>
      <c r="Y761" s="3" t="n">
        <f aca="false">IFERROR(INDEX('Scoring Model'!$E$5:$E$7,MATCH(F761,'Scoring Model'!$D$5:$D$7,0)),0)</f>
        <v>20</v>
      </c>
      <c r="Z761" s="3" t="n">
        <f aca="false">IFERROR(INDEX('Scoring Model'!$H$5:$H$13,MATCH(J761,'Scoring Model'!$G$5:$G$13,0)),0)</f>
        <v>15</v>
      </c>
      <c r="AA761" s="3" t="n">
        <f aca="false">IF(L761&gt;='Scoring Model'!$B$14,'Scoring Model'!$B$15,IF(L761&gt;='Scoring Model'!$B$16,'Scoring Model'!$B$17,0))</f>
        <v>0</v>
      </c>
      <c r="AB761" s="3" t="n">
        <f aca="false">IF(SUMPRODUCT(--ISNUMBER(SEARCH('Scoring Model'!$D$16:$D$25,K761)))&gt;0,'Scoring Model'!$B$18,0)</f>
        <v>0</v>
      </c>
      <c r="AC761" s="3" t="n">
        <f aca="false">IF(SUMPRODUCT(--ISNUMBER(SEARCH('Scoring Model'!$G$16:$G$23,K761)))&gt;0,'Scoring Model'!$B$19,0)</f>
        <v>-30</v>
      </c>
      <c r="AD761" s="3" t="n">
        <f aca="false">IF(W761="Likely Spam","",SUM(X761:AC761))</f>
        <v>10</v>
      </c>
      <c r="AE761" s="3" t="str">
        <f aca="false">IF(W761="Likely Spam","Spam",IF(AD761&gt;='Scoring Model'!$B$21,"Hot",IF(AD761&gt;='Scoring Model'!$B$22,"Warm","Nurture")))</f>
        <v>Nurture</v>
      </c>
      <c r="AF761" s="3" t="str">
        <f aca="false">IF(W761="Likely Spam","Flagged by spam rules",TRIM(IF(X761&gt;=20,"Strong source. ","")&amp;IF(Y761&gt;0,"Company email. ","")&amp;IF(Z761&gt;=15,"High-value product. ","")&amp;IF(AA761&gt;='Scoring Model'!$B$15,"High engagement. ","")&amp;IF(AB761&gt;0,"Buying intent in message. ","")&amp;IF(AC761&lt;0,"Negative intent in message. ","")))</f>
        <v>Company email. High-value product. Negative intent in message.</v>
      </c>
      <c r="AG761" s="11" t="n">
        <f aca="false">IF(W761="Likely Spam","",1/(1+EXP(-('Conversion Model'!$B$5+IFERROR(INDEX('Conversion Model'!$B$8:$B$14,MATCH(C761,'Conversion Model'!$A$8:$A$14,0)),0)+IFERROR(INDEX('Conversion Model'!$E$8:$E$9,MATCH(F761,'Conversion Model'!$D$8:$D$9,0)),0)+IFERROR(INDEX('Conversion Model'!$H$8:$H$12,MATCH(IF(LEFT(J761,8)="Payments","Payments",IF(LEFT(J761,7)="Lending","Lending",J761)),'Conversion Model'!$G$8:$G$12,0)),0)+MIN(L761,15)*'Conversion Model'!$B$17+IF(SUMPRODUCT(--ISNUMBER(SEARCH('Scoring Model'!$D$16:$D$25,K761)))&gt;0,'Conversion Model'!$B$18,0)+IF(SUMPRODUCT(--ISNUMBER(SEARCH('Scoring Model'!$G$16:$G$23,K761)))&gt;0,'Conversion Model'!$B$19,0)))))</f>
        <v>0.00431213791454033</v>
      </c>
      <c r="AH761" s="3" t="n">
        <f aca="false">IF(OR(O761="Qualified",O761="Won",O761="Lost"),1,IF(O761="Unqualified",0,""))</f>
        <v>0</v>
      </c>
    </row>
    <row r="762" customFormat="false" ht="15" hidden="false" customHeight="true" outlineLevel="0" collapsed="false">
      <c r="A762" s="3" t="s">
        <v>2479</v>
      </c>
      <c r="B762" s="9" t="n">
        <v>46273.3451388889</v>
      </c>
      <c r="C762" s="3" t="s">
        <v>51</v>
      </c>
      <c r="D762" s="3" t="s">
        <v>2129</v>
      </c>
      <c r="E762" s="3" t="s">
        <v>694</v>
      </c>
      <c r="F762" s="3" t="s">
        <v>54</v>
      </c>
      <c r="G762" s="3"/>
      <c r="H762" s="3"/>
      <c r="I762" s="3" t="s">
        <v>73</v>
      </c>
      <c r="J762" s="3" t="s">
        <v>65</v>
      </c>
      <c r="K762" s="3" t="s">
        <v>170</v>
      </c>
      <c r="L762" s="3" t="n">
        <v>1</v>
      </c>
      <c r="M762" s="3" t="n">
        <v>16.1</v>
      </c>
      <c r="N762" s="3" t="s">
        <v>67</v>
      </c>
      <c r="O762" s="3" t="s">
        <v>68</v>
      </c>
      <c r="P762" s="10"/>
      <c r="Q762" s="3" t="n">
        <f aca="false">IF(F762="Disposable",1,0)</f>
        <v>0</v>
      </c>
      <c r="R762" s="3" t="n">
        <f aca="false">IF(SUMPRODUCT(--ISNUMBER(SEARCH('Spam Rules'!$A$22:$A$35,K762)))&gt;0,1,0)</f>
        <v>0</v>
      </c>
      <c r="S762" s="3" t="n">
        <f aca="false">IF(AND(F762="Free",G762=""),1,0)</f>
        <v>1</v>
      </c>
      <c r="T762" s="3" t="n">
        <f aca="false">IF(LEN(TRIM(K762))&lt;15,1,0)</f>
        <v>1</v>
      </c>
      <c r="U762" s="3" t="n">
        <f aca="false">IF(COUNTIF($E$2:$E$801,E762)&gt;1,1,0)</f>
        <v>1</v>
      </c>
      <c r="V762" s="3" t="n">
        <f aca="false">Q762*'Spam Rules'!$H$6+R762*'Spam Rules'!$H$7+S762*'Spam Rules'!$H$8+T762*'Spam Rules'!$H$9+U762*'Spam Rules'!$H$10</f>
        <v>1</v>
      </c>
      <c r="W762" s="3" t="str">
        <f aca="false">IF(V762&gt;='Spam Rules'!$B$3,"Likely Spam","Genuine")</f>
        <v>Likely Spam</v>
      </c>
      <c r="X762" s="3" t="n">
        <f aca="false">IFERROR(INDEX('Scoring Model'!$B$5:$B$11,MATCH(C762,'Scoring Model'!$A$5:$A$11,0)),0)</f>
        <v>10</v>
      </c>
      <c r="Y762" s="3" t="n">
        <f aca="false">IFERROR(INDEX('Scoring Model'!$E$5:$E$7,MATCH(F762,'Scoring Model'!$D$5:$D$7,0)),0)</f>
        <v>0</v>
      </c>
      <c r="Z762" s="3" t="n">
        <f aca="false">IFERROR(INDEX('Scoring Model'!$H$5:$H$13,MATCH(J762,'Scoring Model'!$G$5:$G$13,0)),0)</f>
        <v>0</v>
      </c>
      <c r="AA762" s="3" t="n">
        <f aca="false">IF(L762&gt;='Scoring Model'!$B$14,'Scoring Model'!$B$15,IF(L762&gt;='Scoring Model'!$B$16,'Scoring Model'!$B$17,0))</f>
        <v>0</v>
      </c>
      <c r="AB762" s="3" t="n">
        <f aca="false">IF(SUMPRODUCT(--ISNUMBER(SEARCH('Scoring Model'!$D$16:$D$25,K762)))&gt;0,'Scoring Model'!$B$18,0)</f>
        <v>0</v>
      </c>
      <c r="AC762" s="3" t="n">
        <f aca="false">IF(SUMPRODUCT(--ISNUMBER(SEARCH('Scoring Model'!$G$16:$G$23,K762)))&gt;0,'Scoring Model'!$B$19,0)</f>
        <v>0</v>
      </c>
      <c r="AD762" s="3" t="str">
        <f aca="false">IF(W762="Likely Spam","",SUM(X762:AC762))</f>
        <v/>
      </c>
      <c r="AE762" s="3" t="str">
        <f aca="false">IF(W762="Likely Spam","Spam",IF(AD762&gt;='Scoring Model'!$B$21,"Hot",IF(AD762&gt;='Scoring Model'!$B$22,"Warm","Nurture")))</f>
        <v>Spam</v>
      </c>
      <c r="AF762" s="3" t="str">
        <f aca="false">IF(W762="Likely Spam","Flagged by spam rules",TRIM(IF(X762&gt;=20,"Strong source. ","")&amp;IF(Y762&gt;0,"Company email. ","")&amp;IF(Z762&gt;=15,"High-value product. ","")&amp;IF(AA762&gt;='Scoring Model'!$B$15,"High engagement. ","")&amp;IF(AB762&gt;0,"Buying intent in message. ","")&amp;IF(AC762&lt;0,"Negative intent in message. ","")))</f>
        <v>Flagged by spam rules</v>
      </c>
      <c r="AG762" s="11" t="str">
        <f aca="false">IF(W762="Likely Spam","",1/(1+EXP(-('Conversion Model'!$B$5+IFERROR(INDEX('Conversion Model'!$B$8:$B$14,MATCH(C762,'Conversion Model'!$A$8:$A$14,0)),0)+IFERROR(INDEX('Conversion Model'!$E$8:$E$9,MATCH(F762,'Conversion Model'!$D$8:$D$9,0)),0)+IFERROR(INDEX('Conversion Model'!$H$8:$H$12,MATCH(IF(LEFT(J762,8)="Payments","Payments",IF(LEFT(J762,7)="Lending","Lending",J762)),'Conversion Model'!$G$8:$G$12,0)),0)+MIN(L762,15)*'Conversion Model'!$B$17+IF(SUMPRODUCT(--ISNUMBER(SEARCH('Scoring Model'!$D$16:$D$25,K762)))&gt;0,'Conversion Model'!$B$18,0)+IF(SUMPRODUCT(--ISNUMBER(SEARCH('Scoring Model'!$G$16:$G$23,K762)))&gt;0,'Conversion Model'!$B$19,0)))))</f>
        <v/>
      </c>
      <c r="AH762" s="3" t="str">
        <f aca="false">IF(OR(O762="Qualified",O762="Won",O762="Lost"),1,IF(O762="Unqualified",0,""))</f>
        <v/>
      </c>
    </row>
    <row r="763" customFormat="false" ht="15" hidden="false" customHeight="true" outlineLevel="0" collapsed="false">
      <c r="A763" s="3" t="s">
        <v>2480</v>
      </c>
      <c r="B763" s="9" t="n">
        <v>46274.1430555556</v>
      </c>
      <c r="C763" s="3" t="s">
        <v>51</v>
      </c>
      <c r="D763" s="3" t="s">
        <v>2481</v>
      </c>
      <c r="E763" s="3" t="s">
        <v>2482</v>
      </c>
      <c r="F763" s="3" t="s">
        <v>22</v>
      </c>
      <c r="G763" s="3" t="s">
        <v>86</v>
      </c>
      <c r="H763" s="3" t="s">
        <v>87</v>
      </c>
      <c r="I763" s="3" t="s">
        <v>73</v>
      </c>
      <c r="J763" s="3" t="s">
        <v>122</v>
      </c>
      <c r="K763" s="3" t="s">
        <v>82</v>
      </c>
      <c r="L763" s="3" t="n">
        <v>1</v>
      </c>
      <c r="M763" s="3" t="n">
        <v>26</v>
      </c>
      <c r="N763" s="3" t="s">
        <v>67</v>
      </c>
      <c r="O763" s="3"/>
      <c r="P763" s="10"/>
      <c r="Q763" s="3" t="n">
        <f aca="false">IF(F763="Disposable",1,0)</f>
        <v>0</v>
      </c>
      <c r="R763" s="3" t="n">
        <f aca="false">IF(SUMPRODUCT(--ISNUMBER(SEARCH('Spam Rules'!$A$22:$A$35,K763)))&gt;0,1,0)</f>
        <v>1</v>
      </c>
      <c r="S763" s="3" t="n">
        <f aca="false">IF(AND(F763="Free",G763=""),1,0)</f>
        <v>0</v>
      </c>
      <c r="T763" s="3" t="n">
        <f aca="false">IF(LEN(TRIM(K763))&lt;15,1,0)</f>
        <v>0</v>
      </c>
      <c r="U763" s="3" t="n">
        <f aca="false">IF(COUNTIF($E$2:$E$801,E763)&gt;1,1,0)</f>
        <v>0</v>
      </c>
      <c r="V763" s="3" t="n">
        <f aca="false">Q763*'Spam Rules'!$H$6+R763*'Spam Rules'!$H$7+S763*'Spam Rules'!$H$8+T763*'Spam Rules'!$H$9+U763*'Spam Rules'!$H$10</f>
        <v>1</v>
      </c>
      <c r="W763" s="3" t="str">
        <f aca="false">IF(V763&gt;='Spam Rules'!$B$3,"Likely Spam","Genuine")</f>
        <v>Likely Spam</v>
      </c>
      <c r="X763" s="3" t="n">
        <f aca="false">IFERROR(INDEX('Scoring Model'!$B$5:$B$11,MATCH(C763,'Scoring Model'!$A$5:$A$11,0)),0)</f>
        <v>10</v>
      </c>
      <c r="Y763" s="3" t="n">
        <f aca="false">IFERROR(INDEX('Scoring Model'!$E$5:$E$7,MATCH(F763,'Scoring Model'!$D$5:$D$7,0)),0)</f>
        <v>20</v>
      </c>
      <c r="Z763" s="3" t="n">
        <f aca="false">IFERROR(INDEX('Scoring Model'!$H$5:$H$13,MATCH(J763,'Scoring Model'!$G$5:$G$13,0)),0)</f>
        <v>15</v>
      </c>
      <c r="AA763" s="3" t="n">
        <f aca="false">IF(L763&gt;='Scoring Model'!$B$14,'Scoring Model'!$B$15,IF(L763&gt;='Scoring Model'!$B$16,'Scoring Model'!$B$17,0))</f>
        <v>0</v>
      </c>
      <c r="AB763" s="3" t="n">
        <f aca="false">IF(SUMPRODUCT(--ISNUMBER(SEARCH('Scoring Model'!$D$16:$D$25,K763)))&gt;0,'Scoring Model'!$B$18,0)</f>
        <v>0</v>
      </c>
      <c r="AC763" s="3" t="n">
        <f aca="false">IF(SUMPRODUCT(--ISNUMBER(SEARCH('Scoring Model'!$G$16:$G$23,K763)))&gt;0,'Scoring Model'!$B$19,0)</f>
        <v>0</v>
      </c>
      <c r="AD763" s="3" t="str">
        <f aca="false">IF(W763="Likely Spam","",SUM(X763:AC763))</f>
        <v/>
      </c>
      <c r="AE763" s="3" t="str">
        <f aca="false">IF(W763="Likely Spam","Spam",IF(AD763&gt;='Scoring Model'!$B$21,"Hot",IF(AD763&gt;='Scoring Model'!$B$22,"Warm","Nurture")))</f>
        <v>Spam</v>
      </c>
      <c r="AF763" s="3" t="str">
        <f aca="false">IF(W763="Likely Spam","Flagged by spam rules",TRIM(IF(X763&gt;=20,"Strong source. ","")&amp;IF(Y763&gt;0,"Company email. ","")&amp;IF(Z763&gt;=15,"High-value product. ","")&amp;IF(AA763&gt;='Scoring Model'!$B$15,"High engagement. ","")&amp;IF(AB763&gt;0,"Buying intent in message. ","")&amp;IF(AC763&lt;0,"Negative intent in message. ","")))</f>
        <v>Flagged by spam rules</v>
      </c>
      <c r="AG763" s="11" t="str">
        <f aca="false">IF(W763="Likely Spam","",1/(1+EXP(-('Conversion Model'!$B$5+IFERROR(INDEX('Conversion Model'!$B$8:$B$14,MATCH(C763,'Conversion Model'!$A$8:$A$14,0)),0)+IFERROR(INDEX('Conversion Model'!$E$8:$E$9,MATCH(F763,'Conversion Model'!$D$8:$D$9,0)),0)+IFERROR(INDEX('Conversion Model'!$H$8:$H$12,MATCH(IF(LEFT(J763,8)="Payments","Payments",IF(LEFT(J763,7)="Lending","Lending",J763)),'Conversion Model'!$G$8:$G$12,0)),0)+MIN(L763,15)*'Conversion Model'!$B$17+IF(SUMPRODUCT(--ISNUMBER(SEARCH('Scoring Model'!$D$16:$D$25,K763)))&gt;0,'Conversion Model'!$B$18,0)+IF(SUMPRODUCT(--ISNUMBER(SEARCH('Scoring Model'!$G$16:$G$23,K763)))&gt;0,'Conversion Model'!$B$19,0)))))</f>
        <v/>
      </c>
      <c r="AH763" s="3" t="str">
        <f aca="false">IF(OR(O763="Qualified",O763="Won",O763="Lost"),1,IF(O763="Unqualified",0,""))</f>
        <v/>
      </c>
    </row>
    <row r="764" customFormat="false" ht="15" hidden="false" customHeight="true" outlineLevel="0" collapsed="false">
      <c r="A764" s="3" t="s">
        <v>2483</v>
      </c>
      <c r="B764" s="9" t="n">
        <v>46274.3555555556</v>
      </c>
      <c r="C764" s="3" t="s">
        <v>112</v>
      </c>
      <c r="D764" s="3" t="s">
        <v>2239</v>
      </c>
      <c r="E764" s="3" t="s">
        <v>2484</v>
      </c>
      <c r="F764" s="3" t="s">
        <v>54</v>
      </c>
      <c r="G764" s="3" t="s">
        <v>2485</v>
      </c>
      <c r="H764" s="3"/>
      <c r="I764" s="3" t="s">
        <v>88</v>
      </c>
      <c r="J764" s="3" t="s">
        <v>145</v>
      </c>
      <c r="K764" s="3" t="s">
        <v>74</v>
      </c>
      <c r="L764" s="3" t="n">
        <v>3</v>
      </c>
      <c r="M764" s="3" t="n">
        <v>12.1</v>
      </c>
      <c r="N764" s="3" t="s">
        <v>171</v>
      </c>
      <c r="O764" s="3" t="s">
        <v>194</v>
      </c>
      <c r="P764" s="10"/>
      <c r="Q764" s="3" t="n">
        <f aca="false">IF(F764="Disposable",1,0)</f>
        <v>0</v>
      </c>
      <c r="R764" s="3" t="n">
        <f aca="false">IF(SUMPRODUCT(--ISNUMBER(SEARCH('Spam Rules'!$A$22:$A$35,K764)))&gt;0,1,0)</f>
        <v>0</v>
      </c>
      <c r="S764" s="3" t="n">
        <f aca="false">IF(AND(F764="Free",G764=""),1,0)</f>
        <v>0</v>
      </c>
      <c r="T764" s="3" t="n">
        <f aca="false">IF(LEN(TRIM(K764))&lt;15,1,0)</f>
        <v>0</v>
      </c>
      <c r="U764" s="3" t="n">
        <f aca="false">IF(COUNTIF($E$2:$E$801,E764)&gt;1,1,0)</f>
        <v>0</v>
      </c>
      <c r="V764" s="3" t="n">
        <f aca="false">Q764*'Spam Rules'!$H$6+R764*'Spam Rules'!$H$7+S764*'Spam Rules'!$H$8+T764*'Spam Rules'!$H$9+U764*'Spam Rules'!$H$10</f>
        <v>0</v>
      </c>
      <c r="W764" s="3" t="str">
        <f aca="false">IF(V764&gt;='Spam Rules'!$B$3,"Likely Spam","Genuine")</f>
        <v>Genuine</v>
      </c>
      <c r="X764" s="3" t="n">
        <f aca="false">IFERROR(INDEX('Scoring Model'!$B$5:$B$11,MATCH(C764,'Scoring Model'!$A$5:$A$11,0)),0)</f>
        <v>15</v>
      </c>
      <c r="Y764" s="3" t="n">
        <f aca="false">IFERROR(INDEX('Scoring Model'!$E$5:$E$7,MATCH(F764,'Scoring Model'!$D$5:$D$7,0)),0)</f>
        <v>0</v>
      </c>
      <c r="Z764" s="3" t="n">
        <f aca="false">IFERROR(INDEX('Scoring Model'!$H$5:$H$13,MATCH(J764,'Scoring Model'!$G$5:$G$13,0)),0)</f>
        <v>5</v>
      </c>
      <c r="AA764" s="3" t="n">
        <f aca="false">IF(L764&gt;='Scoring Model'!$B$14,'Scoring Model'!$B$15,IF(L764&gt;='Scoring Model'!$B$16,'Scoring Model'!$B$17,0))</f>
        <v>0</v>
      </c>
      <c r="AB764" s="3" t="n">
        <f aca="false">IF(SUMPRODUCT(--ISNUMBER(SEARCH('Scoring Model'!$D$16:$D$25,K764)))&gt;0,'Scoring Model'!$B$18,0)</f>
        <v>0</v>
      </c>
      <c r="AC764" s="3" t="n">
        <f aca="false">IF(SUMPRODUCT(--ISNUMBER(SEARCH('Scoring Model'!$G$16:$G$23,K764)))&gt;0,'Scoring Model'!$B$19,0)</f>
        <v>-30</v>
      </c>
      <c r="AD764" s="3" t="n">
        <f aca="false">IF(W764="Likely Spam","",SUM(X764:AC764))</f>
        <v>-10</v>
      </c>
      <c r="AE764" s="3" t="str">
        <f aca="false">IF(W764="Likely Spam","Spam",IF(AD764&gt;='Scoring Model'!$B$21,"Hot",IF(AD764&gt;='Scoring Model'!$B$22,"Warm","Nurture")))</f>
        <v>Nurture</v>
      </c>
      <c r="AF764" s="3" t="str">
        <f aca="false">IF(W764="Likely Spam","Flagged by spam rules",TRIM(IF(X764&gt;=20,"Strong source. ","")&amp;IF(Y764&gt;0,"Company email. ","")&amp;IF(Z764&gt;=15,"High-value product. ","")&amp;IF(AA764&gt;='Scoring Model'!$B$15,"High engagement. ","")&amp;IF(AB764&gt;0,"Buying intent in message. ","")&amp;IF(AC764&lt;0,"Negative intent in message. ","")))</f>
        <v>Negative intent in message.</v>
      </c>
      <c r="AG764" s="11" t="n">
        <f aca="false">IF(W764="Likely Spam","",1/(1+EXP(-('Conversion Model'!$B$5+IFERROR(INDEX('Conversion Model'!$B$8:$B$14,MATCH(C764,'Conversion Model'!$A$8:$A$14,0)),0)+IFERROR(INDEX('Conversion Model'!$E$8:$E$9,MATCH(F764,'Conversion Model'!$D$8:$D$9,0)),0)+IFERROR(INDEX('Conversion Model'!$H$8:$H$12,MATCH(IF(LEFT(J764,8)="Payments","Payments",IF(LEFT(J764,7)="Lending","Lending",J764)),'Conversion Model'!$G$8:$G$12,0)),0)+MIN(L764,15)*'Conversion Model'!$B$17+IF(SUMPRODUCT(--ISNUMBER(SEARCH('Scoring Model'!$D$16:$D$25,K764)))&gt;0,'Conversion Model'!$B$18,0)+IF(SUMPRODUCT(--ISNUMBER(SEARCH('Scoring Model'!$G$16:$G$23,K764)))&gt;0,'Conversion Model'!$B$19,0)))))</f>
        <v>0.0065938643916765</v>
      </c>
      <c r="AH764" s="3" t="n">
        <f aca="false">IF(OR(O764="Qualified",O764="Won",O764="Lost"),1,IF(O764="Unqualified",0,""))</f>
        <v>0</v>
      </c>
    </row>
    <row r="765" customFormat="false" ht="15" hidden="false" customHeight="true" outlineLevel="0" collapsed="false">
      <c r="A765" s="3" t="s">
        <v>2486</v>
      </c>
      <c r="B765" s="9" t="n">
        <v>46274.7416666667</v>
      </c>
      <c r="C765" s="3" t="s">
        <v>51</v>
      </c>
      <c r="D765" s="3" t="s">
        <v>2397</v>
      </c>
      <c r="E765" s="3" t="s">
        <v>1923</v>
      </c>
      <c r="F765" s="3" t="s">
        <v>54</v>
      </c>
      <c r="G765" s="3" t="s">
        <v>79</v>
      </c>
      <c r="H765" s="3"/>
      <c r="I765" s="3" t="s">
        <v>56</v>
      </c>
      <c r="J765" s="3" t="s">
        <v>81</v>
      </c>
      <c r="K765" s="3" t="s">
        <v>239</v>
      </c>
      <c r="L765" s="3" t="n">
        <v>1</v>
      </c>
      <c r="M765" s="3"/>
      <c r="N765" s="3" t="s">
        <v>96</v>
      </c>
      <c r="O765" s="3" t="s">
        <v>68</v>
      </c>
      <c r="P765" s="10"/>
      <c r="Q765" s="3" t="n">
        <f aca="false">IF(F765="Disposable",1,0)</f>
        <v>0</v>
      </c>
      <c r="R765" s="3" t="n">
        <f aca="false">IF(SUMPRODUCT(--ISNUMBER(SEARCH('Spam Rules'!$A$22:$A$35,K765)))&gt;0,1,0)</f>
        <v>1</v>
      </c>
      <c r="S765" s="3" t="n">
        <f aca="false">IF(AND(F765="Free",G765=""),1,0)</f>
        <v>0</v>
      </c>
      <c r="T765" s="3" t="n">
        <f aca="false">IF(LEN(TRIM(K765))&lt;15,1,0)</f>
        <v>0</v>
      </c>
      <c r="U765" s="3" t="n">
        <f aca="false">IF(COUNTIF($E$2:$E$801,E765)&gt;1,1,0)</f>
        <v>1</v>
      </c>
      <c r="V765" s="3" t="n">
        <f aca="false">Q765*'Spam Rules'!$H$6+R765*'Spam Rules'!$H$7+S765*'Spam Rules'!$H$8+T765*'Spam Rules'!$H$9+U765*'Spam Rules'!$H$10</f>
        <v>1</v>
      </c>
      <c r="W765" s="3" t="str">
        <f aca="false">IF(V765&gt;='Spam Rules'!$B$3,"Likely Spam","Genuine")</f>
        <v>Likely Spam</v>
      </c>
      <c r="X765" s="3" t="n">
        <f aca="false">IFERROR(INDEX('Scoring Model'!$B$5:$B$11,MATCH(C765,'Scoring Model'!$A$5:$A$11,0)),0)</f>
        <v>10</v>
      </c>
      <c r="Y765" s="3" t="n">
        <f aca="false">IFERROR(INDEX('Scoring Model'!$E$5:$E$7,MATCH(F765,'Scoring Model'!$D$5:$D$7,0)),0)</f>
        <v>0</v>
      </c>
      <c r="Z765" s="3" t="n">
        <f aca="false">IFERROR(INDEX('Scoring Model'!$H$5:$H$13,MATCH(J765,'Scoring Model'!$G$5:$G$13,0)),0)</f>
        <v>5</v>
      </c>
      <c r="AA765" s="3" t="n">
        <f aca="false">IF(L765&gt;='Scoring Model'!$B$14,'Scoring Model'!$B$15,IF(L765&gt;='Scoring Model'!$B$16,'Scoring Model'!$B$17,0))</f>
        <v>0</v>
      </c>
      <c r="AB765" s="3" t="n">
        <f aca="false">IF(SUMPRODUCT(--ISNUMBER(SEARCH('Scoring Model'!$D$16:$D$25,K765)))&gt;0,'Scoring Model'!$B$18,0)</f>
        <v>0</v>
      </c>
      <c r="AC765" s="3" t="n">
        <f aca="false">IF(SUMPRODUCT(--ISNUMBER(SEARCH('Scoring Model'!$G$16:$G$23,K765)))&gt;0,'Scoring Model'!$B$19,0)</f>
        <v>0</v>
      </c>
      <c r="AD765" s="3" t="str">
        <f aca="false">IF(W765="Likely Spam","",SUM(X765:AC765))</f>
        <v/>
      </c>
      <c r="AE765" s="3" t="str">
        <f aca="false">IF(W765="Likely Spam","Spam",IF(AD765&gt;='Scoring Model'!$B$21,"Hot",IF(AD765&gt;='Scoring Model'!$B$22,"Warm","Nurture")))</f>
        <v>Spam</v>
      </c>
      <c r="AF765" s="3" t="str">
        <f aca="false">IF(W765="Likely Spam","Flagged by spam rules",TRIM(IF(X765&gt;=20,"Strong source. ","")&amp;IF(Y765&gt;0,"Company email. ","")&amp;IF(Z765&gt;=15,"High-value product. ","")&amp;IF(AA765&gt;='Scoring Model'!$B$15,"High engagement. ","")&amp;IF(AB765&gt;0,"Buying intent in message. ","")&amp;IF(AC765&lt;0,"Negative intent in message. ","")))</f>
        <v>Flagged by spam rules</v>
      </c>
      <c r="AG765" s="11" t="str">
        <f aca="false">IF(W765="Likely Spam","",1/(1+EXP(-('Conversion Model'!$B$5+IFERROR(INDEX('Conversion Model'!$B$8:$B$14,MATCH(C765,'Conversion Model'!$A$8:$A$14,0)),0)+IFERROR(INDEX('Conversion Model'!$E$8:$E$9,MATCH(F765,'Conversion Model'!$D$8:$D$9,0)),0)+IFERROR(INDEX('Conversion Model'!$H$8:$H$12,MATCH(IF(LEFT(J765,8)="Payments","Payments",IF(LEFT(J765,7)="Lending","Lending",J765)),'Conversion Model'!$G$8:$G$12,0)),0)+MIN(L765,15)*'Conversion Model'!$B$17+IF(SUMPRODUCT(--ISNUMBER(SEARCH('Scoring Model'!$D$16:$D$25,K765)))&gt;0,'Conversion Model'!$B$18,0)+IF(SUMPRODUCT(--ISNUMBER(SEARCH('Scoring Model'!$G$16:$G$23,K765)))&gt;0,'Conversion Model'!$B$19,0)))))</f>
        <v/>
      </c>
      <c r="AH765" s="3" t="str">
        <f aca="false">IF(OR(O765="Qualified",O765="Won",O765="Lost"),1,IF(O765="Unqualified",0,""))</f>
        <v/>
      </c>
    </row>
    <row r="766" customFormat="false" ht="15" hidden="false" customHeight="true" outlineLevel="0" collapsed="false">
      <c r="A766" s="3" t="s">
        <v>2487</v>
      </c>
      <c r="B766" s="9" t="n">
        <v>46275.4493055556</v>
      </c>
      <c r="C766" s="3" t="s">
        <v>51</v>
      </c>
      <c r="D766" s="3" t="s">
        <v>542</v>
      </c>
      <c r="E766" s="3" t="s">
        <v>2488</v>
      </c>
      <c r="F766" s="3" t="s">
        <v>22</v>
      </c>
      <c r="G766" s="3" t="s">
        <v>651</v>
      </c>
      <c r="H766" s="3" t="s">
        <v>2489</v>
      </c>
      <c r="I766" s="3" t="s">
        <v>73</v>
      </c>
      <c r="J766" s="3" t="s">
        <v>57</v>
      </c>
      <c r="K766" s="3" t="s">
        <v>228</v>
      </c>
      <c r="L766" s="3" t="n">
        <v>6</v>
      </c>
      <c r="M766" s="3" t="n">
        <v>17.2</v>
      </c>
      <c r="N766" s="3" t="s">
        <v>67</v>
      </c>
      <c r="O766" s="3" t="s">
        <v>133</v>
      </c>
      <c r="P766" s="10"/>
      <c r="Q766" s="3" t="n">
        <f aca="false">IF(F766="Disposable",1,0)</f>
        <v>0</v>
      </c>
      <c r="R766" s="3" t="n">
        <f aca="false">IF(SUMPRODUCT(--ISNUMBER(SEARCH('Spam Rules'!$A$22:$A$35,K766)))&gt;0,1,0)</f>
        <v>0</v>
      </c>
      <c r="S766" s="3" t="n">
        <f aca="false">IF(AND(F766="Free",G766=""),1,0)</f>
        <v>0</v>
      </c>
      <c r="T766" s="3" t="n">
        <f aca="false">IF(LEN(TRIM(K766))&lt;15,1,0)</f>
        <v>0</v>
      </c>
      <c r="U766" s="3" t="n">
        <f aca="false">IF(COUNTIF($E$2:$E$801,E766)&gt;1,1,0)</f>
        <v>0</v>
      </c>
      <c r="V766" s="3" t="n">
        <f aca="false">Q766*'Spam Rules'!$H$6+R766*'Spam Rules'!$H$7+S766*'Spam Rules'!$H$8+T766*'Spam Rules'!$H$9+U766*'Spam Rules'!$H$10</f>
        <v>0</v>
      </c>
      <c r="W766" s="3" t="str">
        <f aca="false">IF(V766&gt;='Spam Rules'!$B$3,"Likely Spam","Genuine")</f>
        <v>Genuine</v>
      </c>
      <c r="X766" s="3" t="n">
        <f aca="false">IFERROR(INDEX('Scoring Model'!$B$5:$B$11,MATCH(C766,'Scoring Model'!$A$5:$A$11,0)),0)</f>
        <v>10</v>
      </c>
      <c r="Y766" s="3" t="n">
        <f aca="false">IFERROR(INDEX('Scoring Model'!$E$5:$E$7,MATCH(F766,'Scoring Model'!$D$5:$D$7,0)),0)</f>
        <v>20</v>
      </c>
      <c r="Z766" s="3" t="n">
        <f aca="false">IFERROR(INDEX('Scoring Model'!$H$5:$H$13,MATCH(J766,'Scoring Model'!$G$5:$G$13,0)),0)</f>
        <v>15</v>
      </c>
      <c r="AA766" s="3" t="n">
        <f aca="false">IF(L766&gt;='Scoring Model'!$B$14,'Scoring Model'!$B$15,IF(L766&gt;='Scoring Model'!$B$16,'Scoring Model'!$B$17,0))</f>
        <v>8</v>
      </c>
      <c r="AB766" s="3" t="n">
        <f aca="false">IF(SUMPRODUCT(--ISNUMBER(SEARCH('Scoring Model'!$D$16:$D$25,K766)))&gt;0,'Scoring Model'!$B$18,0)</f>
        <v>15</v>
      </c>
      <c r="AC766" s="3" t="n">
        <f aca="false">IF(SUMPRODUCT(--ISNUMBER(SEARCH('Scoring Model'!$G$16:$G$23,K766)))&gt;0,'Scoring Model'!$B$19,0)</f>
        <v>0</v>
      </c>
      <c r="AD766" s="3" t="n">
        <f aca="false">IF(W766="Likely Spam","",SUM(X766:AC766))</f>
        <v>68</v>
      </c>
      <c r="AE766" s="3" t="str">
        <f aca="false">IF(W766="Likely Spam","Spam",IF(AD766&gt;='Scoring Model'!$B$21,"Hot",IF(AD766&gt;='Scoring Model'!$B$22,"Warm","Nurture")))</f>
        <v>Warm</v>
      </c>
      <c r="AF766" s="3" t="str">
        <f aca="false">IF(W766="Likely Spam","Flagged by spam rules",TRIM(IF(X766&gt;=20,"Strong source. ","")&amp;IF(Y766&gt;0,"Company email. ","")&amp;IF(Z766&gt;=15,"High-value product. ","")&amp;IF(AA766&gt;='Scoring Model'!$B$15,"High engagement. ","")&amp;IF(AB766&gt;0,"Buying intent in message. ","")&amp;IF(AC766&lt;0,"Negative intent in message. ","")))</f>
        <v>Company email. High-value product. Buying intent in message.</v>
      </c>
      <c r="AG766" s="11" t="n">
        <f aca="false">IF(W766="Likely Spam","",1/(1+EXP(-('Conversion Model'!$B$5+IFERROR(INDEX('Conversion Model'!$B$8:$B$14,MATCH(C766,'Conversion Model'!$A$8:$A$14,0)),0)+IFERROR(INDEX('Conversion Model'!$E$8:$E$9,MATCH(F766,'Conversion Model'!$D$8:$D$9,0)),0)+IFERROR(INDEX('Conversion Model'!$H$8:$H$12,MATCH(IF(LEFT(J766,8)="Payments","Payments",IF(LEFT(J766,7)="Lending","Lending",J766)),'Conversion Model'!$G$8:$G$12,0)),0)+MIN(L766,15)*'Conversion Model'!$B$17+IF(SUMPRODUCT(--ISNUMBER(SEARCH('Scoring Model'!$D$16:$D$25,K766)))&gt;0,'Conversion Model'!$B$18,0)+IF(SUMPRODUCT(--ISNUMBER(SEARCH('Scoring Model'!$G$16:$G$23,K766)))&gt;0,'Conversion Model'!$B$19,0)))))</f>
        <v>0.830193605352031</v>
      </c>
      <c r="AH766" s="3" t="str">
        <f aca="false">IF(OR(O766="Qualified",O766="Won",O766="Lost"),1,IF(O766="Unqualified",0,""))</f>
        <v/>
      </c>
    </row>
    <row r="767" customFormat="false" ht="15" hidden="false" customHeight="true" outlineLevel="0" collapsed="false">
      <c r="A767" s="3" t="s">
        <v>2490</v>
      </c>
      <c r="B767" s="9" t="n">
        <v>46275.7701388889</v>
      </c>
      <c r="C767" s="3" t="s">
        <v>51</v>
      </c>
      <c r="D767" s="3" t="s">
        <v>1669</v>
      </c>
      <c r="E767" s="3" t="s">
        <v>2491</v>
      </c>
      <c r="F767" s="3" t="s">
        <v>54</v>
      </c>
      <c r="G767" s="3"/>
      <c r="H767" s="3"/>
      <c r="I767" s="3" t="s">
        <v>64</v>
      </c>
      <c r="J767" s="3" t="s">
        <v>145</v>
      </c>
      <c r="K767" s="3" t="s">
        <v>74</v>
      </c>
      <c r="L767" s="3" t="n">
        <v>3</v>
      </c>
      <c r="M767" s="3" t="n">
        <v>136.3</v>
      </c>
      <c r="N767" s="3" t="s">
        <v>59</v>
      </c>
      <c r="O767" s="3" t="s">
        <v>194</v>
      </c>
      <c r="P767" s="10"/>
      <c r="Q767" s="3" t="n">
        <f aca="false">IF(F767="Disposable",1,0)</f>
        <v>0</v>
      </c>
      <c r="R767" s="3" t="n">
        <f aca="false">IF(SUMPRODUCT(--ISNUMBER(SEARCH('Spam Rules'!$A$22:$A$35,K767)))&gt;0,1,0)</f>
        <v>0</v>
      </c>
      <c r="S767" s="3" t="n">
        <f aca="false">IF(AND(F767="Free",G767=""),1,0)</f>
        <v>1</v>
      </c>
      <c r="T767" s="3" t="n">
        <f aca="false">IF(LEN(TRIM(K767))&lt;15,1,0)</f>
        <v>0</v>
      </c>
      <c r="U767" s="3" t="n">
        <f aca="false">IF(COUNTIF($E$2:$E$801,E767)&gt;1,1,0)</f>
        <v>0</v>
      </c>
      <c r="V767" s="3" t="n">
        <f aca="false">Q767*'Spam Rules'!$H$6+R767*'Spam Rules'!$H$7+S767*'Spam Rules'!$H$8+T767*'Spam Rules'!$H$9+U767*'Spam Rules'!$H$10</f>
        <v>0</v>
      </c>
      <c r="W767" s="3" t="str">
        <f aca="false">IF(V767&gt;='Spam Rules'!$B$3,"Likely Spam","Genuine")</f>
        <v>Genuine</v>
      </c>
      <c r="X767" s="3" t="n">
        <f aca="false">IFERROR(INDEX('Scoring Model'!$B$5:$B$11,MATCH(C767,'Scoring Model'!$A$5:$A$11,0)),0)</f>
        <v>10</v>
      </c>
      <c r="Y767" s="3" t="n">
        <f aca="false">IFERROR(INDEX('Scoring Model'!$E$5:$E$7,MATCH(F767,'Scoring Model'!$D$5:$D$7,0)),0)</f>
        <v>0</v>
      </c>
      <c r="Z767" s="3" t="n">
        <f aca="false">IFERROR(INDEX('Scoring Model'!$H$5:$H$13,MATCH(J767,'Scoring Model'!$G$5:$G$13,0)),0)</f>
        <v>5</v>
      </c>
      <c r="AA767" s="3" t="n">
        <f aca="false">IF(L767&gt;='Scoring Model'!$B$14,'Scoring Model'!$B$15,IF(L767&gt;='Scoring Model'!$B$16,'Scoring Model'!$B$17,0))</f>
        <v>0</v>
      </c>
      <c r="AB767" s="3" t="n">
        <f aca="false">IF(SUMPRODUCT(--ISNUMBER(SEARCH('Scoring Model'!$D$16:$D$25,K767)))&gt;0,'Scoring Model'!$B$18,0)</f>
        <v>0</v>
      </c>
      <c r="AC767" s="3" t="n">
        <f aca="false">IF(SUMPRODUCT(--ISNUMBER(SEARCH('Scoring Model'!$G$16:$G$23,K767)))&gt;0,'Scoring Model'!$B$19,0)</f>
        <v>-30</v>
      </c>
      <c r="AD767" s="3" t="n">
        <f aca="false">IF(W767="Likely Spam","",SUM(X767:AC767))</f>
        <v>-15</v>
      </c>
      <c r="AE767" s="3" t="str">
        <f aca="false">IF(W767="Likely Spam","Spam",IF(AD767&gt;='Scoring Model'!$B$21,"Hot",IF(AD767&gt;='Scoring Model'!$B$22,"Warm","Nurture")))</f>
        <v>Nurture</v>
      </c>
      <c r="AF767" s="3" t="str">
        <f aca="false">IF(W767="Likely Spam","Flagged by spam rules",TRIM(IF(X767&gt;=20,"Strong source. ","")&amp;IF(Y767&gt;0,"Company email. ","")&amp;IF(Z767&gt;=15,"High-value product. ","")&amp;IF(AA767&gt;='Scoring Model'!$B$15,"High engagement. ","")&amp;IF(AB767&gt;0,"Buying intent in message. ","")&amp;IF(AC767&lt;0,"Negative intent in message. ","")))</f>
        <v>Negative intent in message.</v>
      </c>
      <c r="AG767" s="11" t="n">
        <f aca="false">IF(W767="Likely Spam","",1/(1+EXP(-('Conversion Model'!$B$5+IFERROR(INDEX('Conversion Model'!$B$8:$B$14,MATCH(C767,'Conversion Model'!$A$8:$A$14,0)),0)+IFERROR(INDEX('Conversion Model'!$E$8:$E$9,MATCH(F767,'Conversion Model'!$D$8:$D$9,0)),0)+IFERROR(INDEX('Conversion Model'!$H$8:$H$12,MATCH(IF(LEFT(J767,8)="Payments","Payments",IF(LEFT(J767,7)="Lending","Lending",J767)),'Conversion Model'!$G$8:$G$12,0)),0)+MIN(L767,15)*'Conversion Model'!$B$17+IF(SUMPRODUCT(--ISNUMBER(SEARCH('Scoring Model'!$D$16:$D$25,K767)))&gt;0,'Conversion Model'!$B$18,0)+IF(SUMPRODUCT(--ISNUMBER(SEARCH('Scoring Model'!$G$16:$G$23,K767)))&gt;0,'Conversion Model'!$B$19,0)))))</f>
        <v>0.00639387738074586</v>
      </c>
      <c r="AH767" s="3" t="n">
        <f aca="false">IF(OR(O767="Qualified",O767="Won",O767="Lost"),1,IF(O767="Unqualified",0,""))</f>
        <v>0</v>
      </c>
    </row>
    <row r="768" customFormat="false" ht="15" hidden="false" customHeight="true" outlineLevel="0" collapsed="false">
      <c r="A768" s="3" t="s">
        <v>2492</v>
      </c>
      <c r="B768" s="9" t="n">
        <v>46276.0854166667</v>
      </c>
      <c r="C768" s="3" t="s">
        <v>160</v>
      </c>
      <c r="D768" s="3" t="s">
        <v>1722</v>
      </c>
      <c r="E768" s="3" t="s">
        <v>2493</v>
      </c>
      <c r="F768" s="3" t="s">
        <v>22</v>
      </c>
      <c r="G768" s="3" t="s">
        <v>617</v>
      </c>
      <c r="H768" s="3" t="s">
        <v>618</v>
      </c>
      <c r="I768" s="3" t="s">
        <v>116</v>
      </c>
      <c r="J768" s="3" t="s">
        <v>165</v>
      </c>
      <c r="K768" s="3" t="s">
        <v>228</v>
      </c>
      <c r="L768" s="3" t="n">
        <v>3</v>
      </c>
      <c r="M768" s="3" t="n">
        <v>18.8</v>
      </c>
      <c r="N768" s="3" t="s">
        <v>67</v>
      </c>
      <c r="O768" s="3" t="s">
        <v>133</v>
      </c>
      <c r="P768" s="10"/>
      <c r="Q768" s="3" t="n">
        <f aca="false">IF(F768="Disposable",1,0)</f>
        <v>0</v>
      </c>
      <c r="R768" s="3" t="n">
        <f aca="false">IF(SUMPRODUCT(--ISNUMBER(SEARCH('Spam Rules'!$A$22:$A$35,K768)))&gt;0,1,0)</f>
        <v>0</v>
      </c>
      <c r="S768" s="3" t="n">
        <f aca="false">IF(AND(F768="Free",G768=""),1,0)</f>
        <v>0</v>
      </c>
      <c r="T768" s="3" t="n">
        <f aca="false">IF(LEN(TRIM(K768))&lt;15,1,0)</f>
        <v>0</v>
      </c>
      <c r="U768" s="3" t="n">
        <f aca="false">IF(COUNTIF($E$2:$E$801,E768)&gt;1,1,0)</f>
        <v>0</v>
      </c>
      <c r="V768" s="3" t="n">
        <f aca="false">Q768*'Spam Rules'!$H$6+R768*'Spam Rules'!$H$7+S768*'Spam Rules'!$H$8+T768*'Spam Rules'!$H$9+U768*'Spam Rules'!$H$10</f>
        <v>0</v>
      </c>
      <c r="W768" s="3" t="str">
        <f aca="false">IF(V768&gt;='Spam Rules'!$B$3,"Likely Spam","Genuine")</f>
        <v>Genuine</v>
      </c>
      <c r="X768" s="3" t="n">
        <f aca="false">IFERROR(INDEX('Scoring Model'!$B$5:$B$11,MATCH(C768,'Scoring Model'!$A$5:$A$11,0)),0)</f>
        <v>25</v>
      </c>
      <c r="Y768" s="3" t="n">
        <f aca="false">IFERROR(INDEX('Scoring Model'!$E$5:$E$7,MATCH(F768,'Scoring Model'!$D$5:$D$7,0)),0)</f>
        <v>20</v>
      </c>
      <c r="Z768" s="3" t="n">
        <f aca="false">IFERROR(INDEX('Scoring Model'!$H$5:$H$13,MATCH(J768,'Scoring Model'!$G$5:$G$13,0)),0)</f>
        <v>15</v>
      </c>
      <c r="AA768" s="3" t="n">
        <f aca="false">IF(L768&gt;='Scoring Model'!$B$14,'Scoring Model'!$B$15,IF(L768&gt;='Scoring Model'!$B$16,'Scoring Model'!$B$17,0))</f>
        <v>0</v>
      </c>
      <c r="AB768" s="3" t="n">
        <f aca="false">IF(SUMPRODUCT(--ISNUMBER(SEARCH('Scoring Model'!$D$16:$D$25,K768)))&gt;0,'Scoring Model'!$B$18,0)</f>
        <v>15</v>
      </c>
      <c r="AC768" s="3" t="n">
        <f aca="false">IF(SUMPRODUCT(--ISNUMBER(SEARCH('Scoring Model'!$G$16:$G$23,K768)))&gt;0,'Scoring Model'!$B$19,0)</f>
        <v>0</v>
      </c>
      <c r="AD768" s="3" t="n">
        <f aca="false">IF(W768="Likely Spam","",SUM(X768:AC768))</f>
        <v>75</v>
      </c>
      <c r="AE768" s="3" t="str">
        <f aca="false">IF(W768="Likely Spam","Spam",IF(AD768&gt;='Scoring Model'!$B$21,"Hot",IF(AD768&gt;='Scoring Model'!$B$22,"Warm","Nurture")))</f>
        <v>Hot</v>
      </c>
      <c r="AF768" s="3" t="str">
        <f aca="false">IF(W768="Likely Spam","Flagged by spam rules",TRIM(IF(X768&gt;=20,"Strong source. ","")&amp;IF(Y768&gt;0,"Company email. ","")&amp;IF(Z768&gt;=15,"High-value product. ","")&amp;IF(AA768&gt;='Scoring Model'!$B$15,"High engagement. ","")&amp;IF(AB768&gt;0,"Buying intent in message. ","")&amp;IF(AC768&lt;0,"Negative intent in message. ","")))</f>
        <v>Strong source. Company email. High-value product. Buying intent in message.</v>
      </c>
      <c r="AG768" s="11" t="n">
        <f aca="false">IF(W768="Likely Spam","",1/(1+EXP(-('Conversion Model'!$B$5+IFERROR(INDEX('Conversion Model'!$B$8:$B$14,MATCH(C768,'Conversion Model'!$A$8:$A$14,0)),0)+IFERROR(INDEX('Conversion Model'!$E$8:$E$9,MATCH(F768,'Conversion Model'!$D$8:$D$9,0)),0)+IFERROR(INDEX('Conversion Model'!$H$8:$H$12,MATCH(IF(LEFT(J768,8)="Payments","Payments",IF(LEFT(J768,7)="Lending","Lending",J768)),'Conversion Model'!$G$8:$G$12,0)),0)+MIN(L768,15)*'Conversion Model'!$B$17+IF(SUMPRODUCT(--ISNUMBER(SEARCH('Scoring Model'!$D$16:$D$25,K768)))&gt;0,'Conversion Model'!$B$18,0)+IF(SUMPRODUCT(--ISNUMBER(SEARCH('Scoring Model'!$G$16:$G$23,K768)))&gt;0,'Conversion Model'!$B$19,0)))))</f>
        <v>0.425068639509415</v>
      </c>
      <c r="AH768" s="3" t="str">
        <f aca="false">IF(OR(O768="Qualified",O768="Won",O768="Lost"),1,IF(O768="Unqualified",0,""))</f>
        <v/>
      </c>
    </row>
    <row r="769" customFormat="false" ht="15" hidden="false" customHeight="true" outlineLevel="0" collapsed="false">
      <c r="A769" s="3" t="s">
        <v>2494</v>
      </c>
      <c r="B769" s="9" t="n">
        <v>46276.6638888889</v>
      </c>
      <c r="C769" s="3" t="s">
        <v>91</v>
      </c>
      <c r="D769" s="3" t="s">
        <v>2127</v>
      </c>
      <c r="E769" s="3" t="s">
        <v>2495</v>
      </c>
      <c r="F769" s="3" t="s">
        <v>54</v>
      </c>
      <c r="G769" s="3" t="s">
        <v>1154</v>
      </c>
      <c r="H769" s="3"/>
      <c r="I769" s="3" t="s">
        <v>64</v>
      </c>
      <c r="J769" s="3" t="s">
        <v>145</v>
      </c>
      <c r="K769" s="3" t="s">
        <v>213</v>
      </c>
      <c r="L769" s="3" t="n">
        <v>4</v>
      </c>
      <c r="M769" s="3" t="n">
        <v>23.2</v>
      </c>
      <c r="N769" s="3" t="s">
        <v>59</v>
      </c>
      <c r="O769" s="3" t="s">
        <v>194</v>
      </c>
      <c r="P769" s="10"/>
      <c r="Q769" s="3" t="n">
        <f aca="false">IF(F769="Disposable",1,0)</f>
        <v>0</v>
      </c>
      <c r="R769" s="3" t="n">
        <f aca="false">IF(SUMPRODUCT(--ISNUMBER(SEARCH('Spam Rules'!$A$22:$A$35,K769)))&gt;0,1,0)</f>
        <v>0</v>
      </c>
      <c r="S769" s="3" t="n">
        <f aca="false">IF(AND(F769="Free",G769=""),1,0)</f>
        <v>0</v>
      </c>
      <c r="T769" s="3" t="n">
        <f aca="false">IF(LEN(TRIM(K769))&lt;15,1,0)</f>
        <v>0</v>
      </c>
      <c r="U769" s="3" t="n">
        <f aca="false">IF(COUNTIF($E$2:$E$801,E769)&gt;1,1,0)</f>
        <v>0</v>
      </c>
      <c r="V769" s="3" t="n">
        <f aca="false">Q769*'Spam Rules'!$H$6+R769*'Spam Rules'!$H$7+S769*'Spam Rules'!$H$8+T769*'Spam Rules'!$H$9+U769*'Spam Rules'!$H$10</f>
        <v>0</v>
      </c>
      <c r="W769" s="3" t="str">
        <f aca="false">IF(V769&gt;='Spam Rules'!$B$3,"Likely Spam","Genuine")</f>
        <v>Genuine</v>
      </c>
      <c r="X769" s="3" t="n">
        <f aca="false">IFERROR(INDEX('Scoring Model'!$B$5:$B$11,MATCH(C769,'Scoring Model'!$A$5:$A$11,0)),0)</f>
        <v>5</v>
      </c>
      <c r="Y769" s="3" t="n">
        <f aca="false">IFERROR(INDEX('Scoring Model'!$E$5:$E$7,MATCH(F769,'Scoring Model'!$D$5:$D$7,0)),0)</f>
        <v>0</v>
      </c>
      <c r="Z769" s="3" t="n">
        <f aca="false">IFERROR(INDEX('Scoring Model'!$H$5:$H$13,MATCH(J769,'Scoring Model'!$G$5:$G$13,0)),0)</f>
        <v>5</v>
      </c>
      <c r="AA769" s="3" t="n">
        <f aca="false">IF(L769&gt;='Scoring Model'!$B$14,'Scoring Model'!$B$15,IF(L769&gt;='Scoring Model'!$B$16,'Scoring Model'!$B$17,0))</f>
        <v>8</v>
      </c>
      <c r="AB769" s="3" t="n">
        <f aca="false">IF(SUMPRODUCT(--ISNUMBER(SEARCH('Scoring Model'!$D$16:$D$25,K769)))&gt;0,'Scoring Model'!$B$18,0)</f>
        <v>0</v>
      </c>
      <c r="AC769" s="3" t="n">
        <f aca="false">IF(SUMPRODUCT(--ISNUMBER(SEARCH('Scoring Model'!$G$16:$G$23,K769)))&gt;0,'Scoring Model'!$B$19,0)</f>
        <v>-30</v>
      </c>
      <c r="AD769" s="3" t="n">
        <f aca="false">IF(W769="Likely Spam","",SUM(X769:AC769))</f>
        <v>-12</v>
      </c>
      <c r="AE769" s="3" t="str">
        <f aca="false">IF(W769="Likely Spam","Spam",IF(AD769&gt;='Scoring Model'!$B$21,"Hot",IF(AD769&gt;='Scoring Model'!$B$22,"Warm","Nurture")))</f>
        <v>Nurture</v>
      </c>
      <c r="AF769" s="3" t="str">
        <f aca="false">IF(W769="Likely Spam","Flagged by spam rules",TRIM(IF(X769&gt;=20,"Strong source. ","")&amp;IF(Y769&gt;0,"Company email. ","")&amp;IF(Z769&gt;=15,"High-value product. ","")&amp;IF(AA769&gt;='Scoring Model'!$B$15,"High engagement. ","")&amp;IF(AB769&gt;0,"Buying intent in message. ","")&amp;IF(AC769&lt;0,"Negative intent in message. ","")))</f>
        <v>Negative intent in message.</v>
      </c>
      <c r="AG769" s="11" t="n">
        <f aca="false">IF(W769="Likely Spam","",1/(1+EXP(-('Conversion Model'!$B$5+IFERROR(INDEX('Conversion Model'!$B$8:$B$14,MATCH(C769,'Conversion Model'!$A$8:$A$14,0)),0)+IFERROR(INDEX('Conversion Model'!$E$8:$E$9,MATCH(F769,'Conversion Model'!$D$8:$D$9,0)),0)+IFERROR(INDEX('Conversion Model'!$H$8:$H$12,MATCH(IF(LEFT(J769,8)="Payments","Payments",IF(LEFT(J769,7)="Lending","Lending",J769)),'Conversion Model'!$G$8:$G$12,0)),0)+MIN(L769,15)*'Conversion Model'!$B$17+IF(SUMPRODUCT(--ISNUMBER(SEARCH('Scoring Model'!$D$16:$D$25,K769)))&gt;0,'Conversion Model'!$B$18,0)+IF(SUMPRODUCT(--ISNUMBER(SEARCH('Scoring Model'!$G$16:$G$23,K769)))&gt;0,'Conversion Model'!$B$19,0)))))</f>
        <v>0.0103948040592254</v>
      </c>
      <c r="AH769" s="3" t="n">
        <f aca="false">IF(OR(O769="Qualified",O769="Won",O769="Lost"),1,IF(O769="Unqualified",0,""))</f>
        <v>0</v>
      </c>
    </row>
    <row r="770" customFormat="false" ht="15" hidden="false" customHeight="true" outlineLevel="0" collapsed="false">
      <c r="A770" s="3" t="s">
        <v>2496</v>
      </c>
      <c r="B770" s="9" t="n">
        <v>46276.7763888889</v>
      </c>
      <c r="C770" s="3" t="s">
        <v>112</v>
      </c>
      <c r="D770" s="3" t="s">
        <v>2129</v>
      </c>
      <c r="E770" s="3" t="s">
        <v>2497</v>
      </c>
      <c r="F770" s="3" t="s">
        <v>54</v>
      </c>
      <c r="G770" s="3" t="s">
        <v>1158</v>
      </c>
      <c r="H770" s="3"/>
      <c r="I770" s="3" t="s">
        <v>94</v>
      </c>
      <c r="J770" s="3" t="s">
        <v>81</v>
      </c>
      <c r="K770" s="3" t="s">
        <v>2498</v>
      </c>
      <c r="L770" s="3" t="n">
        <v>1</v>
      </c>
      <c r="M770" s="3" t="n">
        <v>9</v>
      </c>
      <c r="N770" s="3" t="s">
        <v>171</v>
      </c>
      <c r="O770" s="3" t="s">
        <v>194</v>
      </c>
      <c r="P770" s="10"/>
      <c r="Q770" s="3" t="n">
        <f aca="false">IF(F770="Disposable",1,0)</f>
        <v>0</v>
      </c>
      <c r="R770" s="3" t="n">
        <f aca="false">IF(SUMPRODUCT(--ISNUMBER(SEARCH('Spam Rules'!$A$22:$A$35,K770)))&gt;0,1,0)</f>
        <v>0</v>
      </c>
      <c r="S770" s="3" t="n">
        <f aca="false">IF(AND(F770="Free",G770=""),1,0)</f>
        <v>0</v>
      </c>
      <c r="T770" s="3" t="n">
        <f aca="false">IF(LEN(TRIM(K770))&lt;15,1,0)</f>
        <v>0</v>
      </c>
      <c r="U770" s="3" t="n">
        <f aca="false">IF(COUNTIF($E$2:$E$801,E770)&gt;1,1,0)</f>
        <v>0</v>
      </c>
      <c r="V770" s="3" t="n">
        <f aca="false">Q770*'Spam Rules'!$H$6+R770*'Spam Rules'!$H$7+S770*'Spam Rules'!$H$8+T770*'Spam Rules'!$H$9+U770*'Spam Rules'!$H$10</f>
        <v>0</v>
      </c>
      <c r="W770" s="3" t="str">
        <f aca="false">IF(V770&gt;='Spam Rules'!$B$3,"Likely Spam","Genuine")</f>
        <v>Genuine</v>
      </c>
      <c r="X770" s="3" t="n">
        <f aca="false">IFERROR(INDEX('Scoring Model'!$B$5:$B$11,MATCH(C770,'Scoring Model'!$A$5:$A$11,0)),0)</f>
        <v>15</v>
      </c>
      <c r="Y770" s="3" t="n">
        <f aca="false">IFERROR(INDEX('Scoring Model'!$E$5:$E$7,MATCH(F770,'Scoring Model'!$D$5:$D$7,0)),0)</f>
        <v>0</v>
      </c>
      <c r="Z770" s="3" t="n">
        <f aca="false">IFERROR(INDEX('Scoring Model'!$H$5:$H$13,MATCH(J770,'Scoring Model'!$G$5:$G$13,0)),0)</f>
        <v>5</v>
      </c>
      <c r="AA770" s="3" t="n">
        <f aca="false">IF(L770&gt;='Scoring Model'!$B$14,'Scoring Model'!$B$15,IF(L770&gt;='Scoring Model'!$B$16,'Scoring Model'!$B$17,0))</f>
        <v>0</v>
      </c>
      <c r="AB770" s="3" t="n">
        <f aca="false">IF(SUMPRODUCT(--ISNUMBER(SEARCH('Scoring Model'!$D$16:$D$25,K770)))&gt;0,'Scoring Model'!$B$18,0)</f>
        <v>15</v>
      </c>
      <c r="AC770" s="3" t="n">
        <f aca="false">IF(SUMPRODUCT(--ISNUMBER(SEARCH('Scoring Model'!$G$16:$G$23,K770)))&gt;0,'Scoring Model'!$B$19,0)</f>
        <v>0</v>
      </c>
      <c r="AD770" s="3" t="n">
        <f aca="false">IF(W770="Likely Spam","",SUM(X770:AC770))</f>
        <v>35</v>
      </c>
      <c r="AE770" s="3" t="str">
        <f aca="false">IF(W770="Likely Spam","Spam",IF(AD770&gt;='Scoring Model'!$B$21,"Hot",IF(AD770&gt;='Scoring Model'!$B$22,"Warm","Nurture")))</f>
        <v>Nurture</v>
      </c>
      <c r="AF770" s="3" t="str">
        <f aca="false">IF(W770="Likely Spam","Flagged by spam rules",TRIM(IF(X770&gt;=20,"Strong source. ","")&amp;IF(Y770&gt;0,"Company email. ","")&amp;IF(Z770&gt;=15,"High-value product. ","")&amp;IF(AA770&gt;='Scoring Model'!$B$15,"High engagement. ","")&amp;IF(AB770&gt;0,"Buying intent in message. ","")&amp;IF(AC770&lt;0,"Negative intent in message. ","")))</f>
        <v>Buying intent in message.</v>
      </c>
      <c r="AG770" s="11" t="n">
        <f aca="false">IF(W770="Likely Spam","",1/(1+EXP(-('Conversion Model'!$B$5+IFERROR(INDEX('Conversion Model'!$B$8:$B$14,MATCH(C770,'Conversion Model'!$A$8:$A$14,0)),0)+IFERROR(INDEX('Conversion Model'!$E$8:$E$9,MATCH(F770,'Conversion Model'!$D$8:$D$9,0)),0)+IFERROR(INDEX('Conversion Model'!$H$8:$H$12,MATCH(IF(LEFT(J770,8)="Payments","Payments",IF(LEFT(J770,7)="Lending","Lending",J770)),'Conversion Model'!$G$8:$G$12,0)),0)+MIN(L770,15)*'Conversion Model'!$B$17+IF(SUMPRODUCT(--ISNUMBER(SEARCH('Scoring Model'!$D$16:$D$25,K770)))&gt;0,'Conversion Model'!$B$18,0)+IF(SUMPRODUCT(--ISNUMBER(SEARCH('Scoring Model'!$G$16:$G$23,K770)))&gt;0,'Conversion Model'!$B$19,0)))))</f>
        <v>0.0251114313786782</v>
      </c>
      <c r="AH770" s="3" t="n">
        <f aca="false">IF(OR(O770="Qualified",O770="Won",O770="Lost"),1,IF(O770="Unqualified",0,""))</f>
        <v>0</v>
      </c>
    </row>
    <row r="771" customFormat="false" ht="15" hidden="false" customHeight="true" outlineLevel="0" collapsed="false">
      <c r="A771" s="3" t="s">
        <v>2499</v>
      </c>
      <c r="B771" s="9" t="n">
        <v>46276.8583333333</v>
      </c>
      <c r="C771" s="3" t="s">
        <v>91</v>
      </c>
      <c r="D771" s="3" t="s">
        <v>2500</v>
      </c>
      <c r="E771" s="3" t="s">
        <v>2501</v>
      </c>
      <c r="F771" s="3" t="s">
        <v>22</v>
      </c>
      <c r="G771" s="3" t="s">
        <v>2502</v>
      </c>
      <c r="H771" s="3" t="s">
        <v>2503</v>
      </c>
      <c r="I771" s="3" t="s">
        <v>64</v>
      </c>
      <c r="J771" s="3" t="s">
        <v>122</v>
      </c>
      <c r="K771" s="3" t="s">
        <v>378</v>
      </c>
      <c r="L771" s="3" t="n">
        <v>1</v>
      </c>
      <c r="M771" s="3" t="n">
        <v>2.1</v>
      </c>
      <c r="N771" s="3" t="s">
        <v>171</v>
      </c>
      <c r="O771" s="3"/>
      <c r="P771" s="10"/>
      <c r="Q771" s="3" t="n">
        <f aca="false">IF(F771="Disposable",1,0)</f>
        <v>0</v>
      </c>
      <c r="R771" s="3" t="n">
        <f aca="false">IF(SUMPRODUCT(--ISNUMBER(SEARCH('Spam Rules'!$A$22:$A$35,K771)))&gt;0,1,0)</f>
        <v>0</v>
      </c>
      <c r="S771" s="3" t="n">
        <f aca="false">IF(AND(F771="Free",G771=""),1,0)</f>
        <v>0</v>
      </c>
      <c r="T771" s="3" t="n">
        <f aca="false">IF(LEN(TRIM(K771))&lt;15,1,0)</f>
        <v>0</v>
      </c>
      <c r="U771" s="3" t="n">
        <f aca="false">IF(COUNTIF($E$2:$E$801,E771)&gt;1,1,0)</f>
        <v>0</v>
      </c>
      <c r="V771" s="3" t="n">
        <f aca="false">Q771*'Spam Rules'!$H$6+R771*'Spam Rules'!$H$7+S771*'Spam Rules'!$H$8+T771*'Spam Rules'!$H$9+U771*'Spam Rules'!$H$10</f>
        <v>0</v>
      </c>
      <c r="W771" s="3" t="str">
        <f aca="false">IF(V771&gt;='Spam Rules'!$B$3,"Likely Spam","Genuine")</f>
        <v>Genuine</v>
      </c>
      <c r="X771" s="3" t="n">
        <f aca="false">IFERROR(INDEX('Scoring Model'!$B$5:$B$11,MATCH(C771,'Scoring Model'!$A$5:$A$11,0)),0)</f>
        <v>5</v>
      </c>
      <c r="Y771" s="3" t="n">
        <f aca="false">IFERROR(INDEX('Scoring Model'!$E$5:$E$7,MATCH(F771,'Scoring Model'!$D$5:$D$7,0)),0)</f>
        <v>20</v>
      </c>
      <c r="Z771" s="3" t="n">
        <f aca="false">IFERROR(INDEX('Scoring Model'!$H$5:$H$13,MATCH(J771,'Scoring Model'!$G$5:$G$13,0)),0)</f>
        <v>15</v>
      </c>
      <c r="AA771" s="3" t="n">
        <f aca="false">IF(L771&gt;='Scoring Model'!$B$14,'Scoring Model'!$B$15,IF(L771&gt;='Scoring Model'!$B$16,'Scoring Model'!$B$17,0))</f>
        <v>0</v>
      </c>
      <c r="AB771" s="3" t="n">
        <f aca="false">IF(SUMPRODUCT(--ISNUMBER(SEARCH('Scoring Model'!$D$16:$D$25,K771)))&gt;0,'Scoring Model'!$B$18,0)</f>
        <v>0</v>
      </c>
      <c r="AC771" s="3" t="n">
        <f aca="false">IF(SUMPRODUCT(--ISNUMBER(SEARCH('Scoring Model'!$G$16:$G$23,K771)))&gt;0,'Scoring Model'!$B$19,0)</f>
        <v>-30</v>
      </c>
      <c r="AD771" s="3" t="n">
        <f aca="false">IF(W771="Likely Spam","",SUM(X771:AC771))</f>
        <v>10</v>
      </c>
      <c r="AE771" s="3" t="str">
        <f aca="false">IF(W771="Likely Spam","Spam",IF(AD771&gt;='Scoring Model'!$B$21,"Hot",IF(AD771&gt;='Scoring Model'!$B$22,"Warm","Nurture")))</f>
        <v>Nurture</v>
      </c>
      <c r="AF771" s="3" t="str">
        <f aca="false">IF(W771="Likely Spam","Flagged by spam rules",TRIM(IF(X771&gt;=20,"Strong source. ","")&amp;IF(Y771&gt;0,"Company email. ","")&amp;IF(Z771&gt;=15,"High-value product. ","")&amp;IF(AA771&gt;='Scoring Model'!$B$15,"High engagement. ","")&amp;IF(AB771&gt;0,"Buying intent in message. ","")&amp;IF(AC771&lt;0,"Negative intent in message. ","")))</f>
        <v>Company email. High-value product. Negative intent in message.</v>
      </c>
      <c r="AG771" s="11" t="n">
        <f aca="false">IF(W771="Likely Spam","",1/(1+EXP(-('Conversion Model'!$B$5+IFERROR(INDEX('Conversion Model'!$B$8:$B$14,MATCH(C771,'Conversion Model'!$A$8:$A$14,0)),0)+IFERROR(INDEX('Conversion Model'!$E$8:$E$9,MATCH(F771,'Conversion Model'!$D$8:$D$9,0)),0)+IFERROR(INDEX('Conversion Model'!$H$8:$H$12,MATCH(IF(LEFT(J771,8)="Payments","Payments",IF(LEFT(J771,7)="Lending","Lending",J771)),'Conversion Model'!$G$8:$G$12,0)),0)+MIN(L771,15)*'Conversion Model'!$B$17+IF(SUMPRODUCT(--ISNUMBER(SEARCH('Scoring Model'!$D$16:$D$25,K771)))&gt;0,'Conversion Model'!$B$18,0)+IF(SUMPRODUCT(--ISNUMBER(SEARCH('Scoring Model'!$G$16:$G$23,K771)))&gt;0,'Conversion Model'!$B$19,0)))))</f>
        <v>0.00193830734701676</v>
      </c>
      <c r="AH771" s="3" t="str">
        <f aca="false">IF(OR(O771="Qualified",O771="Won",O771="Lost"),1,IF(O771="Unqualified",0,""))</f>
        <v/>
      </c>
    </row>
    <row r="772" customFormat="false" ht="15" hidden="false" customHeight="true" outlineLevel="0" collapsed="false">
      <c r="A772" s="3" t="s">
        <v>2504</v>
      </c>
      <c r="B772" s="9" t="n">
        <v>46277.6944444445</v>
      </c>
      <c r="C772" s="3" t="s">
        <v>51</v>
      </c>
      <c r="D772" s="3" t="s">
        <v>703</v>
      </c>
      <c r="E772" s="3" t="s">
        <v>2505</v>
      </c>
      <c r="F772" s="3" t="s">
        <v>22</v>
      </c>
      <c r="G772" s="3" t="s">
        <v>1066</v>
      </c>
      <c r="H772" s="3" t="s">
        <v>1110</v>
      </c>
      <c r="I772" s="3" t="s">
        <v>139</v>
      </c>
      <c r="J772" s="3" t="s">
        <v>165</v>
      </c>
      <c r="K772" s="3" t="s">
        <v>1550</v>
      </c>
      <c r="L772" s="3" t="n">
        <v>9</v>
      </c>
      <c r="M772" s="3" t="n">
        <v>22.5</v>
      </c>
      <c r="N772" s="3" t="s">
        <v>96</v>
      </c>
      <c r="O772" s="3" t="s">
        <v>133</v>
      </c>
      <c r="P772" s="10"/>
      <c r="Q772" s="3" t="n">
        <f aca="false">IF(F772="Disposable",1,0)</f>
        <v>0</v>
      </c>
      <c r="R772" s="3" t="n">
        <f aca="false">IF(SUMPRODUCT(--ISNUMBER(SEARCH('Spam Rules'!$A$22:$A$35,K772)))&gt;0,1,0)</f>
        <v>0</v>
      </c>
      <c r="S772" s="3" t="n">
        <f aca="false">IF(AND(F772="Free",G772=""),1,0)</f>
        <v>0</v>
      </c>
      <c r="T772" s="3" t="n">
        <f aca="false">IF(LEN(TRIM(K772))&lt;15,1,0)</f>
        <v>0</v>
      </c>
      <c r="U772" s="3" t="n">
        <f aca="false">IF(COUNTIF($E$2:$E$801,E772)&gt;1,1,0)</f>
        <v>0</v>
      </c>
      <c r="V772" s="3" t="n">
        <f aca="false">Q772*'Spam Rules'!$H$6+R772*'Spam Rules'!$H$7+S772*'Spam Rules'!$H$8+T772*'Spam Rules'!$H$9+U772*'Spam Rules'!$H$10</f>
        <v>0</v>
      </c>
      <c r="W772" s="3" t="str">
        <f aca="false">IF(V772&gt;='Spam Rules'!$B$3,"Likely Spam","Genuine")</f>
        <v>Genuine</v>
      </c>
      <c r="X772" s="3" t="n">
        <f aca="false">IFERROR(INDEX('Scoring Model'!$B$5:$B$11,MATCH(C772,'Scoring Model'!$A$5:$A$11,0)),0)</f>
        <v>10</v>
      </c>
      <c r="Y772" s="3" t="n">
        <f aca="false">IFERROR(INDEX('Scoring Model'!$E$5:$E$7,MATCH(F772,'Scoring Model'!$D$5:$D$7,0)),0)</f>
        <v>20</v>
      </c>
      <c r="Z772" s="3" t="n">
        <f aca="false">IFERROR(INDEX('Scoring Model'!$H$5:$H$13,MATCH(J772,'Scoring Model'!$G$5:$G$13,0)),0)</f>
        <v>15</v>
      </c>
      <c r="AA772" s="3" t="n">
        <f aca="false">IF(L772&gt;='Scoring Model'!$B$14,'Scoring Model'!$B$15,IF(L772&gt;='Scoring Model'!$B$16,'Scoring Model'!$B$17,0))</f>
        <v>15</v>
      </c>
      <c r="AB772" s="3" t="n">
        <f aca="false">IF(SUMPRODUCT(--ISNUMBER(SEARCH('Scoring Model'!$D$16:$D$25,K772)))&gt;0,'Scoring Model'!$B$18,0)</f>
        <v>15</v>
      </c>
      <c r="AC772" s="3" t="n">
        <f aca="false">IF(SUMPRODUCT(--ISNUMBER(SEARCH('Scoring Model'!$G$16:$G$23,K772)))&gt;0,'Scoring Model'!$B$19,0)</f>
        <v>0</v>
      </c>
      <c r="AD772" s="3" t="n">
        <f aca="false">IF(W772="Likely Spam","",SUM(X772:AC772))</f>
        <v>75</v>
      </c>
      <c r="AE772" s="3" t="str">
        <f aca="false">IF(W772="Likely Spam","Spam",IF(AD772&gt;='Scoring Model'!$B$21,"Hot",IF(AD772&gt;='Scoring Model'!$B$22,"Warm","Nurture")))</f>
        <v>Hot</v>
      </c>
      <c r="AF772" s="3" t="str">
        <f aca="false">IF(W772="Likely Spam","Flagged by spam rules",TRIM(IF(X772&gt;=20,"Strong source. ","")&amp;IF(Y772&gt;0,"Company email. ","")&amp;IF(Z772&gt;=15,"High-value product. ","")&amp;IF(AA772&gt;='Scoring Model'!$B$15,"High engagement. ","")&amp;IF(AB772&gt;0,"Buying intent in message. ","")&amp;IF(AC772&lt;0,"Negative intent in message. ","")))</f>
        <v>Company email. High-value product. High engagement. Buying intent in message.</v>
      </c>
      <c r="AG772" s="11" t="n">
        <f aca="false">IF(W772="Likely Spam","",1/(1+EXP(-('Conversion Model'!$B$5+IFERROR(INDEX('Conversion Model'!$B$8:$B$14,MATCH(C772,'Conversion Model'!$A$8:$A$14,0)),0)+IFERROR(INDEX('Conversion Model'!$E$8:$E$9,MATCH(F772,'Conversion Model'!$D$8:$D$9,0)),0)+IFERROR(INDEX('Conversion Model'!$H$8:$H$12,MATCH(IF(LEFT(J772,8)="Payments","Payments",IF(LEFT(J772,7)="Lending","Lending",J772)),'Conversion Model'!$G$8:$G$12,0)),0)+MIN(L772,15)*'Conversion Model'!$B$17+IF(SUMPRODUCT(--ISNUMBER(SEARCH('Scoring Model'!$D$16:$D$25,K772)))&gt;0,'Conversion Model'!$B$18,0)+IF(SUMPRODUCT(--ISNUMBER(SEARCH('Scoring Model'!$G$16:$G$23,K772)))&gt;0,'Conversion Model'!$B$19,0)))))</f>
        <v>0.98188973302063</v>
      </c>
      <c r="AH772" s="3" t="str">
        <f aca="false">IF(OR(O772="Qualified",O772="Won",O772="Lost"),1,IF(O772="Unqualified",0,""))</f>
        <v/>
      </c>
    </row>
    <row r="773" customFormat="false" ht="15" hidden="false" customHeight="true" outlineLevel="0" collapsed="false">
      <c r="A773" s="3" t="s">
        <v>2506</v>
      </c>
      <c r="B773" s="9" t="n">
        <v>46278.1256944445</v>
      </c>
      <c r="C773" s="3" t="s">
        <v>51</v>
      </c>
      <c r="D773" s="3" t="s">
        <v>1816</v>
      </c>
      <c r="E773" s="3" t="s">
        <v>584</v>
      </c>
      <c r="F773" s="3" t="s">
        <v>63</v>
      </c>
      <c r="G773" s="3"/>
      <c r="H773" s="3"/>
      <c r="I773" s="3" t="s">
        <v>80</v>
      </c>
      <c r="J773" s="3" t="s">
        <v>65</v>
      </c>
      <c r="K773" s="3" t="s">
        <v>363</v>
      </c>
      <c r="L773" s="3" t="n">
        <v>1</v>
      </c>
      <c r="M773" s="3"/>
      <c r="N773" s="3" t="s">
        <v>96</v>
      </c>
      <c r="O773" s="3" t="s">
        <v>68</v>
      </c>
      <c r="P773" s="10"/>
      <c r="Q773" s="3" t="n">
        <f aca="false">IF(F773="Disposable",1,0)</f>
        <v>1</v>
      </c>
      <c r="R773" s="3" t="n">
        <f aca="false">IF(SUMPRODUCT(--ISNUMBER(SEARCH('Spam Rules'!$A$22:$A$35,K773)))&gt;0,1,0)</f>
        <v>1</v>
      </c>
      <c r="S773" s="3" t="n">
        <f aca="false">IF(AND(F773="Free",G773=""),1,0)</f>
        <v>0</v>
      </c>
      <c r="T773" s="3" t="n">
        <f aca="false">IF(LEN(TRIM(K773))&lt;15,1,0)</f>
        <v>0</v>
      </c>
      <c r="U773" s="3" t="n">
        <f aca="false">IF(COUNTIF($E$2:$E$801,E773)&gt;1,1,0)</f>
        <v>1</v>
      </c>
      <c r="V773" s="3" t="n">
        <f aca="false">Q773*'Spam Rules'!$H$6+R773*'Spam Rules'!$H$7+S773*'Spam Rules'!$H$8+T773*'Spam Rules'!$H$9+U773*'Spam Rules'!$H$10</f>
        <v>2</v>
      </c>
      <c r="W773" s="3" t="str">
        <f aca="false">IF(V773&gt;='Spam Rules'!$B$3,"Likely Spam","Genuine")</f>
        <v>Likely Spam</v>
      </c>
      <c r="X773" s="3" t="n">
        <f aca="false">IFERROR(INDEX('Scoring Model'!$B$5:$B$11,MATCH(C773,'Scoring Model'!$A$5:$A$11,0)),0)</f>
        <v>10</v>
      </c>
      <c r="Y773" s="3" t="n">
        <f aca="false">IFERROR(INDEX('Scoring Model'!$E$5:$E$7,MATCH(F773,'Scoring Model'!$D$5:$D$7,0)),0)</f>
        <v>0</v>
      </c>
      <c r="Z773" s="3" t="n">
        <f aca="false">IFERROR(INDEX('Scoring Model'!$H$5:$H$13,MATCH(J773,'Scoring Model'!$G$5:$G$13,0)),0)</f>
        <v>0</v>
      </c>
      <c r="AA773" s="3" t="n">
        <f aca="false">IF(L773&gt;='Scoring Model'!$B$14,'Scoring Model'!$B$15,IF(L773&gt;='Scoring Model'!$B$16,'Scoring Model'!$B$17,0))</f>
        <v>0</v>
      </c>
      <c r="AB773" s="3" t="n">
        <f aca="false">IF(SUMPRODUCT(--ISNUMBER(SEARCH('Scoring Model'!$D$16:$D$25,K773)))&gt;0,'Scoring Model'!$B$18,0)</f>
        <v>0</v>
      </c>
      <c r="AC773" s="3" t="n">
        <f aca="false">IF(SUMPRODUCT(--ISNUMBER(SEARCH('Scoring Model'!$G$16:$G$23,K773)))&gt;0,'Scoring Model'!$B$19,0)</f>
        <v>0</v>
      </c>
      <c r="AD773" s="3" t="str">
        <f aca="false">IF(W773="Likely Spam","",SUM(X773:AC773))</f>
        <v/>
      </c>
      <c r="AE773" s="3" t="str">
        <f aca="false">IF(W773="Likely Spam","Spam",IF(AD773&gt;='Scoring Model'!$B$21,"Hot",IF(AD773&gt;='Scoring Model'!$B$22,"Warm","Nurture")))</f>
        <v>Spam</v>
      </c>
      <c r="AF773" s="3" t="str">
        <f aca="false">IF(W773="Likely Spam","Flagged by spam rules",TRIM(IF(X773&gt;=20,"Strong source. ","")&amp;IF(Y773&gt;0,"Company email. ","")&amp;IF(Z773&gt;=15,"High-value product. ","")&amp;IF(AA773&gt;='Scoring Model'!$B$15,"High engagement. ","")&amp;IF(AB773&gt;0,"Buying intent in message. ","")&amp;IF(AC773&lt;0,"Negative intent in message. ","")))</f>
        <v>Flagged by spam rules</v>
      </c>
      <c r="AG773" s="11" t="str">
        <f aca="false">IF(W773="Likely Spam","",1/(1+EXP(-('Conversion Model'!$B$5+IFERROR(INDEX('Conversion Model'!$B$8:$B$14,MATCH(C773,'Conversion Model'!$A$8:$A$14,0)),0)+IFERROR(INDEX('Conversion Model'!$E$8:$E$9,MATCH(F773,'Conversion Model'!$D$8:$D$9,0)),0)+IFERROR(INDEX('Conversion Model'!$H$8:$H$12,MATCH(IF(LEFT(J773,8)="Payments","Payments",IF(LEFT(J773,7)="Lending","Lending",J773)),'Conversion Model'!$G$8:$G$12,0)),0)+MIN(L773,15)*'Conversion Model'!$B$17+IF(SUMPRODUCT(--ISNUMBER(SEARCH('Scoring Model'!$D$16:$D$25,K773)))&gt;0,'Conversion Model'!$B$18,0)+IF(SUMPRODUCT(--ISNUMBER(SEARCH('Scoring Model'!$G$16:$G$23,K773)))&gt;0,'Conversion Model'!$B$19,0)))))</f>
        <v/>
      </c>
      <c r="AH773" s="3" t="str">
        <f aca="false">IF(OR(O773="Qualified",O773="Won",O773="Lost"),1,IF(O773="Unqualified",0,""))</f>
        <v/>
      </c>
    </row>
    <row r="774" customFormat="false" ht="15" hidden="false" customHeight="true" outlineLevel="0" collapsed="false">
      <c r="A774" s="3" t="s">
        <v>2507</v>
      </c>
      <c r="B774" s="9" t="n">
        <v>46279.6555555556</v>
      </c>
      <c r="C774" s="3" t="s">
        <v>135</v>
      </c>
      <c r="D774" s="3" t="s">
        <v>609</v>
      </c>
      <c r="E774" s="3" t="s">
        <v>2508</v>
      </c>
      <c r="F774" s="3" t="s">
        <v>54</v>
      </c>
      <c r="G774" s="3"/>
      <c r="H774" s="3"/>
      <c r="I774" s="3" t="s">
        <v>80</v>
      </c>
      <c r="J774" s="3" t="s">
        <v>122</v>
      </c>
      <c r="K774" s="3" t="s">
        <v>193</v>
      </c>
      <c r="L774" s="3" t="n">
        <v>4</v>
      </c>
      <c r="M774" s="3" t="n">
        <v>16.5</v>
      </c>
      <c r="N774" s="3" t="s">
        <v>67</v>
      </c>
      <c r="O774" s="3"/>
      <c r="P774" s="10"/>
      <c r="Q774" s="3" t="n">
        <f aca="false">IF(F774="Disposable",1,0)</f>
        <v>0</v>
      </c>
      <c r="R774" s="3" t="n">
        <f aca="false">IF(SUMPRODUCT(--ISNUMBER(SEARCH('Spam Rules'!$A$22:$A$35,K774)))&gt;0,1,0)</f>
        <v>0</v>
      </c>
      <c r="S774" s="3" t="n">
        <f aca="false">IF(AND(F774="Free",G774=""),1,0)</f>
        <v>1</v>
      </c>
      <c r="T774" s="3" t="n">
        <f aca="false">IF(LEN(TRIM(K774))&lt;15,1,0)</f>
        <v>0</v>
      </c>
      <c r="U774" s="3" t="n">
        <f aca="false">IF(COUNTIF($E$2:$E$801,E774)&gt;1,1,0)</f>
        <v>0</v>
      </c>
      <c r="V774" s="3" t="n">
        <f aca="false">Q774*'Spam Rules'!$H$6+R774*'Spam Rules'!$H$7+S774*'Spam Rules'!$H$8+T774*'Spam Rules'!$H$9+U774*'Spam Rules'!$H$10</f>
        <v>0</v>
      </c>
      <c r="W774" s="3" t="str">
        <f aca="false">IF(V774&gt;='Spam Rules'!$B$3,"Likely Spam","Genuine")</f>
        <v>Genuine</v>
      </c>
      <c r="X774" s="3" t="n">
        <f aca="false">IFERROR(INDEX('Scoring Model'!$B$5:$B$11,MATCH(C774,'Scoring Model'!$A$5:$A$11,0)),0)</f>
        <v>20</v>
      </c>
      <c r="Y774" s="3" t="n">
        <f aca="false">IFERROR(INDEX('Scoring Model'!$E$5:$E$7,MATCH(F774,'Scoring Model'!$D$5:$D$7,0)),0)</f>
        <v>0</v>
      </c>
      <c r="Z774" s="3" t="n">
        <f aca="false">IFERROR(INDEX('Scoring Model'!$H$5:$H$13,MATCH(J774,'Scoring Model'!$G$5:$G$13,0)),0)</f>
        <v>15</v>
      </c>
      <c r="AA774" s="3" t="n">
        <f aca="false">IF(L774&gt;='Scoring Model'!$B$14,'Scoring Model'!$B$15,IF(L774&gt;='Scoring Model'!$B$16,'Scoring Model'!$B$17,0))</f>
        <v>8</v>
      </c>
      <c r="AB774" s="3" t="n">
        <f aca="false">IF(SUMPRODUCT(--ISNUMBER(SEARCH('Scoring Model'!$D$16:$D$25,K774)))&gt;0,'Scoring Model'!$B$18,0)</f>
        <v>0</v>
      </c>
      <c r="AC774" s="3" t="n">
        <f aca="false">IF(SUMPRODUCT(--ISNUMBER(SEARCH('Scoring Model'!$G$16:$G$23,K774)))&gt;0,'Scoring Model'!$B$19,0)</f>
        <v>-30</v>
      </c>
      <c r="AD774" s="3" t="n">
        <f aca="false">IF(W774="Likely Spam","",SUM(X774:AC774))</f>
        <v>13</v>
      </c>
      <c r="AE774" s="3" t="str">
        <f aca="false">IF(W774="Likely Spam","Spam",IF(AD774&gt;='Scoring Model'!$B$21,"Hot",IF(AD774&gt;='Scoring Model'!$B$22,"Warm","Nurture")))</f>
        <v>Nurture</v>
      </c>
      <c r="AF774" s="3" t="str">
        <f aca="false">IF(W774="Likely Spam","Flagged by spam rules",TRIM(IF(X774&gt;=20,"Strong source. ","")&amp;IF(Y774&gt;0,"Company email. ","")&amp;IF(Z774&gt;=15,"High-value product. ","")&amp;IF(AA774&gt;='Scoring Model'!$B$15,"High engagement. ","")&amp;IF(AB774&gt;0,"Buying intent in message. ","")&amp;IF(AC774&lt;0,"Negative intent in message. ","")))</f>
        <v>Strong source. High-value product. Negative intent in message.</v>
      </c>
      <c r="AG774" s="11" t="n">
        <f aca="false">IF(W774="Likely Spam","",1/(1+EXP(-('Conversion Model'!$B$5+IFERROR(INDEX('Conversion Model'!$B$8:$B$14,MATCH(C774,'Conversion Model'!$A$8:$A$14,0)),0)+IFERROR(INDEX('Conversion Model'!$E$8:$E$9,MATCH(F774,'Conversion Model'!$D$8:$D$9,0)),0)+IFERROR(INDEX('Conversion Model'!$H$8:$H$12,MATCH(IF(LEFT(J774,8)="Payments","Payments",IF(LEFT(J774,7)="Lending","Lending",J774)),'Conversion Model'!$G$8:$G$12,0)),0)+MIN(L774,15)*'Conversion Model'!$B$17+IF(SUMPRODUCT(--ISNUMBER(SEARCH('Scoring Model'!$D$16:$D$25,K774)))&gt;0,'Conversion Model'!$B$18,0)+IF(SUMPRODUCT(--ISNUMBER(SEARCH('Scoring Model'!$G$16:$G$23,K774)))&gt;0,'Conversion Model'!$B$19,0)))))</f>
        <v>0.0284429407154362</v>
      </c>
      <c r="AH774" s="3" t="str">
        <f aca="false">IF(OR(O774="Qualified",O774="Won",O774="Lost"),1,IF(O774="Unqualified",0,""))</f>
        <v/>
      </c>
    </row>
    <row r="775" customFormat="false" ht="15" hidden="false" customHeight="true" outlineLevel="0" collapsed="false">
      <c r="A775" s="3" t="s">
        <v>2509</v>
      </c>
      <c r="B775" s="9" t="n">
        <v>46279.79375</v>
      </c>
      <c r="C775" s="3" t="s">
        <v>160</v>
      </c>
      <c r="D775" s="3" t="s">
        <v>838</v>
      </c>
      <c r="E775" s="3" t="s">
        <v>2510</v>
      </c>
      <c r="F775" s="3" t="s">
        <v>63</v>
      </c>
      <c r="G775" s="3"/>
      <c r="H775" s="3"/>
      <c r="I775" s="3" t="s">
        <v>88</v>
      </c>
      <c r="J775" s="3" t="s">
        <v>81</v>
      </c>
      <c r="K775" s="3" t="s">
        <v>170</v>
      </c>
      <c r="L775" s="3" t="n">
        <v>2</v>
      </c>
      <c r="M775" s="3" t="n">
        <v>75.4</v>
      </c>
      <c r="N775" s="3" t="s">
        <v>96</v>
      </c>
      <c r="O775" s="3" t="s">
        <v>68</v>
      </c>
      <c r="P775" s="10"/>
      <c r="Q775" s="3" t="n">
        <f aca="false">IF(F775="Disposable",1,0)</f>
        <v>1</v>
      </c>
      <c r="R775" s="3" t="n">
        <f aca="false">IF(SUMPRODUCT(--ISNUMBER(SEARCH('Spam Rules'!$A$22:$A$35,K775)))&gt;0,1,0)</f>
        <v>0</v>
      </c>
      <c r="S775" s="3" t="n">
        <f aca="false">IF(AND(F775="Free",G775=""),1,0)</f>
        <v>0</v>
      </c>
      <c r="T775" s="3" t="n">
        <f aca="false">IF(LEN(TRIM(K775))&lt;15,1,0)</f>
        <v>1</v>
      </c>
      <c r="U775" s="3" t="n">
        <f aca="false">IF(COUNTIF($E$2:$E$801,E775)&gt;1,1,0)</f>
        <v>0</v>
      </c>
      <c r="V775" s="3" t="n">
        <f aca="false">Q775*'Spam Rules'!$H$6+R775*'Spam Rules'!$H$7+S775*'Spam Rules'!$H$8+T775*'Spam Rules'!$H$9+U775*'Spam Rules'!$H$10</f>
        <v>2</v>
      </c>
      <c r="W775" s="3" t="str">
        <f aca="false">IF(V775&gt;='Spam Rules'!$B$3,"Likely Spam","Genuine")</f>
        <v>Likely Spam</v>
      </c>
      <c r="X775" s="3" t="n">
        <f aca="false">IFERROR(INDEX('Scoring Model'!$B$5:$B$11,MATCH(C775,'Scoring Model'!$A$5:$A$11,0)),0)</f>
        <v>25</v>
      </c>
      <c r="Y775" s="3" t="n">
        <f aca="false">IFERROR(INDEX('Scoring Model'!$E$5:$E$7,MATCH(F775,'Scoring Model'!$D$5:$D$7,0)),0)</f>
        <v>0</v>
      </c>
      <c r="Z775" s="3" t="n">
        <f aca="false">IFERROR(INDEX('Scoring Model'!$H$5:$H$13,MATCH(J775,'Scoring Model'!$G$5:$G$13,0)),0)</f>
        <v>5</v>
      </c>
      <c r="AA775" s="3" t="n">
        <f aca="false">IF(L775&gt;='Scoring Model'!$B$14,'Scoring Model'!$B$15,IF(L775&gt;='Scoring Model'!$B$16,'Scoring Model'!$B$17,0))</f>
        <v>0</v>
      </c>
      <c r="AB775" s="3" t="n">
        <f aca="false">IF(SUMPRODUCT(--ISNUMBER(SEARCH('Scoring Model'!$D$16:$D$25,K775)))&gt;0,'Scoring Model'!$B$18,0)</f>
        <v>0</v>
      </c>
      <c r="AC775" s="3" t="n">
        <f aca="false">IF(SUMPRODUCT(--ISNUMBER(SEARCH('Scoring Model'!$G$16:$G$23,K775)))&gt;0,'Scoring Model'!$B$19,0)</f>
        <v>0</v>
      </c>
      <c r="AD775" s="3" t="str">
        <f aca="false">IF(W775="Likely Spam","",SUM(X775:AC775))</f>
        <v/>
      </c>
      <c r="AE775" s="3" t="str">
        <f aca="false">IF(W775="Likely Spam","Spam",IF(AD775&gt;='Scoring Model'!$B$21,"Hot",IF(AD775&gt;='Scoring Model'!$B$22,"Warm","Nurture")))</f>
        <v>Spam</v>
      </c>
      <c r="AF775" s="3" t="str">
        <f aca="false">IF(W775="Likely Spam","Flagged by spam rules",TRIM(IF(X775&gt;=20,"Strong source. ","")&amp;IF(Y775&gt;0,"Company email. ","")&amp;IF(Z775&gt;=15,"High-value product. ","")&amp;IF(AA775&gt;='Scoring Model'!$B$15,"High engagement. ","")&amp;IF(AB775&gt;0,"Buying intent in message. ","")&amp;IF(AC775&lt;0,"Negative intent in message. ","")))</f>
        <v>Flagged by spam rules</v>
      </c>
      <c r="AG775" s="11" t="str">
        <f aca="false">IF(W775="Likely Spam","",1/(1+EXP(-('Conversion Model'!$B$5+IFERROR(INDEX('Conversion Model'!$B$8:$B$14,MATCH(C775,'Conversion Model'!$A$8:$A$14,0)),0)+IFERROR(INDEX('Conversion Model'!$E$8:$E$9,MATCH(F775,'Conversion Model'!$D$8:$D$9,0)),0)+IFERROR(INDEX('Conversion Model'!$H$8:$H$12,MATCH(IF(LEFT(J775,8)="Payments","Payments",IF(LEFT(J775,7)="Lending","Lending",J775)),'Conversion Model'!$G$8:$G$12,0)),0)+MIN(L775,15)*'Conversion Model'!$B$17+IF(SUMPRODUCT(--ISNUMBER(SEARCH('Scoring Model'!$D$16:$D$25,K775)))&gt;0,'Conversion Model'!$B$18,0)+IF(SUMPRODUCT(--ISNUMBER(SEARCH('Scoring Model'!$G$16:$G$23,K775)))&gt;0,'Conversion Model'!$B$19,0)))))</f>
        <v/>
      </c>
      <c r="AH775" s="3" t="str">
        <f aca="false">IF(OR(O775="Qualified",O775="Won",O775="Lost"),1,IF(O775="Unqualified",0,""))</f>
        <v/>
      </c>
    </row>
    <row r="776" customFormat="false" ht="15" hidden="false" customHeight="true" outlineLevel="0" collapsed="false">
      <c r="A776" s="3" t="s">
        <v>2511</v>
      </c>
      <c r="B776" s="9" t="n">
        <v>46280.0104166667</v>
      </c>
      <c r="C776" s="3" t="s">
        <v>76</v>
      </c>
      <c r="D776" s="3" t="s">
        <v>524</v>
      </c>
      <c r="E776" s="3" t="s">
        <v>2512</v>
      </c>
      <c r="F776" s="3" t="s">
        <v>54</v>
      </c>
      <c r="G776" s="3"/>
      <c r="H776" s="3"/>
      <c r="I776" s="3" t="s">
        <v>94</v>
      </c>
      <c r="J776" s="3" t="s">
        <v>145</v>
      </c>
      <c r="K776" s="3" t="s">
        <v>193</v>
      </c>
      <c r="L776" s="3" t="n">
        <v>3</v>
      </c>
      <c r="M776" s="3" t="n">
        <v>1.8</v>
      </c>
      <c r="N776" s="3" t="s">
        <v>96</v>
      </c>
      <c r="O776" s="3" t="s">
        <v>194</v>
      </c>
      <c r="P776" s="10"/>
      <c r="Q776" s="3" t="n">
        <f aca="false">IF(F776="Disposable",1,0)</f>
        <v>0</v>
      </c>
      <c r="R776" s="3" t="n">
        <f aca="false">IF(SUMPRODUCT(--ISNUMBER(SEARCH('Spam Rules'!$A$22:$A$35,K776)))&gt;0,1,0)</f>
        <v>0</v>
      </c>
      <c r="S776" s="3" t="n">
        <f aca="false">IF(AND(F776="Free",G776=""),1,0)</f>
        <v>1</v>
      </c>
      <c r="T776" s="3" t="n">
        <f aca="false">IF(LEN(TRIM(K776))&lt;15,1,0)</f>
        <v>0</v>
      </c>
      <c r="U776" s="3" t="n">
        <f aca="false">IF(COUNTIF($E$2:$E$801,E776)&gt;1,1,0)</f>
        <v>0</v>
      </c>
      <c r="V776" s="3" t="n">
        <f aca="false">Q776*'Spam Rules'!$H$6+R776*'Spam Rules'!$H$7+S776*'Spam Rules'!$H$8+T776*'Spam Rules'!$H$9+U776*'Spam Rules'!$H$10</f>
        <v>0</v>
      </c>
      <c r="W776" s="3" t="str">
        <f aca="false">IF(V776&gt;='Spam Rules'!$B$3,"Likely Spam","Genuine")</f>
        <v>Genuine</v>
      </c>
      <c r="X776" s="3" t="n">
        <f aca="false">IFERROR(INDEX('Scoring Model'!$B$5:$B$11,MATCH(C776,'Scoring Model'!$A$5:$A$11,0)),0)</f>
        <v>0</v>
      </c>
      <c r="Y776" s="3" t="n">
        <f aca="false">IFERROR(INDEX('Scoring Model'!$E$5:$E$7,MATCH(F776,'Scoring Model'!$D$5:$D$7,0)),0)</f>
        <v>0</v>
      </c>
      <c r="Z776" s="3" t="n">
        <f aca="false">IFERROR(INDEX('Scoring Model'!$H$5:$H$13,MATCH(J776,'Scoring Model'!$G$5:$G$13,0)),0)</f>
        <v>5</v>
      </c>
      <c r="AA776" s="3" t="n">
        <f aca="false">IF(L776&gt;='Scoring Model'!$B$14,'Scoring Model'!$B$15,IF(L776&gt;='Scoring Model'!$B$16,'Scoring Model'!$B$17,0))</f>
        <v>0</v>
      </c>
      <c r="AB776" s="3" t="n">
        <f aca="false">IF(SUMPRODUCT(--ISNUMBER(SEARCH('Scoring Model'!$D$16:$D$25,K776)))&gt;0,'Scoring Model'!$B$18,0)</f>
        <v>0</v>
      </c>
      <c r="AC776" s="3" t="n">
        <f aca="false">IF(SUMPRODUCT(--ISNUMBER(SEARCH('Scoring Model'!$G$16:$G$23,K776)))&gt;0,'Scoring Model'!$B$19,0)</f>
        <v>-30</v>
      </c>
      <c r="AD776" s="3" t="n">
        <f aca="false">IF(W776="Likely Spam","",SUM(X776:AC776))</f>
        <v>-25</v>
      </c>
      <c r="AE776" s="3" t="str">
        <f aca="false">IF(W776="Likely Spam","Spam",IF(AD776&gt;='Scoring Model'!$B$21,"Hot",IF(AD776&gt;='Scoring Model'!$B$22,"Warm","Nurture")))</f>
        <v>Nurture</v>
      </c>
      <c r="AF776" s="3" t="str">
        <f aca="false">IF(W776="Likely Spam","Flagged by spam rules",TRIM(IF(X776&gt;=20,"Strong source. ","")&amp;IF(Y776&gt;0,"Company email. ","")&amp;IF(Z776&gt;=15,"High-value product. ","")&amp;IF(AA776&gt;='Scoring Model'!$B$15,"High engagement. ","")&amp;IF(AB776&gt;0,"Buying intent in message. ","")&amp;IF(AC776&lt;0,"Negative intent in message. ","")))</f>
        <v>Negative intent in message.</v>
      </c>
      <c r="AG776" s="11" t="n">
        <f aca="false">IF(W776="Likely Spam","",1/(1+EXP(-('Conversion Model'!$B$5+IFERROR(INDEX('Conversion Model'!$B$8:$B$14,MATCH(C776,'Conversion Model'!$A$8:$A$14,0)),0)+IFERROR(INDEX('Conversion Model'!$E$8:$E$9,MATCH(F776,'Conversion Model'!$D$8:$D$9,0)),0)+IFERROR(INDEX('Conversion Model'!$H$8:$H$12,MATCH(IF(LEFT(J776,8)="Payments","Payments",IF(LEFT(J776,7)="Lending","Lending",J776)),'Conversion Model'!$G$8:$G$12,0)),0)+MIN(L776,15)*'Conversion Model'!$B$17+IF(SUMPRODUCT(--ISNUMBER(SEARCH('Scoring Model'!$D$16:$D$25,K776)))&gt;0,'Conversion Model'!$B$18,0)+IF(SUMPRODUCT(--ISNUMBER(SEARCH('Scoring Model'!$G$16:$G$23,K776)))&gt;0,'Conversion Model'!$B$19,0)))))</f>
        <v>0.00469290282354794</v>
      </c>
      <c r="AH776" s="3" t="n">
        <f aca="false">IF(OR(O776="Qualified",O776="Won",O776="Lost"),1,IF(O776="Unqualified",0,""))</f>
        <v>0</v>
      </c>
    </row>
    <row r="777" customFormat="false" ht="15" hidden="false" customHeight="true" outlineLevel="0" collapsed="false">
      <c r="A777" s="3" t="s">
        <v>2513</v>
      </c>
      <c r="B777" s="9" t="n">
        <v>46280.6479166667</v>
      </c>
      <c r="C777" s="3" t="s">
        <v>135</v>
      </c>
      <c r="D777" s="3" t="s">
        <v>319</v>
      </c>
      <c r="E777" s="3" t="s">
        <v>2514</v>
      </c>
      <c r="F777" s="3" t="s">
        <v>54</v>
      </c>
      <c r="G777" s="3"/>
      <c r="H777" s="3"/>
      <c r="I777" s="3" t="s">
        <v>188</v>
      </c>
      <c r="J777" s="3" t="s">
        <v>81</v>
      </c>
      <c r="K777" s="3" t="s">
        <v>101</v>
      </c>
      <c r="L777" s="3" t="n">
        <v>3</v>
      </c>
      <c r="M777" s="3" t="n">
        <v>30.6</v>
      </c>
      <c r="N777" s="3" t="s">
        <v>171</v>
      </c>
      <c r="O777" s="3" t="s">
        <v>194</v>
      </c>
      <c r="P777" s="10"/>
      <c r="Q777" s="3" t="n">
        <f aca="false">IF(F777="Disposable",1,0)</f>
        <v>0</v>
      </c>
      <c r="R777" s="3" t="n">
        <f aca="false">IF(SUMPRODUCT(--ISNUMBER(SEARCH('Spam Rules'!$A$22:$A$35,K777)))&gt;0,1,0)</f>
        <v>0</v>
      </c>
      <c r="S777" s="3" t="n">
        <f aca="false">IF(AND(F777="Free",G777=""),1,0)</f>
        <v>1</v>
      </c>
      <c r="T777" s="3" t="n">
        <f aca="false">IF(LEN(TRIM(K777))&lt;15,1,0)</f>
        <v>0</v>
      </c>
      <c r="U777" s="3" t="n">
        <f aca="false">IF(COUNTIF($E$2:$E$801,E777)&gt;1,1,0)</f>
        <v>0</v>
      </c>
      <c r="V777" s="3" t="n">
        <f aca="false">Q777*'Spam Rules'!$H$6+R777*'Spam Rules'!$H$7+S777*'Spam Rules'!$H$8+T777*'Spam Rules'!$H$9+U777*'Spam Rules'!$H$10</f>
        <v>0</v>
      </c>
      <c r="W777" s="3" t="str">
        <f aca="false">IF(V777&gt;='Spam Rules'!$B$3,"Likely Spam","Genuine")</f>
        <v>Genuine</v>
      </c>
      <c r="X777" s="3" t="n">
        <f aca="false">IFERROR(INDEX('Scoring Model'!$B$5:$B$11,MATCH(C777,'Scoring Model'!$A$5:$A$11,0)),0)</f>
        <v>20</v>
      </c>
      <c r="Y777" s="3" t="n">
        <f aca="false">IFERROR(INDEX('Scoring Model'!$E$5:$E$7,MATCH(F777,'Scoring Model'!$D$5:$D$7,0)),0)</f>
        <v>0</v>
      </c>
      <c r="Z777" s="3" t="n">
        <f aca="false">IFERROR(INDEX('Scoring Model'!$H$5:$H$13,MATCH(J777,'Scoring Model'!$G$5:$G$13,0)),0)</f>
        <v>5</v>
      </c>
      <c r="AA777" s="3" t="n">
        <f aca="false">IF(L777&gt;='Scoring Model'!$B$14,'Scoring Model'!$B$15,IF(L777&gt;='Scoring Model'!$B$16,'Scoring Model'!$B$17,0))</f>
        <v>0</v>
      </c>
      <c r="AB777" s="3" t="n">
        <f aca="false">IF(SUMPRODUCT(--ISNUMBER(SEARCH('Scoring Model'!$D$16:$D$25,K777)))&gt;0,'Scoring Model'!$B$18,0)</f>
        <v>0</v>
      </c>
      <c r="AC777" s="3" t="n">
        <f aca="false">IF(SUMPRODUCT(--ISNUMBER(SEARCH('Scoring Model'!$G$16:$G$23,K777)))&gt;0,'Scoring Model'!$B$19,0)</f>
        <v>-30</v>
      </c>
      <c r="AD777" s="3" t="n">
        <f aca="false">IF(W777="Likely Spam","",SUM(X777:AC777))</f>
        <v>-5</v>
      </c>
      <c r="AE777" s="3" t="str">
        <f aca="false">IF(W777="Likely Spam","Spam",IF(AD777&gt;='Scoring Model'!$B$21,"Hot",IF(AD777&gt;='Scoring Model'!$B$22,"Warm","Nurture")))</f>
        <v>Nurture</v>
      </c>
      <c r="AF777" s="3" t="str">
        <f aca="false">IF(W777="Likely Spam","Flagged by spam rules",TRIM(IF(X777&gt;=20,"Strong source. ","")&amp;IF(Y777&gt;0,"Company email. ","")&amp;IF(Z777&gt;=15,"High-value product. ","")&amp;IF(AA777&gt;='Scoring Model'!$B$15,"High engagement. ","")&amp;IF(AB777&gt;0,"Buying intent in message. ","")&amp;IF(AC777&lt;0,"Negative intent in message. ","")))</f>
        <v>Strong source. Negative intent in message.</v>
      </c>
      <c r="AG777" s="11" t="n">
        <f aca="false">IF(W777="Likely Spam","",1/(1+EXP(-('Conversion Model'!$B$5+IFERROR(INDEX('Conversion Model'!$B$8:$B$14,MATCH(C777,'Conversion Model'!$A$8:$A$14,0)),0)+IFERROR(INDEX('Conversion Model'!$E$8:$E$9,MATCH(F777,'Conversion Model'!$D$8:$D$9,0)),0)+IFERROR(INDEX('Conversion Model'!$H$8:$H$12,MATCH(IF(LEFT(J777,8)="Payments","Payments",IF(LEFT(J777,7)="Lending","Lending",J777)),'Conversion Model'!$G$8:$G$12,0)),0)+MIN(L777,15)*'Conversion Model'!$B$17+IF(SUMPRODUCT(--ISNUMBER(SEARCH('Scoring Model'!$D$16:$D$25,K777)))&gt;0,'Conversion Model'!$B$18,0)+IF(SUMPRODUCT(--ISNUMBER(SEARCH('Scoring Model'!$G$16:$G$23,K777)))&gt;0,'Conversion Model'!$B$19,0)))))</f>
        <v>0.00884516308224579</v>
      </c>
      <c r="AH777" s="3" t="n">
        <f aca="false">IF(OR(O777="Qualified",O777="Won",O777="Lost"),1,IF(O777="Unqualified",0,""))</f>
        <v>0</v>
      </c>
    </row>
    <row r="778" customFormat="false" ht="15" hidden="false" customHeight="true" outlineLevel="0" collapsed="false">
      <c r="A778" s="3" t="s">
        <v>2515</v>
      </c>
      <c r="B778" s="9" t="n">
        <v>46280.7604166667</v>
      </c>
      <c r="C778" s="3" t="s">
        <v>91</v>
      </c>
      <c r="D778" s="3" t="s">
        <v>1902</v>
      </c>
      <c r="E778" s="3" t="s">
        <v>2516</v>
      </c>
      <c r="F778" s="3" t="s">
        <v>22</v>
      </c>
      <c r="G778" s="3" t="s">
        <v>440</v>
      </c>
      <c r="H778" s="3" t="s">
        <v>441</v>
      </c>
      <c r="I778" s="3" t="s">
        <v>56</v>
      </c>
      <c r="J778" s="3" t="s">
        <v>57</v>
      </c>
      <c r="K778" s="3" t="s">
        <v>2517</v>
      </c>
      <c r="L778" s="3" t="n">
        <v>10</v>
      </c>
      <c r="M778" s="3" t="n">
        <v>25.1</v>
      </c>
      <c r="N778" s="3" t="s">
        <v>171</v>
      </c>
      <c r="O778" s="3" t="s">
        <v>331</v>
      </c>
      <c r="P778" s="10"/>
      <c r="Q778" s="3" t="n">
        <f aca="false">IF(F778="Disposable",1,0)</f>
        <v>0</v>
      </c>
      <c r="R778" s="3" t="n">
        <f aca="false">IF(SUMPRODUCT(--ISNUMBER(SEARCH('Spam Rules'!$A$22:$A$35,K778)))&gt;0,1,0)</f>
        <v>0</v>
      </c>
      <c r="S778" s="3" t="n">
        <f aca="false">IF(AND(F778="Free",G778=""),1,0)</f>
        <v>0</v>
      </c>
      <c r="T778" s="3" t="n">
        <f aca="false">IF(LEN(TRIM(K778))&lt;15,1,0)</f>
        <v>0</v>
      </c>
      <c r="U778" s="3" t="n">
        <f aca="false">IF(COUNTIF($E$2:$E$801,E778)&gt;1,1,0)</f>
        <v>0</v>
      </c>
      <c r="V778" s="3" t="n">
        <f aca="false">Q778*'Spam Rules'!$H$6+R778*'Spam Rules'!$H$7+S778*'Spam Rules'!$H$8+T778*'Spam Rules'!$H$9+U778*'Spam Rules'!$H$10</f>
        <v>0</v>
      </c>
      <c r="W778" s="3" t="str">
        <f aca="false">IF(V778&gt;='Spam Rules'!$B$3,"Likely Spam","Genuine")</f>
        <v>Genuine</v>
      </c>
      <c r="X778" s="3" t="n">
        <f aca="false">IFERROR(INDEX('Scoring Model'!$B$5:$B$11,MATCH(C778,'Scoring Model'!$A$5:$A$11,0)),0)</f>
        <v>5</v>
      </c>
      <c r="Y778" s="3" t="n">
        <f aca="false">IFERROR(INDEX('Scoring Model'!$E$5:$E$7,MATCH(F778,'Scoring Model'!$D$5:$D$7,0)),0)</f>
        <v>20</v>
      </c>
      <c r="Z778" s="3" t="n">
        <f aca="false">IFERROR(INDEX('Scoring Model'!$H$5:$H$13,MATCH(J778,'Scoring Model'!$G$5:$G$13,0)),0)</f>
        <v>15</v>
      </c>
      <c r="AA778" s="3" t="n">
        <f aca="false">IF(L778&gt;='Scoring Model'!$B$14,'Scoring Model'!$B$15,IF(L778&gt;='Scoring Model'!$B$16,'Scoring Model'!$B$17,0))</f>
        <v>15</v>
      </c>
      <c r="AB778" s="3" t="n">
        <f aca="false">IF(SUMPRODUCT(--ISNUMBER(SEARCH('Scoring Model'!$D$16:$D$25,K778)))&gt;0,'Scoring Model'!$B$18,0)</f>
        <v>15</v>
      </c>
      <c r="AC778" s="3" t="n">
        <f aca="false">IF(SUMPRODUCT(--ISNUMBER(SEARCH('Scoring Model'!$G$16:$G$23,K778)))&gt;0,'Scoring Model'!$B$19,0)</f>
        <v>0</v>
      </c>
      <c r="AD778" s="3" t="n">
        <f aca="false">IF(W778="Likely Spam","",SUM(X778:AC778))</f>
        <v>70</v>
      </c>
      <c r="AE778" s="3" t="str">
        <f aca="false">IF(W778="Likely Spam","Spam",IF(AD778&gt;='Scoring Model'!$B$21,"Hot",IF(AD778&gt;='Scoring Model'!$B$22,"Warm","Nurture")))</f>
        <v>Hot</v>
      </c>
      <c r="AF778" s="3" t="str">
        <f aca="false">IF(W778="Likely Spam","Flagged by spam rules",TRIM(IF(X778&gt;=20,"Strong source. ","")&amp;IF(Y778&gt;0,"Company email. ","")&amp;IF(Z778&gt;=15,"High-value product. ","")&amp;IF(AA778&gt;='Scoring Model'!$B$15,"High engagement. ","")&amp;IF(AB778&gt;0,"Buying intent in message. ","")&amp;IF(AC778&lt;0,"Negative intent in message. ","")))</f>
        <v>Company email. High-value product. High engagement. Buying intent in message.</v>
      </c>
      <c r="AG778" s="11" t="n">
        <f aca="false">IF(W778="Likely Spam","",1/(1+EXP(-('Conversion Model'!$B$5+IFERROR(INDEX('Conversion Model'!$B$8:$B$14,MATCH(C778,'Conversion Model'!$A$8:$A$14,0)),0)+IFERROR(INDEX('Conversion Model'!$E$8:$E$9,MATCH(F778,'Conversion Model'!$D$8:$D$9,0)),0)+IFERROR(INDEX('Conversion Model'!$H$8:$H$12,MATCH(IF(LEFT(J778,8)="Payments","Payments",IF(LEFT(J778,7)="Lending","Lending",J778)),'Conversion Model'!$G$8:$G$12,0)),0)+MIN(L778,15)*'Conversion Model'!$B$17+IF(SUMPRODUCT(--ISNUMBER(SEARCH('Scoring Model'!$D$16:$D$25,K778)))&gt;0,'Conversion Model'!$B$18,0)+IF(SUMPRODUCT(--ISNUMBER(SEARCH('Scoring Model'!$G$16:$G$23,K778)))&gt;0,'Conversion Model'!$B$19,0)))))</f>
        <v>0.988826787446895</v>
      </c>
      <c r="AH778" s="3" t="n">
        <f aca="false">IF(OR(O778="Qualified",O778="Won",O778="Lost"),1,IF(O778="Unqualified",0,""))</f>
        <v>1</v>
      </c>
    </row>
    <row r="779" customFormat="false" ht="15" hidden="false" customHeight="true" outlineLevel="0" collapsed="false">
      <c r="A779" s="3" t="s">
        <v>2518</v>
      </c>
      <c r="B779" s="9" t="n">
        <v>46281.8173611111</v>
      </c>
      <c r="C779" s="3" t="s">
        <v>91</v>
      </c>
      <c r="D779" s="3" t="s">
        <v>1307</v>
      </c>
      <c r="E779" s="3" t="s">
        <v>2519</v>
      </c>
      <c r="F779" s="3" t="s">
        <v>22</v>
      </c>
      <c r="G779" s="3" t="s">
        <v>2485</v>
      </c>
      <c r="H779" s="3" t="s">
        <v>2520</v>
      </c>
      <c r="I779" s="3" t="s">
        <v>116</v>
      </c>
      <c r="J779" s="3" t="s">
        <v>81</v>
      </c>
      <c r="K779" s="3" t="s">
        <v>213</v>
      </c>
      <c r="L779" s="3" t="n">
        <v>1</v>
      </c>
      <c r="M779" s="3" t="n">
        <v>18.1</v>
      </c>
      <c r="N779" s="3" t="s">
        <v>67</v>
      </c>
      <c r="O779" s="3" t="s">
        <v>194</v>
      </c>
      <c r="P779" s="10"/>
      <c r="Q779" s="3" t="n">
        <f aca="false">IF(F779="Disposable",1,0)</f>
        <v>0</v>
      </c>
      <c r="R779" s="3" t="n">
        <f aca="false">IF(SUMPRODUCT(--ISNUMBER(SEARCH('Spam Rules'!$A$22:$A$35,K779)))&gt;0,1,0)</f>
        <v>0</v>
      </c>
      <c r="S779" s="3" t="n">
        <f aca="false">IF(AND(F779="Free",G779=""),1,0)</f>
        <v>0</v>
      </c>
      <c r="T779" s="3" t="n">
        <f aca="false">IF(LEN(TRIM(K779))&lt;15,1,0)</f>
        <v>0</v>
      </c>
      <c r="U779" s="3" t="n">
        <f aca="false">IF(COUNTIF($E$2:$E$801,E779)&gt;1,1,0)</f>
        <v>0</v>
      </c>
      <c r="V779" s="3" t="n">
        <f aca="false">Q779*'Spam Rules'!$H$6+R779*'Spam Rules'!$H$7+S779*'Spam Rules'!$H$8+T779*'Spam Rules'!$H$9+U779*'Spam Rules'!$H$10</f>
        <v>0</v>
      </c>
      <c r="W779" s="3" t="str">
        <f aca="false">IF(V779&gt;='Spam Rules'!$B$3,"Likely Spam","Genuine")</f>
        <v>Genuine</v>
      </c>
      <c r="X779" s="3" t="n">
        <f aca="false">IFERROR(INDEX('Scoring Model'!$B$5:$B$11,MATCH(C779,'Scoring Model'!$A$5:$A$11,0)),0)</f>
        <v>5</v>
      </c>
      <c r="Y779" s="3" t="n">
        <f aca="false">IFERROR(INDEX('Scoring Model'!$E$5:$E$7,MATCH(F779,'Scoring Model'!$D$5:$D$7,0)),0)</f>
        <v>20</v>
      </c>
      <c r="Z779" s="3" t="n">
        <f aca="false">IFERROR(INDEX('Scoring Model'!$H$5:$H$13,MATCH(J779,'Scoring Model'!$G$5:$G$13,0)),0)</f>
        <v>5</v>
      </c>
      <c r="AA779" s="3" t="n">
        <f aca="false">IF(L779&gt;='Scoring Model'!$B$14,'Scoring Model'!$B$15,IF(L779&gt;='Scoring Model'!$B$16,'Scoring Model'!$B$17,0))</f>
        <v>0</v>
      </c>
      <c r="AB779" s="3" t="n">
        <f aca="false">IF(SUMPRODUCT(--ISNUMBER(SEARCH('Scoring Model'!$D$16:$D$25,K779)))&gt;0,'Scoring Model'!$B$18,0)</f>
        <v>0</v>
      </c>
      <c r="AC779" s="3" t="n">
        <f aca="false">IF(SUMPRODUCT(--ISNUMBER(SEARCH('Scoring Model'!$G$16:$G$23,K779)))&gt;0,'Scoring Model'!$B$19,0)</f>
        <v>-30</v>
      </c>
      <c r="AD779" s="3" t="n">
        <f aca="false">IF(W779="Likely Spam","",SUM(X779:AC779))</f>
        <v>0</v>
      </c>
      <c r="AE779" s="3" t="str">
        <f aca="false">IF(W779="Likely Spam","Spam",IF(AD779&gt;='Scoring Model'!$B$21,"Hot",IF(AD779&gt;='Scoring Model'!$B$22,"Warm","Nurture")))</f>
        <v>Nurture</v>
      </c>
      <c r="AF779" s="3" t="str">
        <f aca="false">IF(W779="Likely Spam","Flagged by spam rules",TRIM(IF(X779&gt;=20,"Strong source. ","")&amp;IF(Y779&gt;0,"Company email. ","")&amp;IF(Z779&gt;=15,"High-value product. ","")&amp;IF(AA779&gt;='Scoring Model'!$B$15,"High engagement. ","")&amp;IF(AB779&gt;0,"Buying intent in message. ","")&amp;IF(AC779&lt;0,"Negative intent in message. ","")))</f>
        <v>Company email. Negative intent in message.</v>
      </c>
      <c r="AG779" s="11" t="n">
        <f aca="false">IF(W779="Likely Spam","",1/(1+EXP(-('Conversion Model'!$B$5+IFERROR(INDEX('Conversion Model'!$B$8:$B$14,MATCH(C779,'Conversion Model'!$A$8:$A$14,0)),0)+IFERROR(INDEX('Conversion Model'!$E$8:$E$9,MATCH(F779,'Conversion Model'!$D$8:$D$9,0)),0)+IFERROR(INDEX('Conversion Model'!$H$8:$H$12,MATCH(IF(LEFT(J779,8)="Payments","Payments",IF(LEFT(J779,7)="Lending","Lending",J779)),'Conversion Model'!$G$8:$G$12,0)),0)+MIN(L779,15)*'Conversion Model'!$B$17+IF(SUMPRODUCT(--ISNUMBER(SEARCH('Scoring Model'!$D$16:$D$25,K779)))&gt;0,'Conversion Model'!$B$18,0)+IF(SUMPRODUCT(--ISNUMBER(SEARCH('Scoring Model'!$G$16:$G$23,K779)))&gt;0,'Conversion Model'!$B$19,0)))))</f>
        <v>0.00131842255323395</v>
      </c>
      <c r="AH779" s="3" t="n">
        <f aca="false">IF(OR(O779="Qualified",O779="Won",O779="Lost"),1,IF(O779="Unqualified",0,""))</f>
        <v>0</v>
      </c>
    </row>
    <row r="780" customFormat="false" ht="15" hidden="false" customHeight="true" outlineLevel="0" collapsed="false">
      <c r="A780" s="3" t="s">
        <v>2521</v>
      </c>
      <c r="B780" s="9" t="n">
        <v>46282.1069444444</v>
      </c>
      <c r="C780" s="3" t="s">
        <v>112</v>
      </c>
      <c r="D780" s="3" t="s">
        <v>52</v>
      </c>
      <c r="E780" s="3" t="s">
        <v>62</v>
      </c>
      <c r="F780" s="3" t="s">
        <v>54</v>
      </c>
      <c r="G780" s="3"/>
      <c r="H780" s="3"/>
      <c r="I780" s="3" t="s">
        <v>80</v>
      </c>
      <c r="J780" s="3" t="s">
        <v>65</v>
      </c>
      <c r="K780" s="3" t="s">
        <v>126</v>
      </c>
      <c r="L780" s="3" t="n">
        <v>2</v>
      </c>
      <c r="M780" s="3" t="n">
        <v>9.8</v>
      </c>
      <c r="N780" s="3" t="s">
        <v>96</v>
      </c>
      <c r="O780" s="3" t="s">
        <v>68</v>
      </c>
      <c r="P780" s="10"/>
      <c r="Q780" s="3" t="n">
        <f aca="false">IF(F780="Disposable",1,0)</f>
        <v>0</v>
      </c>
      <c r="R780" s="3" t="n">
        <f aca="false">IF(SUMPRODUCT(--ISNUMBER(SEARCH('Spam Rules'!$A$22:$A$35,K780)))&gt;0,1,0)</f>
        <v>0</v>
      </c>
      <c r="S780" s="3" t="n">
        <f aca="false">IF(AND(F780="Free",G780=""),1,0)</f>
        <v>1</v>
      </c>
      <c r="T780" s="3" t="n">
        <f aca="false">IF(LEN(TRIM(K780))&lt;15,1,0)</f>
        <v>1</v>
      </c>
      <c r="U780" s="3" t="n">
        <f aca="false">IF(COUNTIF($E$2:$E$801,E780)&gt;1,1,0)</f>
        <v>1</v>
      </c>
      <c r="V780" s="3" t="n">
        <f aca="false">Q780*'Spam Rules'!$H$6+R780*'Spam Rules'!$H$7+S780*'Spam Rules'!$H$8+T780*'Spam Rules'!$H$9+U780*'Spam Rules'!$H$10</f>
        <v>1</v>
      </c>
      <c r="W780" s="3" t="str">
        <f aca="false">IF(V780&gt;='Spam Rules'!$B$3,"Likely Spam","Genuine")</f>
        <v>Likely Spam</v>
      </c>
      <c r="X780" s="3" t="n">
        <f aca="false">IFERROR(INDEX('Scoring Model'!$B$5:$B$11,MATCH(C780,'Scoring Model'!$A$5:$A$11,0)),0)</f>
        <v>15</v>
      </c>
      <c r="Y780" s="3" t="n">
        <f aca="false">IFERROR(INDEX('Scoring Model'!$E$5:$E$7,MATCH(F780,'Scoring Model'!$D$5:$D$7,0)),0)</f>
        <v>0</v>
      </c>
      <c r="Z780" s="3" t="n">
        <f aca="false">IFERROR(INDEX('Scoring Model'!$H$5:$H$13,MATCH(J780,'Scoring Model'!$G$5:$G$13,0)),0)</f>
        <v>0</v>
      </c>
      <c r="AA780" s="3" t="n">
        <f aca="false">IF(L780&gt;='Scoring Model'!$B$14,'Scoring Model'!$B$15,IF(L780&gt;='Scoring Model'!$B$16,'Scoring Model'!$B$17,0))</f>
        <v>0</v>
      </c>
      <c r="AB780" s="3" t="n">
        <f aca="false">IF(SUMPRODUCT(--ISNUMBER(SEARCH('Scoring Model'!$D$16:$D$25,K780)))&gt;0,'Scoring Model'!$B$18,0)</f>
        <v>0</v>
      </c>
      <c r="AC780" s="3" t="n">
        <f aca="false">IF(SUMPRODUCT(--ISNUMBER(SEARCH('Scoring Model'!$G$16:$G$23,K780)))&gt;0,'Scoring Model'!$B$19,0)</f>
        <v>0</v>
      </c>
      <c r="AD780" s="3" t="str">
        <f aca="false">IF(W780="Likely Spam","",SUM(X780:AC780))</f>
        <v/>
      </c>
      <c r="AE780" s="3" t="str">
        <f aca="false">IF(W780="Likely Spam","Spam",IF(AD780&gt;='Scoring Model'!$B$21,"Hot",IF(AD780&gt;='Scoring Model'!$B$22,"Warm","Nurture")))</f>
        <v>Spam</v>
      </c>
      <c r="AF780" s="3" t="str">
        <f aca="false">IF(W780="Likely Spam","Flagged by spam rules",TRIM(IF(X780&gt;=20,"Strong source. ","")&amp;IF(Y780&gt;0,"Company email. ","")&amp;IF(Z780&gt;=15,"High-value product. ","")&amp;IF(AA780&gt;='Scoring Model'!$B$15,"High engagement. ","")&amp;IF(AB780&gt;0,"Buying intent in message. ","")&amp;IF(AC780&lt;0,"Negative intent in message. ","")))</f>
        <v>Flagged by spam rules</v>
      </c>
      <c r="AG780" s="11" t="str">
        <f aca="false">IF(W780="Likely Spam","",1/(1+EXP(-('Conversion Model'!$B$5+IFERROR(INDEX('Conversion Model'!$B$8:$B$14,MATCH(C780,'Conversion Model'!$A$8:$A$14,0)),0)+IFERROR(INDEX('Conversion Model'!$E$8:$E$9,MATCH(F780,'Conversion Model'!$D$8:$D$9,0)),0)+IFERROR(INDEX('Conversion Model'!$H$8:$H$12,MATCH(IF(LEFT(J780,8)="Payments","Payments",IF(LEFT(J780,7)="Lending","Lending",J780)),'Conversion Model'!$G$8:$G$12,0)),0)+MIN(L780,15)*'Conversion Model'!$B$17+IF(SUMPRODUCT(--ISNUMBER(SEARCH('Scoring Model'!$D$16:$D$25,K780)))&gt;0,'Conversion Model'!$B$18,0)+IF(SUMPRODUCT(--ISNUMBER(SEARCH('Scoring Model'!$G$16:$G$23,K780)))&gt;0,'Conversion Model'!$B$19,0)))))</f>
        <v/>
      </c>
      <c r="AH780" s="3" t="str">
        <f aca="false">IF(OR(O780="Qualified",O780="Won",O780="Lost"),1,IF(O780="Unqualified",0,""))</f>
        <v/>
      </c>
    </row>
    <row r="781" customFormat="false" ht="15" hidden="false" customHeight="true" outlineLevel="0" collapsed="false">
      <c r="A781" s="3" t="s">
        <v>2522</v>
      </c>
      <c r="B781" s="9" t="n">
        <v>46282.6590277778</v>
      </c>
      <c r="C781" s="3" t="s">
        <v>128</v>
      </c>
      <c r="D781" s="3" t="s">
        <v>1322</v>
      </c>
      <c r="E781" s="3" t="s">
        <v>1323</v>
      </c>
      <c r="F781" s="3" t="s">
        <v>54</v>
      </c>
      <c r="G781" s="3" t="s">
        <v>683</v>
      </c>
      <c r="H781" s="3"/>
      <c r="I781" s="3" t="s">
        <v>88</v>
      </c>
      <c r="J781" s="3" t="s">
        <v>81</v>
      </c>
      <c r="K781" s="3" t="s">
        <v>228</v>
      </c>
      <c r="L781" s="3" t="n">
        <v>2</v>
      </c>
      <c r="M781" s="3" t="n">
        <v>10.6</v>
      </c>
      <c r="N781" s="3" t="s">
        <v>59</v>
      </c>
      <c r="O781" s="3" t="s">
        <v>194</v>
      </c>
      <c r="P781" s="10"/>
      <c r="Q781" s="3" t="n">
        <f aca="false">IF(F781="Disposable",1,0)</f>
        <v>0</v>
      </c>
      <c r="R781" s="3" t="n">
        <f aca="false">IF(SUMPRODUCT(--ISNUMBER(SEARCH('Spam Rules'!$A$22:$A$35,K781)))&gt;0,1,0)</f>
        <v>0</v>
      </c>
      <c r="S781" s="3" t="n">
        <f aca="false">IF(AND(F781="Free",G781=""),1,0)</f>
        <v>0</v>
      </c>
      <c r="T781" s="3" t="n">
        <f aca="false">IF(LEN(TRIM(K781))&lt;15,1,0)</f>
        <v>0</v>
      </c>
      <c r="U781" s="3" t="n">
        <f aca="false">IF(COUNTIF($E$2:$E$801,E781)&gt;1,1,0)</f>
        <v>1</v>
      </c>
      <c r="V781" s="3" t="n">
        <f aca="false">Q781*'Spam Rules'!$H$6+R781*'Spam Rules'!$H$7+S781*'Spam Rules'!$H$8+T781*'Spam Rules'!$H$9+U781*'Spam Rules'!$H$10</f>
        <v>0</v>
      </c>
      <c r="W781" s="3" t="str">
        <f aca="false">IF(V781&gt;='Spam Rules'!$B$3,"Likely Spam","Genuine")</f>
        <v>Genuine</v>
      </c>
      <c r="X781" s="3" t="n">
        <f aca="false">IFERROR(INDEX('Scoring Model'!$B$5:$B$11,MATCH(C781,'Scoring Model'!$A$5:$A$11,0)),0)</f>
        <v>30</v>
      </c>
      <c r="Y781" s="3" t="n">
        <f aca="false">IFERROR(INDEX('Scoring Model'!$E$5:$E$7,MATCH(F781,'Scoring Model'!$D$5:$D$7,0)),0)</f>
        <v>0</v>
      </c>
      <c r="Z781" s="3" t="n">
        <f aca="false">IFERROR(INDEX('Scoring Model'!$H$5:$H$13,MATCH(J781,'Scoring Model'!$G$5:$G$13,0)),0)</f>
        <v>5</v>
      </c>
      <c r="AA781" s="3" t="n">
        <f aca="false">IF(L781&gt;='Scoring Model'!$B$14,'Scoring Model'!$B$15,IF(L781&gt;='Scoring Model'!$B$16,'Scoring Model'!$B$17,0))</f>
        <v>0</v>
      </c>
      <c r="AB781" s="3" t="n">
        <f aca="false">IF(SUMPRODUCT(--ISNUMBER(SEARCH('Scoring Model'!$D$16:$D$25,K781)))&gt;0,'Scoring Model'!$B$18,0)</f>
        <v>15</v>
      </c>
      <c r="AC781" s="3" t="n">
        <f aca="false">IF(SUMPRODUCT(--ISNUMBER(SEARCH('Scoring Model'!$G$16:$G$23,K781)))&gt;0,'Scoring Model'!$B$19,0)</f>
        <v>0</v>
      </c>
      <c r="AD781" s="3" t="n">
        <f aca="false">IF(W781="Likely Spam","",SUM(X781:AC781))</f>
        <v>50</v>
      </c>
      <c r="AE781" s="3" t="str">
        <f aca="false">IF(W781="Likely Spam","Spam",IF(AD781&gt;='Scoring Model'!$B$21,"Hot",IF(AD781&gt;='Scoring Model'!$B$22,"Warm","Nurture")))</f>
        <v>Warm</v>
      </c>
      <c r="AF781" s="3" t="str">
        <f aca="false">IF(W781="Likely Spam","Flagged by spam rules",TRIM(IF(X781&gt;=20,"Strong source. ","")&amp;IF(Y781&gt;0,"Company email. ","")&amp;IF(Z781&gt;=15,"High-value product. ","")&amp;IF(AA781&gt;='Scoring Model'!$B$15,"High engagement. ","")&amp;IF(AB781&gt;0,"Buying intent in message. ","")&amp;IF(AC781&lt;0,"Negative intent in message. ","")))</f>
        <v>Strong source. Buying intent in message.</v>
      </c>
      <c r="AG781" s="11" t="n">
        <f aca="false">IF(W781="Likely Spam","",1/(1+EXP(-('Conversion Model'!$B$5+IFERROR(INDEX('Conversion Model'!$B$8:$B$14,MATCH(C781,'Conversion Model'!$A$8:$A$14,0)),0)+IFERROR(INDEX('Conversion Model'!$E$8:$E$9,MATCH(F781,'Conversion Model'!$D$8:$D$9,0)),0)+IFERROR(INDEX('Conversion Model'!$H$8:$H$12,MATCH(IF(LEFT(J781,8)="Payments","Payments",IF(LEFT(J781,7)="Lending","Lending",J781)),'Conversion Model'!$G$8:$G$12,0)),0)+MIN(L781,15)*'Conversion Model'!$B$17+IF(SUMPRODUCT(--ISNUMBER(SEARCH('Scoring Model'!$D$16:$D$25,K781)))&gt;0,'Conversion Model'!$B$18,0)+IF(SUMPRODUCT(--ISNUMBER(SEARCH('Scoring Model'!$G$16:$G$23,K781)))&gt;0,'Conversion Model'!$B$19,0)))))</f>
        <v>0.155513001706512</v>
      </c>
      <c r="AH781" s="3" t="n">
        <f aca="false">IF(OR(O781="Qualified",O781="Won",O781="Lost"),1,IF(O781="Unqualified",0,""))</f>
        <v>0</v>
      </c>
    </row>
    <row r="782" customFormat="false" ht="15" hidden="false" customHeight="true" outlineLevel="0" collapsed="false">
      <c r="A782" s="3" t="s">
        <v>2523</v>
      </c>
      <c r="B782" s="9" t="n">
        <v>46282.8215277778</v>
      </c>
      <c r="C782" s="3" t="s">
        <v>76</v>
      </c>
      <c r="D782" s="3" t="s">
        <v>336</v>
      </c>
      <c r="E782" s="3" t="s">
        <v>2524</v>
      </c>
      <c r="F782" s="3" t="s">
        <v>22</v>
      </c>
      <c r="G782" s="3" t="s">
        <v>2470</v>
      </c>
      <c r="H782" s="3" t="s">
        <v>2471</v>
      </c>
      <c r="I782" s="3" t="s">
        <v>204</v>
      </c>
      <c r="J782" s="3" t="s">
        <v>245</v>
      </c>
      <c r="K782" s="3" t="s">
        <v>183</v>
      </c>
      <c r="L782" s="3" t="n">
        <v>3</v>
      </c>
      <c r="M782" s="3" t="n">
        <v>3.7</v>
      </c>
      <c r="N782" s="3" t="s">
        <v>67</v>
      </c>
      <c r="O782" s="3" t="s">
        <v>331</v>
      </c>
      <c r="P782" s="10"/>
      <c r="Q782" s="3" t="n">
        <f aca="false">IF(F782="Disposable",1,0)</f>
        <v>0</v>
      </c>
      <c r="R782" s="3" t="n">
        <f aca="false">IF(SUMPRODUCT(--ISNUMBER(SEARCH('Spam Rules'!$A$22:$A$35,K782)))&gt;0,1,0)</f>
        <v>0</v>
      </c>
      <c r="S782" s="3" t="n">
        <f aca="false">IF(AND(F782="Free",G782=""),1,0)</f>
        <v>0</v>
      </c>
      <c r="T782" s="3" t="n">
        <f aca="false">IF(LEN(TRIM(K782))&lt;15,1,0)</f>
        <v>0</v>
      </c>
      <c r="U782" s="3" t="n">
        <f aca="false">IF(COUNTIF($E$2:$E$801,E782)&gt;1,1,0)</f>
        <v>0</v>
      </c>
      <c r="V782" s="3" t="n">
        <f aca="false">Q782*'Spam Rules'!$H$6+R782*'Spam Rules'!$H$7+S782*'Spam Rules'!$H$8+T782*'Spam Rules'!$H$9+U782*'Spam Rules'!$H$10</f>
        <v>0</v>
      </c>
      <c r="W782" s="3" t="str">
        <f aca="false">IF(V782&gt;='Spam Rules'!$B$3,"Likely Spam","Genuine")</f>
        <v>Genuine</v>
      </c>
      <c r="X782" s="3" t="n">
        <f aca="false">IFERROR(INDEX('Scoring Model'!$B$5:$B$11,MATCH(C782,'Scoring Model'!$A$5:$A$11,0)),0)</f>
        <v>0</v>
      </c>
      <c r="Y782" s="3" t="n">
        <f aca="false">IFERROR(INDEX('Scoring Model'!$E$5:$E$7,MATCH(F782,'Scoring Model'!$D$5:$D$7,0)),0)</f>
        <v>20</v>
      </c>
      <c r="Z782" s="3" t="n">
        <f aca="false">IFERROR(INDEX('Scoring Model'!$H$5:$H$13,MATCH(J782,'Scoring Model'!$G$5:$G$13,0)),0)</f>
        <v>15</v>
      </c>
      <c r="AA782" s="3" t="n">
        <f aca="false">IF(L782&gt;='Scoring Model'!$B$14,'Scoring Model'!$B$15,IF(L782&gt;='Scoring Model'!$B$16,'Scoring Model'!$B$17,0))</f>
        <v>0</v>
      </c>
      <c r="AB782" s="3" t="n">
        <f aca="false">IF(SUMPRODUCT(--ISNUMBER(SEARCH('Scoring Model'!$D$16:$D$25,K782)))&gt;0,'Scoring Model'!$B$18,0)</f>
        <v>15</v>
      </c>
      <c r="AC782" s="3" t="n">
        <f aca="false">IF(SUMPRODUCT(--ISNUMBER(SEARCH('Scoring Model'!$G$16:$G$23,K782)))&gt;0,'Scoring Model'!$B$19,0)</f>
        <v>0</v>
      </c>
      <c r="AD782" s="3" t="n">
        <f aca="false">IF(W782="Likely Spam","",SUM(X782:AC782))</f>
        <v>50</v>
      </c>
      <c r="AE782" s="3" t="str">
        <f aca="false">IF(W782="Likely Spam","Spam",IF(AD782&gt;='Scoring Model'!$B$21,"Hot",IF(AD782&gt;='Scoring Model'!$B$22,"Warm","Nurture")))</f>
        <v>Warm</v>
      </c>
      <c r="AF782" s="3" t="str">
        <f aca="false">IF(W782="Likely Spam","Flagged by spam rules",TRIM(IF(X782&gt;=20,"Strong source. ","")&amp;IF(Y782&gt;0,"Company email. ","")&amp;IF(Z782&gt;=15,"High-value product. ","")&amp;IF(AA782&gt;='Scoring Model'!$B$15,"High engagement. ","")&amp;IF(AB782&gt;0,"Buying intent in message. ","")&amp;IF(AC782&lt;0,"Negative intent in message. ","")))</f>
        <v>Company email. High-value product. Buying intent in message.</v>
      </c>
      <c r="AG782" s="11" t="n">
        <f aca="false">IF(W782="Likely Spam","",1/(1+EXP(-('Conversion Model'!$B$5+IFERROR(INDEX('Conversion Model'!$B$8:$B$14,MATCH(C782,'Conversion Model'!$A$8:$A$14,0)),0)+IFERROR(INDEX('Conversion Model'!$E$8:$E$9,MATCH(F782,'Conversion Model'!$D$8:$D$9,0)),0)+IFERROR(INDEX('Conversion Model'!$H$8:$H$12,MATCH(IF(LEFT(J782,8)="Payments","Payments",IF(LEFT(J782,7)="Lending","Lending",J782)),'Conversion Model'!$G$8:$G$12,0)),0)+MIN(L782,15)*'Conversion Model'!$B$17+IF(SUMPRODUCT(--ISNUMBER(SEARCH('Scoring Model'!$D$16:$D$25,K782)))&gt;0,'Conversion Model'!$B$18,0)+IF(SUMPRODUCT(--ISNUMBER(SEARCH('Scoring Model'!$G$16:$G$23,K782)))&gt;0,'Conversion Model'!$B$19,0)))))</f>
        <v>0.451403891416866</v>
      </c>
      <c r="AH782" s="3" t="n">
        <f aca="false">IF(OR(O782="Qualified",O782="Won",O782="Lost"),1,IF(O782="Unqualified",0,""))</f>
        <v>1</v>
      </c>
    </row>
    <row r="783" customFormat="false" ht="15" hidden="false" customHeight="true" outlineLevel="0" collapsed="false">
      <c r="A783" s="3" t="s">
        <v>2525</v>
      </c>
      <c r="B783" s="9" t="n">
        <v>46282.93125</v>
      </c>
      <c r="C783" s="3" t="s">
        <v>51</v>
      </c>
      <c r="D783" s="3" t="s">
        <v>2526</v>
      </c>
      <c r="E783" s="3" t="s">
        <v>2527</v>
      </c>
      <c r="F783" s="3" t="s">
        <v>63</v>
      </c>
      <c r="G783" s="3"/>
      <c r="H783" s="3"/>
      <c r="I783" s="3" t="s">
        <v>88</v>
      </c>
      <c r="J783" s="3" t="s">
        <v>81</v>
      </c>
      <c r="K783" s="3" t="s">
        <v>363</v>
      </c>
      <c r="L783" s="3" t="n">
        <v>1</v>
      </c>
      <c r="M783" s="3" t="n">
        <v>15.5</v>
      </c>
      <c r="N783" s="3" t="s">
        <v>96</v>
      </c>
      <c r="O783" s="3" t="s">
        <v>68</v>
      </c>
      <c r="P783" s="10"/>
      <c r="Q783" s="3" t="n">
        <f aca="false">IF(F783="Disposable",1,0)</f>
        <v>1</v>
      </c>
      <c r="R783" s="3" t="n">
        <f aca="false">IF(SUMPRODUCT(--ISNUMBER(SEARCH('Spam Rules'!$A$22:$A$35,K783)))&gt;0,1,0)</f>
        <v>1</v>
      </c>
      <c r="S783" s="3" t="n">
        <f aca="false">IF(AND(F783="Free",G783=""),1,0)</f>
        <v>0</v>
      </c>
      <c r="T783" s="3" t="n">
        <f aca="false">IF(LEN(TRIM(K783))&lt;15,1,0)</f>
        <v>0</v>
      </c>
      <c r="U783" s="3" t="n">
        <f aca="false">IF(COUNTIF($E$2:$E$801,E783)&gt;1,1,0)</f>
        <v>0</v>
      </c>
      <c r="V783" s="3" t="n">
        <f aca="false">Q783*'Spam Rules'!$H$6+R783*'Spam Rules'!$H$7+S783*'Spam Rules'!$H$8+T783*'Spam Rules'!$H$9+U783*'Spam Rules'!$H$10</f>
        <v>2</v>
      </c>
      <c r="W783" s="3" t="str">
        <f aca="false">IF(V783&gt;='Spam Rules'!$B$3,"Likely Spam","Genuine")</f>
        <v>Likely Spam</v>
      </c>
      <c r="X783" s="3" t="n">
        <f aca="false">IFERROR(INDEX('Scoring Model'!$B$5:$B$11,MATCH(C783,'Scoring Model'!$A$5:$A$11,0)),0)</f>
        <v>10</v>
      </c>
      <c r="Y783" s="3" t="n">
        <f aca="false">IFERROR(INDEX('Scoring Model'!$E$5:$E$7,MATCH(F783,'Scoring Model'!$D$5:$D$7,0)),0)</f>
        <v>0</v>
      </c>
      <c r="Z783" s="3" t="n">
        <f aca="false">IFERROR(INDEX('Scoring Model'!$H$5:$H$13,MATCH(J783,'Scoring Model'!$G$5:$G$13,0)),0)</f>
        <v>5</v>
      </c>
      <c r="AA783" s="3" t="n">
        <f aca="false">IF(L783&gt;='Scoring Model'!$B$14,'Scoring Model'!$B$15,IF(L783&gt;='Scoring Model'!$B$16,'Scoring Model'!$B$17,0))</f>
        <v>0</v>
      </c>
      <c r="AB783" s="3" t="n">
        <f aca="false">IF(SUMPRODUCT(--ISNUMBER(SEARCH('Scoring Model'!$D$16:$D$25,K783)))&gt;0,'Scoring Model'!$B$18,0)</f>
        <v>0</v>
      </c>
      <c r="AC783" s="3" t="n">
        <f aca="false">IF(SUMPRODUCT(--ISNUMBER(SEARCH('Scoring Model'!$G$16:$G$23,K783)))&gt;0,'Scoring Model'!$B$19,0)</f>
        <v>0</v>
      </c>
      <c r="AD783" s="3" t="str">
        <f aca="false">IF(W783="Likely Spam","",SUM(X783:AC783))</f>
        <v/>
      </c>
      <c r="AE783" s="3" t="str">
        <f aca="false">IF(W783="Likely Spam","Spam",IF(AD783&gt;='Scoring Model'!$B$21,"Hot",IF(AD783&gt;='Scoring Model'!$B$22,"Warm","Nurture")))</f>
        <v>Spam</v>
      </c>
      <c r="AF783" s="3" t="str">
        <f aca="false">IF(W783="Likely Spam","Flagged by spam rules",TRIM(IF(X783&gt;=20,"Strong source. ","")&amp;IF(Y783&gt;0,"Company email. ","")&amp;IF(Z783&gt;=15,"High-value product. ","")&amp;IF(AA783&gt;='Scoring Model'!$B$15,"High engagement. ","")&amp;IF(AB783&gt;0,"Buying intent in message. ","")&amp;IF(AC783&lt;0,"Negative intent in message. ","")))</f>
        <v>Flagged by spam rules</v>
      </c>
      <c r="AG783" s="11" t="str">
        <f aca="false">IF(W783="Likely Spam","",1/(1+EXP(-('Conversion Model'!$B$5+IFERROR(INDEX('Conversion Model'!$B$8:$B$14,MATCH(C783,'Conversion Model'!$A$8:$A$14,0)),0)+IFERROR(INDEX('Conversion Model'!$E$8:$E$9,MATCH(F783,'Conversion Model'!$D$8:$D$9,0)),0)+IFERROR(INDEX('Conversion Model'!$H$8:$H$12,MATCH(IF(LEFT(J783,8)="Payments","Payments",IF(LEFT(J783,7)="Lending","Lending",J783)),'Conversion Model'!$G$8:$G$12,0)),0)+MIN(L783,15)*'Conversion Model'!$B$17+IF(SUMPRODUCT(--ISNUMBER(SEARCH('Scoring Model'!$D$16:$D$25,K783)))&gt;0,'Conversion Model'!$B$18,0)+IF(SUMPRODUCT(--ISNUMBER(SEARCH('Scoring Model'!$G$16:$G$23,K783)))&gt;0,'Conversion Model'!$B$19,0)))))</f>
        <v/>
      </c>
      <c r="AH783" s="3" t="str">
        <f aca="false">IF(OR(O783="Qualified",O783="Won",O783="Lost"),1,IF(O783="Unqualified",0,""))</f>
        <v/>
      </c>
    </row>
    <row r="784" customFormat="false" ht="15" hidden="false" customHeight="true" outlineLevel="0" collapsed="false">
      <c r="A784" s="3" t="s">
        <v>2528</v>
      </c>
      <c r="B784" s="9" t="n">
        <v>46283.025</v>
      </c>
      <c r="C784" s="3" t="s">
        <v>76</v>
      </c>
      <c r="D784" s="3" t="s">
        <v>1804</v>
      </c>
      <c r="E784" s="3" t="s">
        <v>2529</v>
      </c>
      <c r="F784" s="3" t="s">
        <v>22</v>
      </c>
      <c r="G784" s="3" t="s">
        <v>86</v>
      </c>
      <c r="H784" s="3" t="s">
        <v>87</v>
      </c>
      <c r="I784" s="3" t="s">
        <v>334</v>
      </c>
      <c r="J784" s="3" t="s">
        <v>65</v>
      </c>
      <c r="K784" s="3" t="s">
        <v>363</v>
      </c>
      <c r="L784" s="3" t="n">
        <v>1</v>
      </c>
      <c r="M784" s="3" t="n">
        <v>32.1</v>
      </c>
      <c r="N784" s="3" t="s">
        <v>67</v>
      </c>
      <c r="O784" s="3" t="s">
        <v>68</v>
      </c>
      <c r="P784" s="10"/>
      <c r="Q784" s="3" t="n">
        <f aca="false">IF(F784="Disposable",1,0)</f>
        <v>0</v>
      </c>
      <c r="R784" s="3" t="n">
        <f aca="false">IF(SUMPRODUCT(--ISNUMBER(SEARCH('Spam Rules'!$A$22:$A$35,K784)))&gt;0,1,0)</f>
        <v>1</v>
      </c>
      <c r="S784" s="3" t="n">
        <f aca="false">IF(AND(F784="Free",G784=""),1,0)</f>
        <v>0</v>
      </c>
      <c r="T784" s="3" t="n">
        <f aca="false">IF(LEN(TRIM(K784))&lt;15,1,0)</f>
        <v>0</v>
      </c>
      <c r="U784" s="3" t="n">
        <f aca="false">IF(COUNTIF($E$2:$E$801,E784)&gt;1,1,0)</f>
        <v>0</v>
      </c>
      <c r="V784" s="3" t="n">
        <f aca="false">Q784*'Spam Rules'!$H$6+R784*'Spam Rules'!$H$7+S784*'Spam Rules'!$H$8+T784*'Spam Rules'!$H$9+U784*'Spam Rules'!$H$10</f>
        <v>1</v>
      </c>
      <c r="W784" s="3" t="str">
        <f aca="false">IF(V784&gt;='Spam Rules'!$B$3,"Likely Spam","Genuine")</f>
        <v>Likely Spam</v>
      </c>
      <c r="X784" s="3" t="n">
        <f aca="false">IFERROR(INDEX('Scoring Model'!$B$5:$B$11,MATCH(C784,'Scoring Model'!$A$5:$A$11,0)),0)</f>
        <v>0</v>
      </c>
      <c r="Y784" s="3" t="n">
        <f aca="false">IFERROR(INDEX('Scoring Model'!$E$5:$E$7,MATCH(F784,'Scoring Model'!$D$5:$D$7,0)),0)</f>
        <v>20</v>
      </c>
      <c r="Z784" s="3" t="n">
        <f aca="false">IFERROR(INDEX('Scoring Model'!$H$5:$H$13,MATCH(J784,'Scoring Model'!$G$5:$G$13,0)),0)</f>
        <v>0</v>
      </c>
      <c r="AA784" s="3" t="n">
        <f aca="false">IF(L784&gt;='Scoring Model'!$B$14,'Scoring Model'!$B$15,IF(L784&gt;='Scoring Model'!$B$16,'Scoring Model'!$B$17,0))</f>
        <v>0</v>
      </c>
      <c r="AB784" s="3" t="n">
        <f aca="false">IF(SUMPRODUCT(--ISNUMBER(SEARCH('Scoring Model'!$D$16:$D$25,K784)))&gt;0,'Scoring Model'!$B$18,0)</f>
        <v>0</v>
      </c>
      <c r="AC784" s="3" t="n">
        <f aca="false">IF(SUMPRODUCT(--ISNUMBER(SEARCH('Scoring Model'!$G$16:$G$23,K784)))&gt;0,'Scoring Model'!$B$19,0)</f>
        <v>0</v>
      </c>
      <c r="AD784" s="3" t="str">
        <f aca="false">IF(W784="Likely Spam","",SUM(X784:AC784))</f>
        <v/>
      </c>
      <c r="AE784" s="3" t="str">
        <f aca="false">IF(W784="Likely Spam","Spam",IF(AD784&gt;='Scoring Model'!$B$21,"Hot",IF(AD784&gt;='Scoring Model'!$B$22,"Warm","Nurture")))</f>
        <v>Spam</v>
      </c>
      <c r="AF784" s="3" t="str">
        <f aca="false">IF(W784="Likely Spam","Flagged by spam rules",TRIM(IF(X784&gt;=20,"Strong source. ","")&amp;IF(Y784&gt;0,"Company email. ","")&amp;IF(Z784&gt;=15,"High-value product. ","")&amp;IF(AA784&gt;='Scoring Model'!$B$15,"High engagement. ","")&amp;IF(AB784&gt;0,"Buying intent in message. ","")&amp;IF(AC784&lt;0,"Negative intent in message. ","")))</f>
        <v>Flagged by spam rules</v>
      </c>
      <c r="AG784" s="11" t="str">
        <f aca="false">IF(W784="Likely Spam","",1/(1+EXP(-('Conversion Model'!$B$5+IFERROR(INDEX('Conversion Model'!$B$8:$B$14,MATCH(C784,'Conversion Model'!$A$8:$A$14,0)),0)+IFERROR(INDEX('Conversion Model'!$E$8:$E$9,MATCH(F784,'Conversion Model'!$D$8:$D$9,0)),0)+IFERROR(INDEX('Conversion Model'!$H$8:$H$12,MATCH(IF(LEFT(J784,8)="Payments","Payments",IF(LEFT(J784,7)="Lending","Lending",J784)),'Conversion Model'!$G$8:$G$12,0)),0)+MIN(L784,15)*'Conversion Model'!$B$17+IF(SUMPRODUCT(--ISNUMBER(SEARCH('Scoring Model'!$D$16:$D$25,K784)))&gt;0,'Conversion Model'!$B$18,0)+IF(SUMPRODUCT(--ISNUMBER(SEARCH('Scoring Model'!$G$16:$G$23,K784)))&gt;0,'Conversion Model'!$B$19,0)))))</f>
        <v/>
      </c>
      <c r="AH784" s="3" t="str">
        <f aca="false">IF(OR(O784="Qualified",O784="Won",O784="Lost"),1,IF(O784="Unqualified",0,""))</f>
        <v/>
      </c>
    </row>
    <row r="785" customFormat="false" ht="15" hidden="false" customHeight="true" outlineLevel="0" collapsed="false">
      <c r="A785" s="3" t="s">
        <v>2530</v>
      </c>
      <c r="B785" s="9" t="n">
        <v>46283.1048611111</v>
      </c>
      <c r="C785" s="3" t="s">
        <v>76</v>
      </c>
      <c r="D785" s="3" t="s">
        <v>729</v>
      </c>
      <c r="E785" s="3" t="s">
        <v>2531</v>
      </c>
      <c r="F785" s="3" t="s">
        <v>54</v>
      </c>
      <c r="G785" s="3" t="s">
        <v>321</v>
      </c>
      <c r="H785" s="3"/>
      <c r="I785" s="3" t="s">
        <v>188</v>
      </c>
      <c r="J785" s="3" t="s">
        <v>65</v>
      </c>
      <c r="K785" s="3" t="s">
        <v>89</v>
      </c>
      <c r="L785" s="3" t="n">
        <v>2</v>
      </c>
      <c r="M785" s="3" t="n">
        <v>66.5</v>
      </c>
      <c r="N785" s="3" t="s">
        <v>67</v>
      </c>
      <c r="O785" s="3" t="s">
        <v>68</v>
      </c>
      <c r="P785" s="10"/>
      <c r="Q785" s="3" t="n">
        <f aca="false">IF(F785="Disposable",1,0)</f>
        <v>0</v>
      </c>
      <c r="R785" s="3" t="n">
        <f aca="false">IF(SUMPRODUCT(--ISNUMBER(SEARCH('Spam Rules'!$A$22:$A$35,K785)))&gt;0,1,0)</f>
        <v>1</v>
      </c>
      <c r="S785" s="3" t="n">
        <f aca="false">IF(AND(F785="Free",G785=""),1,0)</f>
        <v>0</v>
      </c>
      <c r="T785" s="3" t="n">
        <f aca="false">IF(LEN(TRIM(K785))&lt;15,1,0)</f>
        <v>0</v>
      </c>
      <c r="U785" s="3" t="n">
        <f aca="false">IF(COUNTIF($E$2:$E$801,E785)&gt;1,1,0)</f>
        <v>0</v>
      </c>
      <c r="V785" s="3" t="n">
        <f aca="false">Q785*'Spam Rules'!$H$6+R785*'Spam Rules'!$H$7+S785*'Spam Rules'!$H$8+T785*'Spam Rules'!$H$9+U785*'Spam Rules'!$H$10</f>
        <v>1</v>
      </c>
      <c r="W785" s="3" t="str">
        <f aca="false">IF(V785&gt;='Spam Rules'!$B$3,"Likely Spam","Genuine")</f>
        <v>Likely Spam</v>
      </c>
      <c r="X785" s="3" t="n">
        <f aca="false">IFERROR(INDEX('Scoring Model'!$B$5:$B$11,MATCH(C785,'Scoring Model'!$A$5:$A$11,0)),0)</f>
        <v>0</v>
      </c>
      <c r="Y785" s="3" t="n">
        <f aca="false">IFERROR(INDEX('Scoring Model'!$E$5:$E$7,MATCH(F785,'Scoring Model'!$D$5:$D$7,0)),0)</f>
        <v>0</v>
      </c>
      <c r="Z785" s="3" t="n">
        <f aca="false">IFERROR(INDEX('Scoring Model'!$H$5:$H$13,MATCH(J785,'Scoring Model'!$G$5:$G$13,0)),0)</f>
        <v>0</v>
      </c>
      <c r="AA785" s="3" t="n">
        <f aca="false">IF(L785&gt;='Scoring Model'!$B$14,'Scoring Model'!$B$15,IF(L785&gt;='Scoring Model'!$B$16,'Scoring Model'!$B$17,0))</f>
        <v>0</v>
      </c>
      <c r="AB785" s="3" t="n">
        <f aca="false">IF(SUMPRODUCT(--ISNUMBER(SEARCH('Scoring Model'!$D$16:$D$25,K785)))&gt;0,'Scoring Model'!$B$18,0)</f>
        <v>0</v>
      </c>
      <c r="AC785" s="3" t="n">
        <f aca="false">IF(SUMPRODUCT(--ISNUMBER(SEARCH('Scoring Model'!$G$16:$G$23,K785)))&gt;0,'Scoring Model'!$B$19,0)</f>
        <v>0</v>
      </c>
      <c r="AD785" s="3" t="str">
        <f aca="false">IF(W785="Likely Spam","",SUM(X785:AC785))</f>
        <v/>
      </c>
      <c r="AE785" s="3" t="str">
        <f aca="false">IF(W785="Likely Spam","Spam",IF(AD785&gt;='Scoring Model'!$B$21,"Hot",IF(AD785&gt;='Scoring Model'!$B$22,"Warm","Nurture")))</f>
        <v>Spam</v>
      </c>
      <c r="AF785" s="3" t="str">
        <f aca="false">IF(W785="Likely Spam","Flagged by spam rules",TRIM(IF(X785&gt;=20,"Strong source. ","")&amp;IF(Y785&gt;0,"Company email. ","")&amp;IF(Z785&gt;=15,"High-value product. ","")&amp;IF(AA785&gt;='Scoring Model'!$B$15,"High engagement. ","")&amp;IF(AB785&gt;0,"Buying intent in message. ","")&amp;IF(AC785&lt;0,"Negative intent in message. ","")))</f>
        <v>Flagged by spam rules</v>
      </c>
      <c r="AG785" s="11" t="str">
        <f aca="false">IF(W785="Likely Spam","",1/(1+EXP(-('Conversion Model'!$B$5+IFERROR(INDEX('Conversion Model'!$B$8:$B$14,MATCH(C785,'Conversion Model'!$A$8:$A$14,0)),0)+IFERROR(INDEX('Conversion Model'!$E$8:$E$9,MATCH(F785,'Conversion Model'!$D$8:$D$9,0)),0)+IFERROR(INDEX('Conversion Model'!$H$8:$H$12,MATCH(IF(LEFT(J785,8)="Payments","Payments",IF(LEFT(J785,7)="Lending","Lending",J785)),'Conversion Model'!$G$8:$G$12,0)),0)+MIN(L785,15)*'Conversion Model'!$B$17+IF(SUMPRODUCT(--ISNUMBER(SEARCH('Scoring Model'!$D$16:$D$25,K785)))&gt;0,'Conversion Model'!$B$18,0)+IF(SUMPRODUCT(--ISNUMBER(SEARCH('Scoring Model'!$G$16:$G$23,K785)))&gt;0,'Conversion Model'!$B$19,0)))))</f>
        <v/>
      </c>
      <c r="AH785" s="3" t="str">
        <f aca="false">IF(OR(O785="Qualified",O785="Won",O785="Lost"),1,IF(O785="Unqualified",0,""))</f>
        <v/>
      </c>
    </row>
    <row r="786" customFormat="false" ht="15" hidden="false" customHeight="true" outlineLevel="0" collapsed="false">
      <c r="A786" s="3" t="s">
        <v>2532</v>
      </c>
      <c r="B786" s="9" t="n">
        <v>46284.1152777778</v>
      </c>
      <c r="C786" s="3" t="s">
        <v>76</v>
      </c>
      <c r="D786" s="3" t="s">
        <v>1619</v>
      </c>
      <c r="E786" s="3" t="s">
        <v>2533</v>
      </c>
      <c r="F786" s="3" t="s">
        <v>22</v>
      </c>
      <c r="G786" s="3" t="s">
        <v>1031</v>
      </c>
      <c r="H786" s="3" t="s">
        <v>1032</v>
      </c>
      <c r="I786" s="3" t="s">
        <v>107</v>
      </c>
      <c r="J786" s="3" t="s">
        <v>245</v>
      </c>
      <c r="K786" s="3" t="s">
        <v>1864</v>
      </c>
      <c r="L786" s="3" t="n">
        <v>4</v>
      </c>
      <c r="M786" s="3" t="n">
        <v>14.5</v>
      </c>
      <c r="N786" s="3" t="s">
        <v>96</v>
      </c>
      <c r="O786" s="3" t="s">
        <v>133</v>
      </c>
      <c r="P786" s="10"/>
      <c r="Q786" s="3" t="n">
        <f aca="false">IF(F786="Disposable",1,0)</f>
        <v>0</v>
      </c>
      <c r="R786" s="3" t="n">
        <f aca="false">IF(SUMPRODUCT(--ISNUMBER(SEARCH('Spam Rules'!$A$22:$A$35,K786)))&gt;0,1,0)</f>
        <v>0</v>
      </c>
      <c r="S786" s="3" t="n">
        <f aca="false">IF(AND(F786="Free",G786=""),1,0)</f>
        <v>0</v>
      </c>
      <c r="T786" s="3" t="n">
        <f aca="false">IF(LEN(TRIM(K786))&lt;15,1,0)</f>
        <v>0</v>
      </c>
      <c r="U786" s="3" t="n">
        <f aca="false">IF(COUNTIF($E$2:$E$801,E786)&gt;1,1,0)</f>
        <v>0</v>
      </c>
      <c r="V786" s="3" t="n">
        <f aca="false">Q786*'Spam Rules'!$H$6+R786*'Spam Rules'!$H$7+S786*'Spam Rules'!$H$8+T786*'Spam Rules'!$H$9+U786*'Spam Rules'!$H$10</f>
        <v>0</v>
      </c>
      <c r="W786" s="3" t="str">
        <f aca="false">IF(V786&gt;='Spam Rules'!$B$3,"Likely Spam","Genuine")</f>
        <v>Genuine</v>
      </c>
      <c r="X786" s="3" t="n">
        <f aca="false">IFERROR(INDEX('Scoring Model'!$B$5:$B$11,MATCH(C786,'Scoring Model'!$A$5:$A$11,0)),0)</f>
        <v>0</v>
      </c>
      <c r="Y786" s="3" t="n">
        <f aca="false">IFERROR(INDEX('Scoring Model'!$E$5:$E$7,MATCH(F786,'Scoring Model'!$D$5:$D$7,0)),0)</f>
        <v>20</v>
      </c>
      <c r="Z786" s="3" t="n">
        <f aca="false">IFERROR(INDEX('Scoring Model'!$H$5:$H$13,MATCH(J786,'Scoring Model'!$G$5:$G$13,0)),0)</f>
        <v>15</v>
      </c>
      <c r="AA786" s="3" t="n">
        <f aca="false">IF(L786&gt;='Scoring Model'!$B$14,'Scoring Model'!$B$15,IF(L786&gt;='Scoring Model'!$B$16,'Scoring Model'!$B$17,0))</f>
        <v>8</v>
      </c>
      <c r="AB786" s="3" t="n">
        <f aca="false">IF(SUMPRODUCT(--ISNUMBER(SEARCH('Scoring Model'!$D$16:$D$25,K786)))&gt;0,'Scoring Model'!$B$18,0)</f>
        <v>15</v>
      </c>
      <c r="AC786" s="3" t="n">
        <f aca="false">IF(SUMPRODUCT(--ISNUMBER(SEARCH('Scoring Model'!$G$16:$G$23,K786)))&gt;0,'Scoring Model'!$B$19,0)</f>
        <v>0</v>
      </c>
      <c r="AD786" s="3" t="n">
        <f aca="false">IF(W786="Likely Spam","",SUM(X786:AC786))</f>
        <v>58</v>
      </c>
      <c r="AE786" s="3" t="str">
        <f aca="false">IF(W786="Likely Spam","Spam",IF(AD786&gt;='Scoring Model'!$B$21,"Hot",IF(AD786&gt;='Scoring Model'!$B$22,"Warm","Nurture")))</f>
        <v>Warm</v>
      </c>
      <c r="AF786" s="3" t="str">
        <f aca="false">IF(W786="Likely Spam","Flagged by spam rules",TRIM(IF(X786&gt;=20,"Strong source. ","")&amp;IF(Y786&gt;0,"Company email. ","")&amp;IF(Z786&gt;=15,"High-value product. ","")&amp;IF(AA786&gt;='Scoring Model'!$B$15,"High engagement. ","")&amp;IF(AB786&gt;0,"Buying intent in message. ","")&amp;IF(AC786&lt;0,"Negative intent in message. ","")))</f>
        <v>Company email. High-value product. Buying intent in message.</v>
      </c>
      <c r="AG786" s="11" t="n">
        <f aca="false">IF(W786="Likely Spam","",1/(1+EXP(-('Conversion Model'!$B$5+IFERROR(INDEX('Conversion Model'!$B$8:$B$14,MATCH(C786,'Conversion Model'!$A$8:$A$14,0)),0)+IFERROR(INDEX('Conversion Model'!$E$8:$E$9,MATCH(F786,'Conversion Model'!$D$8:$D$9,0)),0)+IFERROR(INDEX('Conversion Model'!$H$8:$H$12,MATCH(IF(LEFT(J786,8)="Payments","Payments",IF(LEFT(J786,7)="Lending","Lending",J786)),'Conversion Model'!$G$8:$G$12,0)),0)+MIN(L786,15)*'Conversion Model'!$B$17+IF(SUMPRODUCT(--ISNUMBER(SEARCH('Scoring Model'!$D$16:$D$25,K786)))&gt;0,'Conversion Model'!$B$18,0)+IF(SUMPRODUCT(--ISNUMBER(SEARCH('Scoring Model'!$G$16:$G$23,K786)))&gt;0,'Conversion Model'!$B$19,0)))))</f>
        <v>0.647256158176589</v>
      </c>
      <c r="AH786" s="3" t="str">
        <f aca="false">IF(OR(O786="Qualified",O786="Won",O786="Lost"),1,IF(O786="Unqualified",0,""))</f>
        <v/>
      </c>
    </row>
    <row r="787" customFormat="false" ht="15" hidden="false" customHeight="true" outlineLevel="0" collapsed="false">
      <c r="A787" s="3" t="s">
        <v>2534</v>
      </c>
      <c r="B787" s="9" t="n">
        <v>46284.4111111111</v>
      </c>
      <c r="C787" s="3" t="s">
        <v>128</v>
      </c>
      <c r="D787" s="3" t="s">
        <v>2535</v>
      </c>
      <c r="E787" s="3" t="s">
        <v>2536</v>
      </c>
      <c r="F787" s="3" t="s">
        <v>54</v>
      </c>
      <c r="G787" s="3" t="s">
        <v>55</v>
      </c>
      <c r="H787" s="3"/>
      <c r="I787" s="3" t="s">
        <v>73</v>
      </c>
      <c r="J787" s="3" t="s">
        <v>145</v>
      </c>
      <c r="K787" s="3" t="s">
        <v>193</v>
      </c>
      <c r="L787" s="3" t="n">
        <v>4</v>
      </c>
      <c r="M787" s="3" t="n">
        <v>13.7</v>
      </c>
      <c r="N787" s="3" t="s">
        <v>59</v>
      </c>
      <c r="O787" s="3" t="s">
        <v>194</v>
      </c>
      <c r="P787" s="10"/>
      <c r="Q787" s="3" t="n">
        <f aca="false">IF(F787="Disposable",1,0)</f>
        <v>0</v>
      </c>
      <c r="R787" s="3" t="n">
        <f aca="false">IF(SUMPRODUCT(--ISNUMBER(SEARCH('Spam Rules'!$A$22:$A$35,K787)))&gt;0,1,0)</f>
        <v>0</v>
      </c>
      <c r="S787" s="3" t="n">
        <f aca="false">IF(AND(F787="Free",G787=""),1,0)</f>
        <v>0</v>
      </c>
      <c r="T787" s="3" t="n">
        <f aca="false">IF(LEN(TRIM(K787))&lt;15,1,0)</f>
        <v>0</v>
      </c>
      <c r="U787" s="3" t="n">
        <f aca="false">IF(COUNTIF($E$2:$E$801,E787)&gt;1,1,0)</f>
        <v>0</v>
      </c>
      <c r="V787" s="3" t="n">
        <f aca="false">Q787*'Spam Rules'!$H$6+R787*'Spam Rules'!$H$7+S787*'Spam Rules'!$H$8+T787*'Spam Rules'!$H$9+U787*'Spam Rules'!$H$10</f>
        <v>0</v>
      </c>
      <c r="W787" s="3" t="str">
        <f aca="false">IF(V787&gt;='Spam Rules'!$B$3,"Likely Spam","Genuine")</f>
        <v>Genuine</v>
      </c>
      <c r="X787" s="3" t="n">
        <f aca="false">IFERROR(INDEX('Scoring Model'!$B$5:$B$11,MATCH(C787,'Scoring Model'!$A$5:$A$11,0)),0)</f>
        <v>30</v>
      </c>
      <c r="Y787" s="3" t="n">
        <f aca="false">IFERROR(INDEX('Scoring Model'!$E$5:$E$7,MATCH(F787,'Scoring Model'!$D$5:$D$7,0)),0)</f>
        <v>0</v>
      </c>
      <c r="Z787" s="3" t="n">
        <f aca="false">IFERROR(INDEX('Scoring Model'!$H$5:$H$13,MATCH(J787,'Scoring Model'!$G$5:$G$13,0)),0)</f>
        <v>5</v>
      </c>
      <c r="AA787" s="3" t="n">
        <f aca="false">IF(L787&gt;='Scoring Model'!$B$14,'Scoring Model'!$B$15,IF(L787&gt;='Scoring Model'!$B$16,'Scoring Model'!$B$17,0))</f>
        <v>8</v>
      </c>
      <c r="AB787" s="3" t="n">
        <f aca="false">IF(SUMPRODUCT(--ISNUMBER(SEARCH('Scoring Model'!$D$16:$D$25,K787)))&gt;0,'Scoring Model'!$B$18,0)</f>
        <v>0</v>
      </c>
      <c r="AC787" s="3" t="n">
        <f aca="false">IF(SUMPRODUCT(--ISNUMBER(SEARCH('Scoring Model'!$G$16:$G$23,K787)))&gt;0,'Scoring Model'!$B$19,0)</f>
        <v>-30</v>
      </c>
      <c r="AD787" s="3" t="n">
        <f aca="false">IF(W787="Likely Spam","",SUM(X787:AC787))</f>
        <v>13</v>
      </c>
      <c r="AE787" s="3" t="str">
        <f aca="false">IF(W787="Likely Spam","Spam",IF(AD787&gt;='Scoring Model'!$B$21,"Hot",IF(AD787&gt;='Scoring Model'!$B$22,"Warm","Nurture")))</f>
        <v>Nurture</v>
      </c>
      <c r="AF787" s="3" t="str">
        <f aca="false">IF(W787="Likely Spam","Flagged by spam rules",TRIM(IF(X787&gt;=20,"Strong source. ","")&amp;IF(Y787&gt;0,"Company email. ","")&amp;IF(Z787&gt;=15,"High-value product. ","")&amp;IF(AA787&gt;='Scoring Model'!$B$15,"High engagement. ","")&amp;IF(AB787&gt;0,"Buying intent in message. ","")&amp;IF(AC787&lt;0,"Negative intent in message. ","")))</f>
        <v>Strong source. Negative intent in message.</v>
      </c>
      <c r="AG787" s="11" t="n">
        <f aca="false">IF(W787="Likely Spam","",1/(1+EXP(-('Conversion Model'!$B$5+IFERROR(INDEX('Conversion Model'!$B$8:$B$14,MATCH(C787,'Conversion Model'!$A$8:$A$14,0)),0)+IFERROR(INDEX('Conversion Model'!$E$8:$E$9,MATCH(F787,'Conversion Model'!$D$8:$D$9,0)),0)+IFERROR(INDEX('Conversion Model'!$H$8:$H$12,MATCH(IF(LEFT(J787,8)="Payments","Payments",IF(LEFT(J787,7)="Lending","Lending",J787)),'Conversion Model'!$G$8:$G$12,0)),0)+MIN(L787,15)*'Conversion Model'!$B$17+IF(SUMPRODUCT(--ISNUMBER(SEARCH('Scoring Model'!$D$16:$D$25,K787)))&gt;0,'Conversion Model'!$B$18,0)+IF(SUMPRODUCT(--ISNUMBER(SEARCH('Scoring Model'!$G$16:$G$23,K787)))&gt;0,'Conversion Model'!$B$19,0)))))</f>
        <v>0.0453038977701406</v>
      </c>
      <c r="AH787" s="3" t="n">
        <f aca="false">IF(OR(O787="Qualified",O787="Won",O787="Lost"),1,IF(O787="Unqualified",0,""))</f>
        <v>0</v>
      </c>
    </row>
    <row r="788" customFormat="false" ht="15" hidden="false" customHeight="true" outlineLevel="0" collapsed="false">
      <c r="A788" s="3" t="s">
        <v>2537</v>
      </c>
      <c r="B788" s="9" t="n">
        <v>46285.2361111111</v>
      </c>
      <c r="C788" s="3" t="s">
        <v>76</v>
      </c>
      <c r="D788" s="3" t="s">
        <v>2500</v>
      </c>
      <c r="E788" s="3" t="s">
        <v>2538</v>
      </c>
      <c r="F788" s="3" t="s">
        <v>22</v>
      </c>
      <c r="G788" s="3" t="s">
        <v>100</v>
      </c>
      <c r="H788" s="3" t="s">
        <v>2224</v>
      </c>
      <c r="I788" s="3" t="s">
        <v>204</v>
      </c>
      <c r="J788" s="3" t="s">
        <v>122</v>
      </c>
      <c r="K788" s="3" t="s">
        <v>74</v>
      </c>
      <c r="L788" s="3" t="n">
        <v>3</v>
      </c>
      <c r="M788" s="3" t="n">
        <v>10.7</v>
      </c>
      <c r="N788" s="3" t="s">
        <v>59</v>
      </c>
      <c r="O788" s="3" t="s">
        <v>194</v>
      </c>
      <c r="P788" s="10"/>
      <c r="Q788" s="3" t="n">
        <f aca="false">IF(F788="Disposable",1,0)</f>
        <v>0</v>
      </c>
      <c r="R788" s="3" t="n">
        <f aca="false">IF(SUMPRODUCT(--ISNUMBER(SEARCH('Spam Rules'!$A$22:$A$35,K788)))&gt;0,1,0)</f>
        <v>0</v>
      </c>
      <c r="S788" s="3" t="n">
        <f aca="false">IF(AND(F788="Free",G788=""),1,0)</f>
        <v>0</v>
      </c>
      <c r="T788" s="3" t="n">
        <f aca="false">IF(LEN(TRIM(K788))&lt;15,1,0)</f>
        <v>0</v>
      </c>
      <c r="U788" s="3" t="n">
        <f aca="false">IF(COUNTIF($E$2:$E$801,E788)&gt;1,1,0)</f>
        <v>0</v>
      </c>
      <c r="V788" s="3" t="n">
        <f aca="false">Q788*'Spam Rules'!$H$6+R788*'Spam Rules'!$H$7+S788*'Spam Rules'!$H$8+T788*'Spam Rules'!$H$9+U788*'Spam Rules'!$H$10</f>
        <v>0</v>
      </c>
      <c r="W788" s="3" t="str">
        <f aca="false">IF(V788&gt;='Spam Rules'!$B$3,"Likely Spam","Genuine")</f>
        <v>Genuine</v>
      </c>
      <c r="X788" s="3" t="n">
        <f aca="false">IFERROR(INDEX('Scoring Model'!$B$5:$B$11,MATCH(C788,'Scoring Model'!$A$5:$A$11,0)),0)</f>
        <v>0</v>
      </c>
      <c r="Y788" s="3" t="n">
        <f aca="false">IFERROR(INDEX('Scoring Model'!$E$5:$E$7,MATCH(F788,'Scoring Model'!$D$5:$D$7,0)),0)</f>
        <v>20</v>
      </c>
      <c r="Z788" s="3" t="n">
        <f aca="false">IFERROR(INDEX('Scoring Model'!$H$5:$H$13,MATCH(J788,'Scoring Model'!$G$5:$G$13,0)),0)</f>
        <v>15</v>
      </c>
      <c r="AA788" s="3" t="n">
        <f aca="false">IF(L788&gt;='Scoring Model'!$B$14,'Scoring Model'!$B$15,IF(L788&gt;='Scoring Model'!$B$16,'Scoring Model'!$B$17,0))</f>
        <v>0</v>
      </c>
      <c r="AB788" s="3" t="n">
        <f aca="false">IF(SUMPRODUCT(--ISNUMBER(SEARCH('Scoring Model'!$D$16:$D$25,K788)))&gt;0,'Scoring Model'!$B$18,0)</f>
        <v>0</v>
      </c>
      <c r="AC788" s="3" t="n">
        <f aca="false">IF(SUMPRODUCT(--ISNUMBER(SEARCH('Scoring Model'!$G$16:$G$23,K788)))&gt;0,'Scoring Model'!$B$19,0)</f>
        <v>-30</v>
      </c>
      <c r="AD788" s="3" t="n">
        <f aca="false">IF(W788="Likely Spam","",SUM(X788:AC788))</f>
        <v>5</v>
      </c>
      <c r="AE788" s="3" t="str">
        <f aca="false">IF(W788="Likely Spam","Spam",IF(AD788&gt;='Scoring Model'!$B$21,"Hot",IF(AD788&gt;='Scoring Model'!$B$22,"Warm","Nurture")))</f>
        <v>Nurture</v>
      </c>
      <c r="AF788" s="3" t="str">
        <f aca="false">IF(W788="Likely Spam","Flagged by spam rules",TRIM(IF(X788&gt;=20,"Strong source. ","")&amp;IF(Y788&gt;0,"Company email. ","")&amp;IF(Z788&gt;=15,"High-value product. ","")&amp;IF(AA788&gt;='Scoring Model'!$B$15,"High engagement. ","")&amp;IF(AB788&gt;0,"Buying intent in message. ","")&amp;IF(AC788&lt;0,"Negative intent in message. ","")))</f>
        <v>Company email. High-value product. Negative intent in message.</v>
      </c>
      <c r="AG788" s="11" t="n">
        <f aca="false">IF(W788="Likely Spam","",1/(1+EXP(-('Conversion Model'!$B$5+IFERROR(INDEX('Conversion Model'!$B$8:$B$14,MATCH(C788,'Conversion Model'!$A$8:$A$14,0)),0)+IFERROR(INDEX('Conversion Model'!$E$8:$E$9,MATCH(F788,'Conversion Model'!$D$8:$D$9,0)),0)+IFERROR(INDEX('Conversion Model'!$H$8:$H$12,MATCH(IF(LEFT(J788,8)="Payments","Payments",IF(LEFT(J788,7)="Lending","Lending",J788)),'Conversion Model'!$G$8:$G$12,0)),0)+MIN(L788,15)*'Conversion Model'!$B$17+IF(SUMPRODUCT(--ISNUMBER(SEARCH('Scoring Model'!$D$16:$D$25,K788)))&gt;0,'Conversion Model'!$B$18,0)+IF(SUMPRODUCT(--ISNUMBER(SEARCH('Scoring Model'!$G$16:$G$23,K788)))&gt;0,'Conversion Model'!$B$19,0)))))</f>
        <v>0.00957479714322357</v>
      </c>
      <c r="AH788" s="3" t="n">
        <f aca="false">IF(OR(O788="Qualified",O788="Won",O788="Lost"),1,IF(O788="Unqualified",0,""))</f>
        <v>0</v>
      </c>
    </row>
    <row r="789" customFormat="false" ht="15" hidden="false" customHeight="true" outlineLevel="0" collapsed="false">
      <c r="A789" s="3" t="s">
        <v>2539</v>
      </c>
      <c r="B789" s="9" t="n">
        <v>46285.5180555556</v>
      </c>
      <c r="C789" s="3" t="s">
        <v>160</v>
      </c>
      <c r="D789" s="3" t="s">
        <v>1719</v>
      </c>
      <c r="E789" s="3" t="s">
        <v>121</v>
      </c>
      <c r="F789" s="3" t="s">
        <v>54</v>
      </c>
      <c r="G789" s="3" t="s">
        <v>79</v>
      </c>
      <c r="H789" s="3"/>
      <c r="I789" s="3" t="s">
        <v>88</v>
      </c>
      <c r="J789" s="3" t="s">
        <v>65</v>
      </c>
      <c r="K789" s="3" t="s">
        <v>657</v>
      </c>
      <c r="L789" s="3" t="n">
        <v>2</v>
      </c>
      <c r="M789" s="3" t="n">
        <v>12.3</v>
      </c>
      <c r="N789" s="3" t="s">
        <v>171</v>
      </c>
      <c r="O789" s="3"/>
      <c r="P789" s="10"/>
      <c r="Q789" s="3" t="n">
        <f aca="false">IF(F789="Disposable",1,0)</f>
        <v>0</v>
      </c>
      <c r="R789" s="3" t="n">
        <f aca="false">IF(SUMPRODUCT(--ISNUMBER(SEARCH('Spam Rules'!$A$22:$A$35,K789)))&gt;0,1,0)</f>
        <v>1</v>
      </c>
      <c r="S789" s="3" t="n">
        <f aca="false">IF(AND(F789="Free",G789=""),1,0)</f>
        <v>0</v>
      </c>
      <c r="T789" s="3" t="n">
        <f aca="false">IF(LEN(TRIM(K789))&lt;15,1,0)</f>
        <v>0</v>
      </c>
      <c r="U789" s="3" t="n">
        <f aca="false">IF(COUNTIF($E$2:$E$801,E789)&gt;1,1,0)</f>
        <v>1</v>
      </c>
      <c r="V789" s="3" t="n">
        <f aca="false">Q789*'Spam Rules'!$H$6+R789*'Spam Rules'!$H$7+S789*'Spam Rules'!$H$8+T789*'Spam Rules'!$H$9+U789*'Spam Rules'!$H$10</f>
        <v>1</v>
      </c>
      <c r="W789" s="3" t="str">
        <f aca="false">IF(V789&gt;='Spam Rules'!$B$3,"Likely Spam","Genuine")</f>
        <v>Likely Spam</v>
      </c>
      <c r="X789" s="3" t="n">
        <f aca="false">IFERROR(INDEX('Scoring Model'!$B$5:$B$11,MATCH(C789,'Scoring Model'!$A$5:$A$11,0)),0)</f>
        <v>25</v>
      </c>
      <c r="Y789" s="3" t="n">
        <f aca="false">IFERROR(INDEX('Scoring Model'!$E$5:$E$7,MATCH(F789,'Scoring Model'!$D$5:$D$7,0)),0)</f>
        <v>0</v>
      </c>
      <c r="Z789" s="3" t="n">
        <f aca="false">IFERROR(INDEX('Scoring Model'!$H$5:$H$13,MATCH(J789,'Scoring Model'!$G$5:$G$13,0)),0)</f>
        <v>0</v>
      </c>
      <c r="AA789" s="3" t="n">
        <f aca="false">IF(L789&gt;='Scoring Model'!$B$14,'Scoring Model'!$B$15,IF(L789&gt;='Scoring Model'!$B$16,'Scoring Model'!$B$17,0))</f>
        <v>0</v>
      </c>
      <c r="AB789" s="3" t="n">
        <f aca="false">IF(SUMPRODUCT(--ISNUMBER(SEARCH('Scoring Model'!$D$16:$D$25,K789)))&gt;0,'Scoring Model'!$B$18,0)</f>
        <v>0</v>
      </c>
      <c r="AC789" s="3" t="n">
        <f aca="false">IF(SUMPRODUCT(--ISNUMBER(SEARCH('Scoring Model'!$G$16:$G$23,K789)))&gt;0,'Scoring Model'!$B$19,0)</f>
        <v>0</v>
      </c>
      <c r="AD789" s="3" t="str">
        <f aca="false">IF(W789="Likely Spam","",SUM(X789:AC789))</f>
        <v/>
      </c>
      <c r="AE789" s="3" t="str">
        <f aca="false">IF(W789="Likely Spam","Spam",IF(AD789&gt;='Scoring Model'!$B$21,"Hot",IF(AD789&gt;='Scoring Model'!$B$22,"Warm","Nurture")))</f>
        <v>Spam</v>
      </c>
      <c r="AF789" s="3" t="str">
        <f aca="false">IF(W789="Likely Spam","Flagged by spam rules",TRIM(IF(X789&gt;=20,"Strong source. ","")&amp;IF(Y789&gt;0,"Company email. ","")&amp;IF(Z789&gt;=15,"High-value product. ","")&amp;IF(AA789&gt;='Scoring Model'!$B$15,"High engagement. ","")&amp;IF(AB789&gt;0,"Buying intent in message. ","")&amp;IF(AC789&lt;0,"Negative intent in message. ","")))</f>
        <v>Flagged by spam rules</v>
      </c>
      <c r="AG789" s="11" t="str">
        <f aca="false">IF(W789="Likely Spam","",1/(1+EXP(-('Conversion Model'!$B$5+IFERROR(INDEX('Conversion Model'!$B$8:$B$14,MATCH(C789,'Conversion Model'!$A$8:$A$14,0)),0)+IFERROR(INDEX('Conversion Model'!$E$8:$E$9,MATCH(F789,'Conversion Model'!$D$8:$D$9,0)),0)+IFERROR(INDEX('Conversion Model'!$H$8:$H$12,MATCH(IF(LEFT(J789,8)="Payments","Payments",IF(LEFT(J789,7)="Lending","Lending",J789)),'Conversion Model'!$G$8:$G$12,0)),0)+MIN(L789,15)*'Conversion Model'!$B$17+IF(SUMPRODUCT(--ISNUMBER(SEARCH('Scoring Model'!$D$16:$D$25,K789)))&gt;0,'Conversion Model'!$B$18,0)+IF(SUMPRODUCT(--ISNUMBER(SEARCH('Scoring Model'!$G$16:$G$23,K789)))&gt;0,'Conversion Model'!$B$19,0)))))</f>
        <v/>
      </c>
      <c r="AH789" s="3" t="str">
        <f aca="false">IF(OR(O789="Qualified",O789="Won",O789="Lost"),1,IF(O789="Unqualified",0,""))</f>
        <v/>
      </c>
    </row>
    <row r="790" customFormat="false" ht="15" hidden="false" customHeight="true" outlineLevel="0" collapsed="false">
      <c r="A790" s="3" t="s">
        <v>2540</v>
      </c>
      <c r="B790" s="9" t="n">
        <v>46285.5333333333</v>
      </c>
      <c r="C790" s="3" t="s">
        <v>91</v>
      </c>
      <c r="D790" s="3" t="s">
        <v>77</v>
      </c>
      <c r="E790" s="3" t="s">
        <v>2541</v>
      </c>
      <c r="F790" s="3" t="s">
        <v>54</v>
      </c>
      <c r="G790" s="3"/>
      <c r="H790" s="3"/>
      <c r="I790" s="3" t="s">
        <v>260</v>
      </c>
      <c r="J790" s="3" t="s">
        <v>122</v>
      </c>
      <c r="K790" s="3" t="s">
        <v>193</v>
      </c>
      <c r="L790" s="3" t="n">
        <v>1</v>
      </c>
      <c r="M790" s="3" t="n">
        <v>1.7</v>
      </c>
      <c r="N790" s="3" t="s">
        <v>96</v>
      </c>
      <c r="O790" s="3" t="s">
        <v>194</v>
      </c>
      <c r="P790" s="10"/>
      <c r="Q790" s="3" t="n">
        <f aca="false">IF(F790="Disposable",1,0)</f>
        <v>0</v>
      </c>
      <c r="R790" s="3" t="n">
        <f aca="false">IF(SUMPRODUCT(--ISNUMBER(SEARCH('Spam Rules'!$A$22:$A$35,K790)))&gt;0,1,0)</f>
        <v>0</v>
      </c>
      <c r="S790" s="3" t="n">
        <f aca="false">IF(AND(F790="Free",G790=""),1,0)</f>
        <v>1</v>
      </c>
      <c r="T790" s="3" t="n">
        <f aca="false">IF(LEN(TRIM(K790))&lt;15,1,0)</f>
        <v>0</v>
      </c>
      <c r="U790" s="3" t="n">
        <f aca="false">IF(COUNTIF($E$2:$E$801,E790)&gt;1,1,0)</f>
        <v>0</v>
      </c>
      <c r="V790" s="3" t="n">
        <f aca="false">Q790*'Spam Rules'!$H$6+R790*'Spam Rules'!$H$7+S790*'Spam Rules'!$H$8+T790*'Spam Rules'!$H$9+U790*'Spam Rules'!$H$10</f>
        <v>0</v>
      </c>
      <c r="W790" s="3" t="str">
        <f aca="false">IF(V790&gt;='Spam Rules'!$B$3,"Likely Spam","Genuine")</f>
        <v>Genuine</v>
      </c>
      <c r="X790" s="3" t="n">
        <f aca="false">IFERROR(INDEX('Scoring Model'!$B$5:$B$11,MATCH(C790,'Scoring Model'!$A$5:$A$11,0)),0)</f>
        <v>5</v>
      </c>
      <c r="Y790" s="3" t="n">
        <f aca="false">IFERROR(INDEX('Scoring Model'!$E$5:$E$7,MATCH(F790,'Scoring Model'!$D$5:$D$7,0)),0)</f>
        <v>0</v>
      </c>
      <c r="Z790" s="3" t="n">
        <f aca="false">IFERROR(INDEX('Scoring Model'!$H$5:$H$13,MATCH(J790,'Scoring Model'!$G$5:$G$13,0)),0)</f>
        <v>15</v>
      </c>
      <c r="AA790" s="3" t="n">
        <f aca="false">IF(L790&gt;='Scoring Model'!$B$14,'Scoring Model'!$B$15,IF(L790&gt;='Scoring Model'!$B$16,'Scoring Model'!$B$17,0))</f>
        <v>0</v>
      </c>
      <c r="AB790" s="3" t="n">
        <f aca="false">IF(SUMPRODUCT(--ISNUMBER(SEARCH('Scoring Model'!$D$16:$D$25,K790)))&gt;0,'Scoring Model'!$B$18,0)</f>
        <v>0</v>
      </c>
      <c r="AC790" s="3" t="n">
        <f aca="false">IF(SUMPRODUCT(--ISNUMBER(SEARCH('Scoring Model'!$G$16:$G$23,K790)))&gt;0,'Scoring Model'!$B$19,0)</f>
        <v>-30</v>
      </c>
      <c r="AD790" s="3" t="n">
        <f aca="false">IF(W790="Likely Spam","",SUM(X790:AC790))</f>
        <v>-10</v>
      </c>
      <c r="AE790" s="3" t="str">
        <f aca="false">IF(W790="Likely Spam","Spam",IF(AD790&gt;='Scoring Model'!$B$21,"Hot",IF(AD790&gt;='Scoring Model'!$B$22,"Warm","Nurture")))</f>
        <v>Nurture</v>
      </c>
      <c r="AF790" s="3" t="str">
        <f aca="false">IF(W790="Likely Spam","Flagged by spam rules",TRIM(IF(X790&gt;=20,"Strong source. ","")&amp;IF(Y790&gt;0,"Company email. ","")&amp;IF(Z790&gt;=15,"High-value product. ","")&amp;IF(AA790&gt;='Scoring Model'!$B$15,"High engagement. ","")&amp;IF(AB790&gt;0,"Buying intent in message. ","")&amp;IF(AC790&lt;0,"Negative intent in message. ","")))</f>
        <v>High-value product. Negative intent in message.</v>
      </c>
      <c r="AG790" s="11" t="n">
        <f aca="false">IF(W790="Likely Spam","",1/(1+EXP(-('Conversion Model'!$B$5+IFERROR(INDEX('Conversion Model'!$B$8:$B$14,MATCH(C790,'Conversion Model'!$A$8:$A$14,0)),0)+IFERROR(INDEX('Conversion Model'!$E$8:$E$9,MATCH(F790,'Conversion Model'!$D$8:$D$9,0)),0)+IFERROR(INDEX('Conversion Model'!$H$8:$H$12,MATCH(IF(LEFT(J790,8)="Payments","Payments",IF(LEFT(J790,7)="Lending","Lending",J790)),'Conversion Model'!$G$8:$G$12,0)),0)+MIN(L790,15)*'Conversion Model'!$B$17+IF(SUMPRODUCT(--ISNUMBER(SEARCH('Scoring Model'!$D$16:$D$25,K790)))&gt;0,'Conversion Model'!$B$18,0)+IF(SUMPRODUCT(--ISNUMBER(SEARCH('Scoring Model'!$G$16:$G$23,K790)))&gt;0,'Conversion Model'!$B$19,0)))))</f>
        <v>0.000804085935629235</v>
      </c>
      <c r="AH790" s="3" t="n">
        <f aca="false">IF(OR(O790="Qualified",O790="Won",O790="Lost"),1,IF(O790="Unqualified",0,""))</f>
        <v>0</v>
      </c>
    </row>
    <row r="791" customFormat="false" ht="15" hidden="false" customHeight="true" outlineLevel="0" collapsed="false">
      <c r="A791" s="3" t="s">
        <v>2542</v>
      </c>
      <c r="B791" s="9" t="n">
        <v>46285.5826388889</v>
      </c>
      <c r="C791" s="3" t="s">
        <v>51</v>
      </c>
      <c r="D791" s="3" t="s">
        <v>1888</v>
      </c>
      <c r="E791" s="3" t="s">
        <v>2543</v>
      </c>
      <c r="F791" s="3" t="s">
        <v>63</v>
      </c>
      <c r="G791" s="3"/>
      <c r="H791" s="3"/>
      <c r="I791" s="3" t="s">
        <v>94</v>
      </c>
      <c r="J791" s="3" t="s">
        <v>81</v>
      </c>
      <c r="K791" s="3" t="s">
        <v>126</v>
      </c>
      <c r="L791" s="3" t="n">
        <v>2</v>
      </c>
      <c r="M791" s="3" t="n">
        <v>25.2</v>
      </c>
      <c r="N791" s="3" t="s">
        <v>96</v>
      </c>
      <c r="O791" s="3" t="s">
        <v>68</v>
      </c>
      <c r="P791" s="10"/>
      <c r="Q791" s="3" t="n">
        <f aca="false">IF(F791="Disposable",1,0)</f>
        <v>1</v>
      </c>
      <c r="R791" s="3" t="n">
        <f aca="false">IF(SUMPRODUCT(--ISNUMBER(SEARCH('Spam Rules'!$A$22:$A$35,K791)))&gt;0,1,0)</f>
        <v>0</v>
      </c>
      <c r="S791" s="3" t="n">
        <f aca="false">IF(AND(F791="Free",G791=""),1,0)</f>
        <v>0</v>
      </c>
      <c r="T791" s="3" t="n">
        <f aca="false">IF(LEN(TRIM(K791))&lt;15,1,0)</f>
        <v>1</v>
      </c>
      <c r="U791" s="3" t="n">
        <f aca="false">IF(COUNTIF($E$2:$E$801,E791)&gt;1,1,0)</f>
        <v>0</v>
      </c>
      <c r="V791" s="3" t="n">
        <f aca="false">Q791*'Spam Rules'!$H$6+R791*'Spam Rules'!$H$7+S791*'Spam Rules'!$H$8+T791*'Spam Rules'!$H$9+U791*'Spam Rules'!$H$10</f>
        <v>2</v>
      </c>
      <c r="W791" s="3" t="str">
        <f aca="false">IF(V791&gt;='Spam Rules'!$B$3,"Likely Spam","Genuine")</f>
        <v>Likely Spam</v>
      </c>
      <c r="X791" s="3" t="n">
        <f aca="false">IFERROR(INDEX('Scoring Model'!$B$5:$B$11,MATCH(C791,'Scoring Model'!$A$5:$A$11,0)),0)</f>
        <v>10</v>
      </c>
      <c r="Y791" s="3" t="n">
        <f aca="false">IFERROR(INDEX('Scoring Model'!$E$5:$E$7,MATCH(F791,'Scoring Model'!$D$5:$D$7,0)),0)</f>
        <v>0</v>
      </c>
      <c r="Z791" s="3" t="n">
        <f aca="false">IFERROR(INDEX('Scoring Model'!$H$5:$H$13,MATCH(J791,'Scoring Model'!$G$5:$G$13,0)),0)</f>
        <v>5</v>
      </c>
      <c r="AA791" s="3" t="n">
        <f aca="false">IF(L791&gt;='Scoring Model'!$B$14,'Scoring Model'!$B$15,IF(L791&gt;='Scoring Model'!$B$16,'Scoring Model'!$B$17,0))</f>
        <v>0</v>
      </c>
      <c r="AB791" s="3" t="n">
        <f aca="false">IF(SUMPRODUCT(--ISNUMBER(SEARCH('Scoring Model'!$D$16:$D$25,K791)))&gt;0,'Scoring Model'!$B$18,0)</f>
        <v>0</v>
      </c>
      <c r="AC791" s="3" t="n">
        <f aca="false">IF(SUMPRODUCT(--ISNUMBER(SEARCH('Scoring Model'!$G$16:$G$23,K791)))&gt;0,'Scoring Model'!$B$19,0)</f>
        <v>0</v>
      </c>
      <c r="AD791" s="3" t="str">
        <f aca="false">IF(W791="Likely Spam","",SUM(X791:AC791))</f>
        <v/>
      </c>
      <c r="AE791" s="3" t="str">
        <f aca="false">IF(W791="Likely Spam","Spam",IF(AD791&gt;='Scoring Model'!$B$21,"Hot",IF(AD791&gt;='Scoring Model'!$B$22,"Warm","Nurture")))</f>
        <v>Spam</v>
      </c>
      <c r="AF791" s="3" t="str">
        <f aca="false">IF(W791="Likely Spam","Flagged by spam rules",TRIM(IF(X791&gt;=20,"Strong source. ","")&amp;IF(Y791&gt;0,"Company email. ","")&amp;IF(Z791&gt;=15,"High-value product. ","")&amp;IF(AA791&gt;='Scoring Model'!$B$15,"High engagement. ","")&amp;IF(AB791&gt;0,"Buying intent in message. ","")&amp;IF(AC791&lt;0,"Negative intent in message. ","")))</f>
        <v>Flagged by spam rules</v>
      </c>
      <c r="AG791" s="11" t="str">
        <f aca="false">IF(W791="Likely Spam","",1/(1+EXP(-('Conversion Model'!$B$5+IFERROR(INDEX('Conversion Model'!$B$8:$B$14,MATCH(C791,'Conversion Model'!$A$8:$A$14,0)),0)+IFERROR(INDEX('Conversion Model'!$E$8:$E$9,MATCH(F791,'Conversion Model'!$D$8:$D$9,0)),0)+IFERROR(INDEX('Conversion Model'!$H$8:$H$12,MATCH(IF(LEFT(J791,8)="Payments","Payments",IF(LEFT(J791,7)="Lending","Lending",J791)),'Conversion Model'!$G$8:$G$12,0)),0)+MIN(L791,15)*'Conversion Model'!$B$17+IF(SUMPRODUCT(--ISNUMBER(SEARCH('Scoring Model'!$D$16:$D$25,K791)))&gt;0,'Conversion Model'!$B$18,0)+IF(SUMPRODUCT(--ISNUMBER(SEARCH('Scoring Model'!$G$16:$G$23,K791)))&gt;0,'Conversion Model'!$B$19,0)))))</f>
        <v/>
      </c>
      <c r="AH791" s="3" t="str">
        <f aca="false">IF(OR(O791="Qualified",O791="Won",O791="Lost"),1,IF(O791="Unqualified",0,""))</f>
        <v/>
      </c>
    </row>
    <row r="792" customFormat="false" ht="15" hidden="false" customHeight="true" outlineLevel="0" collapsed="false">
      <c r="A792" s="3" t="s">
        <v>2544</v>
      </c>
      <c r="B792" s="9" t="n">
        <v>46285.8625</v>
      </c>
      <c r="C792" s="3" t="s">
        <v>135</v>
      </c>
      <c r="D792" s="3" t="s">
        <v>351</v>
      </c>
      <c r="E792" s="3" t="s">
        <v>2545</v>
      </c>
      <c r="F792" s="3" t="s">
        <v>54</v>
      </c>
      <c r="G792" s="3"/>
      <c r="H792" s="3"/>
      <c r="I792" s="3" t="s">
        <v>204</v>
      </c>
      <c r="J792" s="3" t="s">
        <v>65</v>
      </c>
      <c r="K792" s="3" t="s">
        <v>213</v>
      </c>
      <c r="L792" s="3" t="n">
        <v>1</v>
      </c>
      <c r="M792" s="3" t="n">
        <v>26.3</v>
      </c>
      <c r="N792" s="3" t="s">
        <v>171</v>
      </c>
      <c r="O792" s="3" t="s">
        <v>194</v>
      </c>
      <c r="P792" s="10"/>
      <c r="Q792" s="3" t="n">
        <f aca="false">IF(F792="Disposable",1,0)</f>
        <v>0</v>
      </c>
      <c r="R792" s="3" t="n">
        <f aca="false">IF(SUMPRODUCT(--ISNUMBER(SEARCH('Spam Rules'!$A$22:$A$35,K792)))&gt;0,1,0)</f>
        <v>0</v>
      </c>
      <c r="S792" s="3" t="n">
        <f aca="false">IF(AND(F792="Free",G792=""),1,0)</f>
        <v>1</v>
      </c>
      <c r="T792" s="3" t="n">
        <f aca="false">IF(LEN(TRIM(K792))&lt;15,1,0)</f>
        <v>0</v>
      </c>
      <c r="U792" s="3" t="n">
        <f aca="false">IF(COUNTIF($E$2:$E$801,E792)&gt;1,1,0)</f>
        <v>0</v>
      </c>
      <c r="V792" s="3" t="n">
        <f aca="false">Q792*'Spam Rules'!$H$6+R792*'Spam Rules'!$H$7+S792*'Spam Rules'!$H$8+T792*'Spam Rules'!$H$9+U792*'Spam Rules'!$H$10</f>
        <v>0</v>
      </c>
      <c r="W792" s="3" t="str">
        <f aca="false">IF(V792&gt;='Spam Rules'!$B$3,"Likely Spam","Genuine")</f>
        <v>Genuine</v>
      </c>
      <c r="X792" s="3" t="n">
        <f aca="false">IFERROR(INDEX('Scoring Model'!$B$5:$B$11,MATCH(C792,'Scoring Model'!$A$5:$A$11,0)),0)</f>
        <v>20</v>
      </c>
      <c r="Y792" s="3" t="n">
        <f aca="false">IFERROR(INDEX('Scoring Model'!$E$5:$E$7,MATCH(F792,'Scoring Model'!$D$5:$D$7,0)),0)</f>
        <v>0</v>
      </c>
      <c r="Z792" s="3" t="n">
        <f aca="false">IFERROR(INDEX('Scoring Model'!$H$5:$H$13,MATCH(J792,'Scoring Model'!$G$5:$G$13,0)),0)</f>
        <v>0</v>
      </c>
      <c r="AA792" s="3" t="n">
        <f aca="false">IF(L792&gt;='Scoring Model'!$B$14,'Scoring Model'!$B$15,IF(L792&gt;='Scoring Model'!$B$16,'Scoring Model'!$B$17,0))</f>
        <v>0</v>
      </c>
      <c r="AB792" s="3" t="n">
        <f aca="false">IF(SUMPRODUCT(--ISNUMBER(SEARCH('Scoring Model'!$D$16:$D$25,K792)))&gt;0,'Scoring Model'!$B$18,0)</f>
        <v>0</v>
      </c>
      <c r="AC792" s="3" t="n">
        <f aca="false">IF(SUMPRODUCT(--ISNUMBER(SEARCH('Scoring Model'!$G$16:$G$23,K792)))&gt;0,'Scoring Model'!$B$19,0)</f>
        <v>-30</v>
      </c>
      <c r="AD792" s="3" t="n">
        <f aca="false">IF(W792="Likely Spam","",SUM(X792:AC792))</f>
        <v>-10</v>
      </c>
      <c r="AE792" s="3" t="str">
        <f aca="false">IF(W792="Likely Spam","Spam",IF(AD792&gt;='Scoring Model'!$B$21,"Hot",IF(AD792&gt;='Scoring Model'!$B$22,"Warm","Nurture")))</f>
        <v>Nurture</v>
      </c>
      <c r="AF792" s="3" t="str">
        <f aca="false">IF(W792="Likely Spam","Flagged by spam rules",TRIM(IF(X792&gt;=20,"Strong source. ","")&amp;IF(Y792&gt;0,"Company email. ","")&amp;IF(Z792&gt;=15,"High-value product. ","")&amp;IF(AA792&gt;='Scoring Model'!$B$15,"High engagement. ","")&amp;IF(AB792&gt;0,"Buying intent in message. ","")&amp;IF(AC792&lt;0,"Negative intent in message. ","")))</f>
        <v>Strong source. Negative intent in message.</v>
      </c>
      <c r="AG792" s="11" t="n">
        <f aca="false">IF(W792="Likely Spam","",1/(1+EXP(-('Conversion Model'!$B$5+IFERROR(INDEX('Conversion Model'!$B$8:$B$14,MATCH(C792,'Conversion Model'!$A$8:$A$14,0)),0)+IFERROR(INDEX('Conversion Model'!$E$8:$E$9,MATCH(F792,'Conversion Model'!$D$8:$D$9,0)),0)+IFERROR(INDEX('Conversion Model'!$H$8:$H$12,MATCH(IF(LEFT(J792,8)="Payments","Payments",IF(LEFT(J792,7)="Lending","Lending",J792)),'Conversion Model'!$G$8:$G$12,0)),0)+MIN(L792,15)*'Conversion Model'!$B$17+IF(SUMPRODUCT(--ISNUMBER(SEARCH('Scoring Model'!$D$16:$D$25,K792)))&gt;0,'Conversion Model'!$B$18,0)+IF(SUMPRODUCT(--ISNUMBER(SEARCH('Scoring Model'!$G$16:$G$23,K792)))&gt;0,'Conversion Model'!$B$19,0)))))</f>
        <v>0.00222449141000268</v>
      </c>
      <c r="AH792" s="3" t="n">
        <f aca="false">IF(OR(O792="Qualified",O792="Won",O792="Lost"),1,IF(O792="Unqualified",0,""))</f>
        <v>0</v>
      </c>
    </row>
    <row r="793" customFormat="false" ht="15" hidden="false" customHeight="true" outlineLevel="0" collapsed="false">
      <c r="A793" s="3" t="s">
        <v>2546</v>
      </c>
      <c r="B793" s="9" t="n">
        <v>46286.1340277778</v>
      </c>
      <c r="C793" s="3" t="s">
        <v>51</v>
      </c>
      <c r="D793" s="3" t="s">
        <v>2019</v>
      </c>
      <c r="E793" s="3" t="s">
        <v>2547</v>
      </c>
      <c r="F793" s="3" t="s">
        <v>54</v>
      </c>
      <c r="G793" s="3"/>
      <c r="H793" s="3"/>
      <c r="I793" s="3" t="s">
        <v>94</v>
      </c>
      <c r="J793" s="3" t="s">
        <v>65</v>
      </c>
      <c r="K793" s="3" t="s">
        <v>95</v>
      </c>
      <c r="L793" s="3" t="n">
        <v>2</v>
      </c>
      <c r="M793" s="3" t="n">
        <v>57.2</v>
      </c>
      <c r="N793" s="3" t="s">
        <v>67</v>
      </c>
      <c r="O793" s="3" t="s">
        <v>68</v>
      </c>
      <c r="P793" s="10"/>
      <c r="Q793" s="3" t="n">
        <f aca="false">IF(F793="Disposable",1,0)</f>
        <v>0</v>
      </c>
      <c r="R793" s="3" t="n">
        <f aca="false">IF(SUMPRODUCT(--ISNUMBER(SEARCH('Spam Rules'!$A$22:$A$35,K793)))&gt;0,1,0)</f>
        <v>1</v>
      </c>
      <c r="S793" s="3" t="n">
        <f aca="false">IF(AND(F793="Free",G793=""),1,0)</f>
        <v>1</v>
      </c>
      <c r="T793" s="3" t="n">
        <f aca="false">IF(LEN(TRIM(K793))&lt;15,1,0)</f>
        <v>0</v>
      </c>
      <c r="U793" s="3" t="n">
        <f aca="false">IF(COUNTIF($E$2:$E$801,E793)&gt;1,1,0)</f>
        <v>0</v>
      </c>
      <c r="V793" s="3" t="n">
        <f aca="false">Q793*'Spam Rules'!$H$6+R793*'Spam Rules'!$H$7+S793*'Spam Rules'!$H$8+T793*'Spam Rules'!$H$9+U793*'Spam Rules'!$H$10</f>
        <v>1</v>
      </c>
      <c r="W793" s="3" t="str">
        <f aca="false">IF(V793&gt;='Spam Rules'!$B$3,"Likely Spam","Genuine")</f>
        <v>Likely Spam</v>
      </c>
      <c r="X793" s="3" t="n">
        <f aca="false">IFERROR(INDEX('Scoring Model'!$B$5:$B$11,MATCH(C793,'Scoring Model'!$A$5:$A$11,0)),0)</f>
        <v>10</v>
      </c>
      <c r="Y793" s="3" t="n">
        <f aca="false">IFERROR(INDEX('Scoring Model'!$E$5:$E$7,MATCH(F793,'Scoring Model'!$D$5:$D$7,0)),0)</f>
        <v>0</v>
      </c>
      <c r="Z793" s="3" t="n">
        <f aca="false">IFERROR(INDEX('Scoring Model'!$H$5:$H$13,MATCH(J793,'Scoring Model'!$G$5:$G$13,0)),0)</f>
        <v>0</v>
      </c>
      <c r="AA793" s="3" t="n">
        <f aca="false">IF(L793&gt;='Scoring Model'!$B$14,'Scoring Model'!$B$15,IF(L793&gt;='Scoring Model'!$B$16,'Scoring Model'!$B$17,0))</f>
        <v>0</v>
      </c>
      <c r="AB793" s="3" t="n">
        <f aca="false">IF(SUMPRODUCT(--ISNUMBER(SEARCH('Scoring Model'!$D$16:$D$25,K793)))&gt;0,'Scoring Model'!$B$18,0)</f>
        <v>0</v>
      </c>
      <c r="AC793" s="3" t="n">
        <f aca="false">IF(SUMPRODUCT(--ISNUMBER(SEARCH('Scoring Model'!$G$16:$G$23,K793)))&gt;0,'Scoring Model'!$B$19,0)</f>
        <v>0</v>
      </c>
      <c r="AD793" s="3" t="str">
        <f aca="false">IF(W793="Likely Spam","",SUM(X793:AC793))</f>
        <v/>
      </c>
      <c r="AE793" s="3" t="str">
        <f aca="false">IF(W793="Likely Spam","Spam",IF(AD793&gt;='Scoring Model'!$B$21,"Hot",IF(AD793&gt;='Scoring Model'!$B$22,"Warm","Nurture")))</f>
        <v>Spam</v>
      </c>
      <c r="AF793" s="3" t="str">
        <f aca="false">IF(W793="Likely Spam","Flagged by spam rules",TRIM(IF(X793&gt;=20,"Strong source. ","")&amp;IF(Y793&gt;0,"Company email. ","")&amp;IF(Z793&gt;=15,"High-value product. ","")&amp;IF(AA793&gt;='Scoring Model'!$B$15,"High engagement. ","")&amp;IF(AB793&gt;0,"Buying intent in message. ","")&amp;IF(AC793&lt;0,"Negative intent in message. ","")))</f>
        <v>Flagged by spam rules</v>
      </c>
      <c r="AG793" s="11" t="str">
        <f aca="false">IF(W793="Likely Spam","",1/(1+EXP(-('Conversion Model'!$B$5+IFERROR(INDEX('Conversion Model'!$B$8:$B$14,MATCH(C793,'Conversion Model'!$A$8:$A$14,0)),0)+IFERROR(INDEX('Conversion Model'!$E$8:$E$9,MATCH(F793,'Conversion Model'!$D$8:$D$9,0)),0)+IFERROR(INDEX('Conversion Model'!$H$8:$H$12,MATCH(IF(LEFT(J793,8)="Payments","Payments",IF(LEFT(J793,7)="Lending","Lending",J793)),'Conversion Model'!$G$8:$G$12,0)),0)+MIN(L793,15)*'Conversion Model'!$B$17+IF(SUMPRODUCT(--ISNUMBER(SEARCH('Scoring Model'!$D$16:$D$25,K793)))&gt;0,'Conversion Model'!$B$18,0)+IF(SUMPRODUCT(--ISNUMBER(SEARCH('Scoring Model'!$G$16:$G$23,K793)))&gt;0,'Conversion Model'!$B$19,0)))))</f>
        <v/>
      </c>
      <c r="AH793" s="3" t="str">
        <f aca="false">IF(OR(O793="Qualified",O793="Won",O793="Lost"),1,IF(O793="Unqualified",0,""))</f>
        <v/>
      </c>
    </row>
    <row r="794" customFormat="false" ht="15" hidden="false" customHeight="true" outlineLevel="0" collapsed="false">
      <c r="A794" s="3" t="s">
        <v>2548</v>
      </c>
      <c r="B794" s="9" t="n">
        <v>46286.1916666667</v>
      </c>
      <c r="C794" s="3" t="s">
        <v>51</v>
      </c>
      <c r="D794" s="3" t="s">
        <v>1566</v>
      </c>
      <c r="E794" s="3" t="s">
        <v>2549</v>
      </c>
      <c r="F794" s="3" t="s">
        <v>22</v>
      </c>
      <c r="G794" s="3" t="s">
        <v>86</v>
      </c>
      <c r="H794" s="3" t="s">
        <v>87</v>
      </c>
      <c r="I794" s="3" t="s">
        <v>260</v>
      </c>
      <c r="J794" s="3" t="s">
        <v>81</v>
      </c>
      <c r="K794" s="3" t="s">
        <v>95</v>
      </c>
      <c r="L794" s="3" t="n">
        <v>2</v>
      </c>
      <c r="M794" s="3" t="n">
        <v>17.2</v>
      </c>
      <c r="N794" s="3" t="s">
        <v>67</v>
      </c>
      <c r="O794" s="3" t="s">
        <v>68</v>
      </c>
      <c r="P794" s="10"/>
      <c r="Q794" s="3" t="n">
        <f aca="false">IF(F794="Disposable",1,0)</f>
        <v>0</v>
      </c>
      <c r="R794" s="3" t="n">
        <f aca="false">IF(SUMPRODUCT(--ISNUMBER(SEARCH('Spam Rules'!$A$22:$A$35,K794)))&gt;0,1,0)</f>
        <v>1</v>
      </c>
      <c r="S794" s="3" t="n">
        <f aca="false">IF(AND(F794="Free",G794=""),1,0)</f>
        <v>0</v>
      </c>
      <c r="T794" s="3" t="n">
        <f aca="false">IF(LEN(TRIM(K794))&lt;15,1,0)</f>
        <v>0</v>
      </c>
      <c r="U794" s="3" t="n">
        <f aca="false">IF(COUNTIF($E$2:$E$801,E794)&gt;1,1,0)</f>
        <v>0</v>
      </c>
      <c r="V794" s="3" t="n">
        <f aca="false">Q794*'Spam Rules'!$H$6+R794*'Spam Rules'!$H$7+S794*'Spam Rules'!$H$8+T794*'Spam Rules'!$H$9+U794*'Spam Rules'!$H$10</f>
        <v>1</v>
      </c>
      <c r="W794" s="3" t="str">
        <f aca="false">IF(V794&gt;='Spam Rules'!$B$3,"Likely Spam","Genuine")</f>
        <v>Likely Spam</v>
      </c>
      <c r="X794" s="3" t="n">
        <f aca="false">IFERROR(INDEX('Scoring Model'!$B$5:$B$11,MATCH(C794,'Scoring Model'!$A$5:$A$11,0)),0)</f>
        <v>10</v>
      </c>
      <c r="Y794" s="3" t="n">
        <f aca="false">IFERROR(INDEX('Scoring Model'!$E$5:$E$7,MATCH(F794,'Scoring Model'!$D$5:$D$7,0)),0)</f>
        <v>20</v>
      </c>
      <c r="Z794" s="3" t="n">
        <f aca="false">IFERROR(INDEX('Scoring Model'!$H$5:$H$13,MATCH(J794,'Scoring Model'!$G$5:$G$13,0)),0)</f>
        <v>5</v>
      </c>
      <c r="AA794" s="3" t="n">
        <f aca="false">IF(L794&gt;='Scoring Model'!$B$14,'Scoring Model'!$B$15,IF(L794&gt;='Scoring Model'!$B$16,'Scoring Model'!$B$17,0))</f>
        <v>0</v>
      </c>
      <c r="AB794" s="3" t="n">
        <f aca="false">IF(SUMPRODUCT(--ISNUMBER(SEARCH('Scoring Model'!$D$16:$D$25,K794)))&gt;0,'Scoring Model'!$B$18,0)</f>
        <v>0</v>
      </c>
      <c r="AC794" s="3" t="n">
        <f aca="false">IF(SUMPRODUCT(--ISNUMBER(SEARCH('Scoring Model'!$G$16:$G$23,K794)))&gt;0,'Scoring Model'!$B$19,0)</f>
        <v>0</v>
      </c>
      <c r="AD794" s="3" t="str">
        <f aca="false">IF(W794="Likely Spam","",SUM(X794:AC794))</f>
        <v/>
      </c>
      <c r="AE794" s="3" t="str">
        <f aca="false">IF(W794="Likely Spam","Spam",IF(AD794&gt;='Scoring Model'!$B$21,"Hot",IF(AD794&gt;='Scoring Model'!$B$22,"Warm","Nurture")))</f>
        <v>Spam</v>
      </c>
      <c r="AF794" s="3" t="str">
        <f aca="false">IF(W794="Likely Spam","Flagged by spam rules",TRIM(IF(X794&gt;=20,"Strong source. ","")&amp;IF(Y794&gt;0,"Company email. ","")&amp;IF(Z794&gt;=15,"High-value product. ","")&amp;IF(AA794&gt;='Scoring Model'!$B$15,"High engagement. ","")&amp;IF(AB794&gt;0,"Buying intent in message. ","")&amp;IF(AC794&lt;0,"Negative intent in message. ","")))</f>
        <v>Flagged by spam rules</v>
      </c>
      <c r="AG794" s="11" t="str">
        <f aca="false">IF(W794="Likely Spam","",1/(1+EXP(-('Conversion Model'!$B$5+IFERROR(INDEX('Conversion Model'!$B$8:$B$14,MATCH(C794,'Conversion Model'!$A$8:$A$14,0)),0)+IFERROR(INDEX('Conversion Model'!$E$8:$E$9,MATCH(F794,'Conversion Model'!$D$8:$D$9,0)),0)+IFERROR(INDEX('Conversion Model'!$H$8:$H$12,MATCH(IF(LEFT(J794,8)="Payments","Payments",IF(LEFT(J794,7)="Lending","Lending",J794)),'Conversion Model'!$G$8:$G$12,0)),0)+MIN(L794,15)*'Conversion Model'!$B$17+IF(SUMPRODUCT(--ISNUMBER(SEARCH('Scoring Model'!$D$16:$D$25,K794)))&gt;0,'Conversion Model'!$B$18,0)+IF(SUMPRODUCT(--ISNUMBER(SEARCH('Scoring Model'!$G$16:$G$23,K794)))&gt;0,'Conversion Model'!$B$19,0)))))</f>
        <v/>
      </c>
      <c r="AH794" s="3" t="str">
        <f aca="false">IF(OR(O794="Qualified",O794="Won",O794="Lost"),1,IF(O794="Unqualified",0,""))</f>
        <v/>
      </c>
    </row>
    <row r="795" customFormat="false" ht="15" hidden="false" customHeight="true" outlineLevel="0" collapsed="false">
      <c r="A795" s="3" t="s">
        <v>2550</v>
      </c>
      <c r="B795" s="9" t="n">
        <v>46286.2388888889</v>
      </c>
      <c r="C795" s="3" t="s">
        <v>91</v>
      </c>
      <c r="D795" s="3" t="s">
        <v>1313</v>
      </c>
      <c r="E795" s="3" t="s">
        <v>2551</v>
      </c>
      <c r="F795" s="3" t="s">
        <v>54</v>
      </c>
      <c r="G795" s="3"/>
      <c r="H795" s="3"/>
      <c r="I795" s="3" t="s">
        <v>73</v>
      </c>
      <c r="J795" s="3" t="s">
        <v>81</v>
      </c>
      <c r="K795" s="3" t="s">
        <v>193</v>
      </c>
      <c r="L795" s="3" t="n">
        <v>3</v>
      </c>
      <c r="M795" s="3" t="n">
        <v>37.8</v>
      </c>
      <c r="N795" s="3" t="s">
        <v>96</v>
      </c>
      <c r="O795" s="3" t="s">
        <v>194</v>
      </c>
      <c r="P795" s="10"/>
      <c r="Q795" s="3" t="n">
        <f aca="false">IF(F795="Disposable",1,0)</f>
        <v>0</v>
      </c>
      <c r="R795" s="3" t="n">
        <f aca="false">IF(SUMPRODUCT(--ISNUMBER(SEARCH('Spam Rules'!$A$22:$A$35,K795)))&gt;0,1,0)</f>
        <v>0</v>
      </c>
      <c r="S795" s="3" t="n">
        <f aca="false">IF(AND(F795="Free",G795=""),1,0)</f>
        <v>1</v>
      </c>
      <c r="T795" s="3" t="n">
        <f aca="false">IF(LEN(TRIM(K795))&lt;15,1,0)</f>
        <v>0</v>
      </c>
      <c r="U795" s="3" t="n">
        <f aca="false">IF(COUNTIF($E$2:$E$801,E795)&gt;1,1,0)</f>
        <v>0</v>
      </c>
      <c r="V795" s="3" t="n">
        <f aca="false">Q795*'Spam Rules'!$H$6+R795*'Spam Rules'!$H$7+S795*'Spam Rules'!$H$8+T795*'Spam Rules'!$H$9+U795*'Spam Rules'!$H$10</f>
        <v>0</v>
      </c>
      <c r="W795" s="3" t="str">
        <f aca="false">IF(V795&gt;='Spam Rules'!$B$3,"Likely Spam","Genuine")</f>
        <v>Genuine</v>
      </c>
      <c r="X795" s="3" t="n">
        <f aca="false">IFERROR(INDEX('Scoring Model'!$B$5:$B$11,MATCH(C795,'Scoring Model'!$A$5:$A$11,0)),0)</f>
        <v>5</v>
      </c>
      <c r="Y795" s="3" t="n">
        <f aca="false">IFERROR(INDEX('Scoring Model'!$E$5:$E$7,MATCH(F795,'Scoring Model'!$D$5:$D$7,0)),0)</f>
        <v>0</v>
      </c>
      <c r="Z795" s="3" t="n">
        <f aca="false">IFERROR(INDEX('Scoring Model'!$H$5:$H$13,MATCH(J795,'Scoring Model'!$G$5:$G$13,0)),0)</f>
        <v>5</v>
      </c>
      <c r="AA795" s="3" t="n">
        <f aca="false">IF(L795&gt;='Scoring Model'!$B$14,'Scoring Model'!$B$15,IF(L795&gt;='Scoring Model'!$B$16,'Scoring Model'!$B$17,0))</f>
        <v>0</v>
      </c>
      <c r="AB795" s="3" t="n">
        <f aca="false">IF(SUMPRODUCT(--ISNUMBER(SEARCH('Scoring Model'!$D$16:$D$25,K795)))&gt;0,'Scoring Model'!$B$18,0)</f>
        <v>0</v>
      </c>
      <c r="AC795" s="3" t="n">
        <f aca="false">IF(SUMPRODUCT(--ISNUMBER(SEARCH('Scoring Model'!$G$16:$G$23,K795)))&gt;0,'Scoring Model'!$B$19,0)</f>
        <v>-30</v>
      </c>
      <c r="AD795" s="3" t="n">
        <f aca="false">IF(W795="Likely Spam","",SUM(X795:AC795))</f>
        <v>-20</v>
      </c>
      <c r="AE795" s="3" t="str">
        <f aca="false">IF(W795="Likely Spam","Spam",IF(AD795&gt;='Scoring Model'!$B$21,"Hot",IF(AD795&gt;='Scoring Model'!$B$22,"Warm","Nurture")))</f>
        <v>Nurture</v>
      </c>
      <c r="AF795" s="3" t="str">
        <f aca="false">IF(W795="Likely Spam","Flagged by spam rules",TRIM(IF(X795&gt;=20,"Strong source. ","")&amp;IF(Y795&gt;0,"Company email. ","")&amp;IF(Z795&gt;=15,"High-value product. ","")&amp;IF(AA795&gt;='Scoring Model'!$B$15,"High engagement. ","")&amp;IF(AB795&gt;0,"Buying intent in message. ","")&amp;IF(AC795&lt;0,"Negative intent in message. ","")))</f>
        <v>Negative intent in message.</v>
      </c>
      <c r="AG795" s="11" t="n">
        <f aca="false">IF(W795="Likely Spam","",1/(1+EXP(-('Conversion Model'!$B$5+IFERROR(INDEX('Conversion Model'!$B$8:$B$14,MATCH(C795,'Conversion Model'!$A$8:$A$14,0)),0)+IFERROR(INDEX('Conversion Model'!$E$8:$E$9,MATCH(F795,'Conversion Model'!$D$8:$D$9,0)),0)+IFERROR(INDEX('Conversion Model'!$H$8:$H$12,MATCH(IF(LEFT(J795,8)="Payments","Payments",IF(LEFT(J795,7)="Lending","Lending",J795)),'Conversion Model'!$G$8:$G$12,0)),0)+MIN(L795,15)*'Conversion Model'!$B$17+IF(SUMPRODUCT(--ISNUMBER(SEARCH('Scoring Model'!$D$16:$D$25,K795)))&gt;0,'Conversion Model'!$B$18,0)+IF(SUMPRODUCT(--ISNUMBER(SEARCH('Scoring Model'!$G$16:$G$23,K795)))&gt;0,'Conversion Model'!$B$19,0)))))</f>
        <v>0.00271295551545726</v>
      </c>
      <c r="AH795" s="3" t="n">
        <f aca="false">IF(OR(O795="Qualified",O795="Won",O795="Lost"),1,IF(O795="Unqualified",0,""))</f>
        <v>0</v>
      </c>
    </row>
    <row r="796" customFormat="false" ht="15" hidden="false" customHeight="true" outlineLevel="0" collapsed="false">
      <c r="A796" s="3" t="s">
        <v>2552</v>
      </c>
      <c r="B796" s="9" t="n">
        <v>46286.34375</v>
      </c>
      <c r="C796" s="3" t="s">
        <v>160</v>
      </c>
      <c r="D796" s="3" t="s">
        <v>2553</v>
      </c>
      <c r="E796" s="3" t="s">
        <v>2554</v>
      </c>
      <c r="F796" s="3" t="s">
        <v>22</v>
      </c>
      <c r="G796" s="3" t="s">
        <v>237</v>
      </c>
      <c r="H796" s="3" t="s">
        <v>238</v>
      </c>
      <c r="I796" s="3" t="s">
        <v>139</v>
      </c>
      <c r="J796" s="3" t="s">
        <v>65</v>
      </c>
      <c r="K796" s="3" t="s">
        <v>82</v>
      </c>
      <c r="L796" s="3" t="n">
        <v>2</v>
      </c>
      <c r="M796" s="3"/>
      <c r="N796" s="3" t="s">
        <v>67</v>
      </c>
      <c r="O796" s="3" t="s">
        <v>68</v>
      </c>
      <c r="P796" s="10"/>
      <c r="Q796" s="3" t="n">
        <f aca="false">IF(F796="Disposable",1,0)</f>
        <v>0</v>
      </c>
      <c r="R796" s="3" t="n">
        <f aca="false">IF(SUMPRODUCT(--ISNUMBER(SEARCH('Spam Rules'!$A$22:$A$35,K796)))&gt;0,1,0)</f>
        <v>1</v>
      </c>
      <c r="S796" s="3" t="n">
        <f aca="false">IF(AND(F796="Free",G796=""),1,0)</f>
        <v>0</v>
      </c>
      <c r="T796" s="3" t="n">
        <f aca="false">IF(LEN(TRIM(K796))&lt;15,1,0)</f>
        <v>0</v>
      </c>
      <c r="U796" s="3" t="n">
        <f aca="false">IF(COUNTIF($E$2:$E$801,E796)&gt;1,1,0)</f>
        <v>0</v>
      </c>
      <c r="V796" s="3" t="n">
        <f aca="false">Q796*'Spam Rules'!$H$6+R796*'Spam Rules'!$H$7+S796*'Spam Rules'!$H$8+T796*'Spam Rules'!$H$9+U796*'Spam Rules'!$H$10</f>
        <v>1</v>
      </c>
      <c r="W796" s="3" t="str">
        <f aca="false">IF(V796&gt;='Spam Rules'!$B$3,"Likely Spam","Genuine")</f>
        <v>Likely Spam</v>
      </c>
      <c r="X796" s="3" t="n">
        <f aca="false">IFERROR(INDEX('Scoring Model'!$B$5:$B$11,MATCH(C796,'Scoring Model'!$A$5:$A$11,0)),0)</f>
        <v>25</v>
      </c>
      <c r="Y796" s="3" t="n">
        <f aca="false">IFERROR(INDEX('Scoring Model'!$E$5:$E$7,MATCH(F796,'Scoring Model'!$D$5:$D$7,0)),0)</f>
        <v>20</v>
      </c>
      <c r="Z796" s="3" t="n">
        <f aca="false">IFERROR(INDEX('Scoring Model'!$H$5:$H$13,MATCH(J796,'Scoring Model'!$G$5:$G$13,0)),0)</f>
        <v>0</v>
      </c>
      <c r="AA796" s="3" t="n">
        <f aca="false">IF(L796&gt;='Scoring Model'!$B$14,'Scoring Model'!$B$15,IF(L796&gt;='Scoring Model'!$B$16,'Scoring Model'!$B$17,0))</f>
        <v>0</v>
      </c>
      <c r="AB796" s="3" t="n">
        <f aca="false">IF(SUMPRODUCT(--ISNUMBER(SEARCH('Scoring Model'!$D$16:$D$25,K796)))&gt;0,'Scoring Model'!$B$18,0)</f>
        <v>0</v>
      </c>
      <c r="AC796" s="3" t="n">
        <f aca="false">IF(SUMPRODUCT(--ISNUMBER(SEARCH('Scoring Model'!$G$16:$G$23,K796)))&gt;0,'Scoring Model'!$B$19,0)</f>
        <v>0</v>
      </c>
      <c r="AD796" s="3" t="str">
        <f aca="false">IF(W796="Likely Spam","",SUM(X796:AC796))</f>
        <v/>
      </c>
      <c r="AE796" s="3" t="str">
        <f aca="false">IF(W796="Likely Spam","Spam",IF(AD796&gt;='Scoring Model'!$B$21,"Hot",IF(AD796&gt;='Scoring Model'!$B$22,"Warm","Nurture")))</f>
        <v>Spam</v>
      </c>
      <c r="AF796" s="3" t="str">
        <f aca="false">IF(W796="Likely Spam","Flagged by spam rules",TRIM(IF(X796&gt;=20,"Strong source. ","")&amp;IF(Y796&gt;0,"Company email. ","")&amp;IF(Z796&gt;=15,"High-value product. ","")&amp;IF(AA796&gt;='Scoring Model'!$B$15,"High engagement. ","")&amp;IF(AB796&gt;0,"Buying intent in message. ","")&amp;IF(AC796&lt;0,"Negative intent in message. ","")))</f>
        <v>Flagged by spam rules</v>
      </c>
      <c r="AG796" s="11" t="str">
        <f aca="false">IF(W796="Likely Spam","",1/(1+EXP(-('Conversion Model'!$B$5+IFERROR(INDEX('Conversion Model'!$B$8:$B$14,MATCH(C796,'Conversion Model'!$A$8:$A$14,0)),0)+IFERROR(INDEX('Conversion Model'!$E$8:$E$9,MATCH(F796,'Conversion Model'!$D$8:$D$9,0)),0)+IFERROR(INDEX('Conversion Model'!$H$8:$H$12,MATCH(IF(LEFT(J796,8)="Payments","Payments",IF(LEFT(J796,7)="Lending","Lending",J796)),'Conversion Model'!$G$8:$G$12,0)),0)+MIN(L796,15)*'Conversion Model'!$B$17+IF(SUMPRODUCT(--ISNUMBER(SEARCH('Scoring Model'!$D$16:$D$25,K796)))&gt;0,'Conversion Model'!$B$18,0)+IF(SUMPRODUCT(--ISNUMBER(SEARCH('Scoring Model'!$G$16:$G$23,K796)))&gt;0,'Conversion Model'!$B$19,0)))))</f>
        <v/>
      </c>
      <c r="AH796" s="3" t="str">
        <f aca="false">IF(OR(O796="Qualified",O796="Won",O796="Lost"),1,IF(O796="Unqualified",0,""))</f>
        <v/>
      </c>
    </row>
    <row r="797" customFormat="false" ht="15" hidden="false" customHeight="true" outlineLevel="0" collapsed="false">
      <c r="A797" s="3" t="s">
        <v>2555</v>
      </c>
      <c r="B797" s="9" t="n">
        <v>46287.2625</v>
      </c>
      <c r="C797" s="3" t="s">
        <v>91</v>
      </c>
      <c r="D797" s="3" t="s">
        <v>511</v>
      </c>
      <c r="E797" s="3" t="s">
        <v>2556</v>
      </c>
      <c r="F797" s="3" t="s">
        <v>54</v>
      </c>
      <c r="G797" s="3" t="s">
        <v>1045</v>
      </c>
      <c r="H797" s="3"/>
      <c r="I797" s="3" t="s">
        <v>88</v>
      </c>
      <c r="J797" s="3" t="s">
        <v>57</v>
      </c>
      <c r="K797" s="3" t="s">
        <v>854</v>
      </c>
      <c r="L797" s="3" t="n">
        <v>10</v>
      </c>
      <c r="M797" s="3" t="n">
        <v>11.5</v>
      </c>
      <c r="N797" s="3" t="s">
        <v>171</v>
      </c>
      <c r="O797" s="3" t="s">
        <v>133</v>
      </c>
      <c r="P797" s="10"/>
      <c r="Q797" s="3" t="n">
        <f aca="false">IF(F797="Disposable",1,0)</f>
        <v>0</v>
      </c>
      <c r="R797" s="3" t="n">
        <f aca="false">IF(SUMPRODUCT(--ISNUMBER(SEARCH('Spam Rules'!$A$22:$A$35,K797)))&gt;0,1,0)</f>
        <v>0</v>
      </c>
      <c r="S797" s="3" t="n">
        <f aca="false">IF(AND(F797="Free",G797=""),1,0)</f>
        <v>0</v>
      </c>
      <c r="T797" s="3" t="n">
        <f aca="false">IF(LEN(TRIM(K797))&lt;15,1,0)</f>
        <v>0</v>
      </c>
      <c r="U797" s="3" t="n">
        <f aca="false">IF(COUNTIF($E$2:$E$801,E797)&gt;1,1,0)</f>
        <v>0</v>
      </c>
      <c r="V797" s="3" t="n">
        <f aca="false">Q797*'Spam Rules'!$H$6+R797*'Spam Rules'!$H$7+S797*'Spam Rules'!$H$8+T797*'Spam Rules'!$H$9+U797*'Spam Rules'!$H$10</f>
        <v>0</v>
      </c>
      <c r="W797" s="3" t="str">
        <f aca="false">IF(V797&gt;='Spam Rules'!$B$3,"Likely Spam","Genuine")</f>
        <v>Genuine</v>
      </c>
      <c r="X797" s="3" t="n">
        <f aca="false">IFERROR(INDEX('Scoring Model'!$B$5:$B$11,MATCH(C797,'Scoring Model'!$A$5:$A$11,0)),0)</f>
        <v>5</v>
      </c>
      <c r="Y797" s="3" t="n">
        <f aca="false">IFERROR(INDEX('Scoring Model'!$E$5:$E$7,MATCH(F797,'Scoring Model'!$D$5:$D$7,0)),0)</f>
        <v>0</v>
      </c>
      <c r="Z797" s="3" t="n">
        <f aca="false">IFERROR(INDEX('Scoring Model'!$H$5:$H$13,MATCH(J797,'Scoring Model'!$G$5:$G$13,0)),0)</f>
        <v>15</v>
      </c>
      <c r="AA797" s="3" t="n">
        <f aca="false">IF(L797&gt;='Scoring Model'!$B$14,'Scoring Model'!$B$15,IF(L797&gt;='Scoring Model'!$B$16,'Scoring Model'!$B$17,0))</f>
        <v>15</v>
      </c>
      <c r="AB797" s="3" t="n">
        <f aca="false">IF(SUMPRODUCT(--ISNUMBER(SEARCH('Scoring Model'!$D$16:$D$25,K797)))&gt;0,'Scoring Model'!$B$18,0)</f>
        <v>15</v>
      </c>
      <c r="AC797" s="3" t="n">
        <f aca="false">IF(SUMPRODUCT(--ISNUMBER(SEARCH('Scoring Model'!$G$16:$G$23,K797)))&gt;0,'Scoring Model'!$B$19,0)</f>
        <v>0</v>
      </c>
      <c r="AD797" s="3" t="n">
        <f aca="false">IF(W797="Likely Spam","",SUM(X797:AC797))</f>
        <v>50</v>
      </c>
      <c r="AE797" s="3" t="str">
        <f aca="false">IF(W797="Likely Spam","Spam",IF(AD797&gt;='Scoring Model'!$B$21,"Hot",IF(AD797&gt;='Scoring Model'!$B$22,"Warm","Nurture")))</f>
        <v>Warm</v>
      </c>
      <c r="AF797" s="3" t="str">
        <f aca="false">IF(W797="Likely Spam","Flagged by spam rules",TRIM(IF(X797&gt;=20,"Strong source. ","")&amp;IF(Y797&gt;0,"Company email. ","")&amp;IF(Z797&gt;=15,"High-value product. ","")&amp;IF(AA797&gt;='Scoring Model'!$B$15,"High engagement. ","")&amp;IF(AB797&gt;0,"Buying intent in message. ","")&amp;IF(AC797&lt;0,"Negative intent in message. ","")))</f>
        <v>High-value product. High engagement. Buying intent in message.</v>
      </c>
      <c r="AG797" s="11" t="n">
        <f aca="false">IF(W797="Likely Spam","",1/(1+EXP(-('Conversion Model'!$B$5+IFERROR(INDEX('Conversion Model'!$B$8:$B$14,MATCH(C797,'Conversion Model'!$A$8:$A$14,0)),0)+IFERROR(INDEX('Conversion Model'!$E$8:$E$9,MATCH(F797,'Conversion Model'!$D$8:$D$9,0)),0)+IFERROR(INDEX('Conversion Model'!$H$8:$H$12,MATCH(IF(LEFT(J797,8)="Payments","Payments",IF(LEFT(J797,7)="Lending","Lending",J797)),'Conversion Model'!$G$8:$G$12,0)),0)+MIN(L797,15)*'Conversion Model'!$B$17+IF(SUMPRODUCT(--ISNUMBER(SEARCH('Scoring Model'!$D$16:$D$25,K797)))&gt;0,'Conversion Model'!$B$18,0)+IF(SUMPRODUCT(--ISNUMBER(SEARCH('Scoring Model'!$G$16:$G$23,K797)))&gt;0,'Conversion Model'!$B$19,0)))))</f>
        <v>0.973454736614454</v>
      </c>
      <c r="AH797" s="3" t="str">
        <f aca="false">IF(OR(O797="Qualified",O797="Won",O797="Lost"),1,IF(O797="Unqualified",0,""))</f>
        <v/>
      </c>
    </row>
    <row r="798" customFormat="false" ht="15" hidden="false" customHeight="true" outlineLevel="0" collapsed="false">
      <c r="A798" s="3" t="s">
        <v>2557</v>
      </c>
      <c r="B798" s="9" t="n">
        <v>46287.9430555556</v>
      </c>
      <c r="C798" s="3" t="s">
        <v>51</v>
      </c>
      <c r="D798" s="3" t="s">
        <v>659</v>
      </c>
      <c r="E798" s="3" t="s">
        <v>2558</v>
      </c>
      <c r="F798" s="3" t="s">
        <v>54</v>
      </c>
      <c r="G798" s="3"/>
      <c r="H798" s="3"/>
      <c r="I798" s="3" t="s">
        <v>188</v>
      </c>
      <c r="J798" s="3" t="s">
        <v>65</v>
      </c>
      <c r="K798" s="3" t="s">
        <v>363</v>
      </c>
      <c r="L798" s="3" t="n">
        <v>2</v>
      </c>
      <c r="M798" s="3" t="n">
        <v>7.9</v>
      </c>
      <c r="N798" s="3" t="s">
        <v>59</v>
      </c>
      <c r="O798" s="3"/>
      <c r="P798" s="10"/>
      <c r="Q798" s="3" t="n">
        <f aca="false">IF(F798="Disposable",1,0)</f>
        <v>0</v>
      </c>
      <c r="R798" s="3" t="n">
        <f aca="false">IF(SUMPRODUCT(--ISNUMBER(SEARCH('Spam Rules'!$A$22:$A$35,K798)))&gt;0,1,0)</f>
        <v>1</v>
      </c>
      <c r="S798" s="3" t="n">
        <f aca="false">IF(AND(F798="Free",G798=""),1,0)</f>
        <v>1</v>
      </c>
      <c r="T798" s="3" t="n">
        <f aca="false">IF(LEN(TRIM(K798))&lt;15,1,0)</f>
        <v>0</v>
      </c>
      <c r="U798" s="3" t="n">
        <f aca="false">IF(COUNTIF($E$2:$E$801,E798)&gt;1,1,0)</f>
        <v>0</v>
      </c>
      <c r="V798" s="3" t="n">
        <f aca="false">Q798*'Spam Rules'!$H$6+R798*'Spam Rules'!$H$7+S798*'Spam Rules'!$H$8+T798*'Spam Rules'!$H$9+U798*'Spam Rules'!$H$10</f>
        <v>1</v>
      </c>
      <c r="W798" s="3" t="str">
        <f aca="false">IF(V798&gt;='Spam Rules'!$B$3,"Likely Spam","Genuine")</f>
        <v>Likely Spam</v>
      </c>
      <c r="X798" s="3" t="n">
        <f aca="false">IFERROR(INDEX('Scoring Model'!$B$5:$B$11,MATCH(C798,'Scoring Model'!$A$5:$A$11,0)),0)</f>
        <v>10</v>
      </c>
      <c r="Y798" s="3" t="n">
        <f aca="false">IFERROR(INDEX('Scoring Model'!$E$5:$E$7,MATCH(F798,'Scoring Model'!$D$5:$D$7,0)),0)</f>
        <v>0</v>
      </c>
      <c r="Z798" s="3" t="n">
        <f aca="false">IFERROR(INDEX('Scoring Model'!$H$5:$H$13,MATCH(J798,'Scoring Model'!$G$5:$G$13,0)),0)</f>
        <v>0</v>
      </c>
      <c r="AA798" s="3" t="n">
        <f aca="false">IF(L798&gt;='Scoring Model'!$B$14,'Scoring Model'!$B$15,IF(L798&gt;='Scoring Model'!$B$16,'Scoring Model'!$B$17,0))</f>
        <v>0</v>
      </c>
      <c r="AB798" s="3" t="n">
        <f aca="false">IF(SUMPRODUCT(--ISNUMBER(SEARCH('Scoring Model'!$D$16:$D$25,K798)))&gt;0,'Scoring Model'!$B$18,0)</f>
        <v>0</v>
      </c>
      <c r="AC798" s="3" t="n">
        <f aca="false">IF(SUMPRODUCT(--ISNUMBER(SEARCH('Scoring Model'!$G$16:$G$23,K798)))&gt;0,'Scoring Model'!$B$19,0)</f>
        <v>0</v>
      </c>
      <c r="AD798" s="3" t="str">
        <f aca="false">IF(W798="Likely Spam","",SUM(X798:AC798))</f>
        <v/>
      </c>
      <c r="AE798" s="3" t="str">
        <f aca="false">IF(W798="Likely Spam","Spam",IF(AD798&gt;='Scoring Model'!$B$21,"Hot",IF(AD798&gt;='Scoring Model'!$B$22,"Warm","Nurture")))</f>
        <v>Spam</v>
      </c>
      <c r="AF798" s="3" t="str">
        <f aca="false">IF(W798="Likely Spam","Flagged by spam rules",TRIM(IF(X798&gt;=20,"Strong source. ","")&amp;IF(Y798&gt;0,"Company email. ","")&amp;IF(Z798&gt;=15,"High-value product. ","")&amp;IF(AA798&gt;='Scoring Model'!$B$15,"High engagement. ","")&amp;IF(AB798&gt;0,"Buying intent in message. ","")&amp;IF(AC798&lt;0,"Negative intent in message. ","")))</f>
        <v>Flagged by spam rules</v>
      </c>
      <c r="AG798" s="11" t="str">
        <f aca="false">IF(W798="Likely Spam","",1/(1+EXP(-('Conversion Model'!$B$5+IFERROR(INDEX('Conversion Model'!$B$8:$B$14,MATCH(C798,'Conversion Model'!$A$8:$A$14,0)),0)+IFERROR(INDEX('Conversion Model'!$E$8:$E$9,MATCH(F798,'Conversion Model'!$D$8:$D$9,0)),0)+IFERROR(INDEX('Conversion Model'!$H$8:$H$12,MATCH(IF(LEFT(J798,8)="Payments","Payments",IF(LEFT(J798,7)="Lending","Lending",J798)),'Conversion Model'!$G$8:$G$12,0)),0)+MIN(L798,15)*'Conversion Model'!$B$17+IF(SUMPRODUCT(--ISNUMBER(SEARCH('Scoring Model'!$D$16:$D$25,K798)))&gt;0,'Conversion Model'!$B$18,0)+IF(SUMPRODUCT(--ISNUMBER(SEARCH('Scoring Model'!$G$16:$G$23,K798)))&gt;0,'Conversion Model'!$B$19,0)))))</f>
        <v/>
      </c>
      <c r="AH798" s="3" t="str">
        <f aca="false">IF(OR(O798="Qualified",O798="Won",O798="Lost"),1,IF(O798="Unqualified",0,""))</f>
        <v/>
      </c>
    </row>
    <row r="799" customFormat="false" ht="15" hidden="false" customHeight="true" outlineLevel="0" collapsed="false">
      <c r="A799" s="3" t="s">
        <v>2559</v>
      </c>
      <c r="B799" s="9" t="n">
        <v>46288.2118055556</v>
      </c>
      <c r="C799" s="3" t="s">
        <v>76</v>
      </c>
      <c r="D799" s="3" t="s">
        <v>713</v>
      </c>
      <c r="E799" s="3" t="s">
        <v>2560</v>
      </c>
      <c r="F799" s="3" t="s">
        <v>54</v>
      </c>
      <c r="G799" s="3" t="s">
        <v>1066</v>
      </c>
      <c r="H799" s="3"/>
      <c r="I799" s="3" t="s">
        <v>188</v>
      </c>
      <c r="J799" s="3" t="s">
        <v>165</v>
      </c>
      <c r="K799" s="3" t="s">
        <v>189</v>
      </c>
      <c r="L799" s="3" t="n">
        <v>6</v>
      </c>
      <c r="M799" s="3" t="n">
        <v>11.5</v>
      </c>
      <c r="N799" s="3" t="s">
        <v>171</v>
      </c>
      <c r="O799" s="3" t="s">
        <v>133</v>
      </c>
      <c r="P799" s="10"/>
      <c r="Q799" s="3" t="n">
        <f aca="false">IF(F799="Disposable",1,0)</f>
        <v>0</v>
      </c>
      <c r="R799" s="3" t="n">
        <f aca="false">IF(SUMPRODUCT(--ISNUMBER(SEARCH('Spam Rules'!$A$22:$A$35,K799)))&gt;0,1,0)</f>
        <v>0</v>
      </c>
      <c r="S799" s="3" t="n">
        <f aca="false">IF(AND(F799="Free",G799=""),1,0)</f>
        <v>0</v>
      </c>
      <c r="T799" s="3" t="n">
        <f aca="false">IF(LEN(TRIM(K799))&lt;15,1,0)</f>
        <v>0</v>
      </c>
      <c r="U799" s="3" t="n">
        <f aca="false">IF(COUNTIF($E$2:$E$801,E799)&gt;1,1,0)</f>
        <v>0</v>
      </c>
      <c r="V799" s="3" t="n">
        <f aca="false">Q799*'Spam Rules'!$H$6+R799*'Spam Rules'!$H$7+S799*'Spam Rules'!$H$8+T799*'Spam Rules'!$H$9+U799*'Spam Rules'!$H$10</f>
        <v>0</v>
      </c>
      <c r="W799" s="3" t="str">
        <f aca="false">IF(V799&gt;='Spam Rules'!$B$3,"Likely Spam","Genuine")</f>
        <v>Genuine</v>
      </c>
      <c r="X799" s="3" t="n">
        <f aca="false">IFERROR(INDEX('Scoring Model'!$B$5:$B$11,MATCH(C799,'Scoring Model'!$A$5:$A$11,0)),0)</f>
        <v>0</v>
      </c>
      <c r="Y799" s="3" t="n">
        <f aca="false">IFERROR(INDEX('Scoring Model'!$E$5:$E$7,MATCH(F799,'Scoring Model'!$D$5:$D$7,0)),0)</f>
        <v>0</v>
      </c>
      <c r="Z799" s="3" t="n">
        <f aca="false">IFERROR(INDEX('Scoring Model'!$H$5:$H$13,MATCH(J799,'Scoring Model'!$G$5:$G$13,0)),0)</f>
        <v>15</v>
      </c>
      <c r="AA799" s="3" t="n">
        <f aca="false">IF(L799&gt;='Scoring Model'!$B$14,'Scoring Model'!$B$15,IF(L799&gt;='Scoring Model'!$B$16,'Scoring Model'!$B$17,0))</f>
        <v>8</v>
      </c>
      <c r="AB799" s="3" t="n">
        <f aca="false">IF(SUMPRODUCT(--ISNUMBER(SEARCH('Scoring Model'!$D$16:$D$25,K799)))&gt;0,'Scoring Model'!$B$18,0)</f>
        <v>15</v>
      </c>
      <c r="AC799" s="3" t="n">
        <f aca="false">IF(SUMPRODUCT(--ISNUMBER(SEARCH('Scoring Model'!$G$16:$G$23,K799)))&gt;0,'Scoring Model'!$B$19,0)</f>
        <v>0</v>
      </c>
      <c r="AD799" s="3" t="n">
        <f aca="false">IF(W799="Likely Spam","",SUM(X799:AC799))</f>
        <v>38</v>
      </c>
      <c r="AE799" s="3" t="str">
        <f aca="false">IF(W799="Likely Spam","Spam",IF(AD799&gt;='Scoring Model'!$B$21,"Hot",IF(AD799&gt;='Scoring Model'!$B$22,"Warm","Nurture")))</f>
        <v>Nurture</v>
      </c>
      <c r="AF799" s="3" t="str">
        <f aca="false">IF(W799="Likely Spam","Flagged by spam rules",TRIM(IF(X799&gt;=20,"Strong source. ","")&amp;IF(Y799&gt;0,"Company email. ","")&amp;IF(Z799&gt;=15,"High-value product. ","")&amp;IF(AA799&gt;='Scoring Model'!$B$15,"High engagement. ","")&amp;IF(AB799&gt;0,"Buying intent in message. ","")&amp;IF(AC799&lt;0,"Negative intent in message. ","")))</f>
        <v>High-value product. Buying intent in message.</v>
      </c>
      <c r="AG799" s="11" t="n">
        <f aca="false">IF(W799="Likely Spam","",1/(1+EXP(-('Conversion Model'!$B$5+IFERROR(INDEX('Conversion Model'!$B$8:$B$14,MATCH(C799,'Conversion Model'!$A$8:$A$14,0)),0)+IFERROR(INDEX('Conversion Model'!$E$8:$E$9,MATCH(F799,'Conversion Model'!$D$8:$D$9,0)),0)+IFERROR(INDEX('Conversion Model'!$H$8:$H$12,MATCH(IF(LEFT(J799,8)="Payments","Payments",IF(LEFT(J799,7)="Lending","Lending",J799)),'Conversion Model'!$G$8:$G$12,0)),0)+MIN(L799,15)*'Conversion Model'!$B$17+IF(SUMPRODUCT(--ISNUMBER(SEARCH('Scoring Model'!$D$16:$D$25,K799)))&gt;0,'Conversion Model'!$B$18,0)+IF(SUMPRODUCT(--ISNUMBER(SEARCH('Scoring Model'!$G$16:$G$23,K799)))&gt;0,'Conversion Model'!$B$19,0)))))</f>
        <v>0.597485765827016</v>
      </c>
      <c r="AH799" s="3" t="str">
        <f aca="false">IF(OR(O799="Qualified",O799="Won",O799="Lost"),1,IF(O799="Unqualified",0,""))</f>
        <v/>
      </c>
    </row>
    <row r="800" customFormat="false" ht="15" hidden="false" customHeight="true" outlineLevel="0" collapsed="false">
      <c r="A800" s="3" t="s">
        <v>2561</v>
      </c>
      <c r="B800" s="9" t="n">
        <v>46288.3125</v>
      </c>
      <c r="C800" s="3" t="s">
        <v>160</v>
      </c>
      <c r="D800" s="3" t="s">
        <v>981</v>
      </c>
      <c r="E800" s="3" t="s">
        <v>1226</v>
      </c>
      <c r="F800" s="3" t="s">
        <v>54</v>
      </c>
      <c r="G800" s="3"/>
      <c r="H800" s="3"/>
      <c r="I800" s="3" t="s">
        <v>64</v>
      </c>
      <c r="J800" s="3" t="s">
        <v>145</v>
      </c>
      <c r="K800" s="3" t="s">
        <v>101</v>
      </c>
      <c r="L800" s="3" t="n">
        <v>4</v>
      </c>
      <c r="M800" s="3" t="n">
        <v>13.5</v>
      </c>
      <c r="N800" s="3" t="s">
        <v>171</v>
      </c>
      <c r="O800" s="3" t="s">
        <v>194</v>
      </c>
      <c r="P800" s="10"/>
      <c r="Q800" s="3" t="n">
        <f aca="false">IF(F800="Disposable",1,0)</f>
        <v>0</v>
      </c>
      <c r="R800" s="3" t="n">
        <f aca="false">IF(SUMPRODUCT(--ISNUMBER(SEARCH('Spam Rules'!$A$22:$A$35,K800)))&gt;0,1,0)</f>
        <v>0</v>
      </c>
      <c r="S800" s="3" t="n">
        <f aca="false">IF(AND(F800="Free",G800=""),1,0)</f>
        <v>1</v>
      </c>
      <c r="T800" s="3" t="n">
        <f aca="false">IF(LEN(TRIM(K800))&lt;15,1,0)</f>
        <v>0</v>
      </c>
      <c r="U800" s="3" t="n">
        <f aca="false">IF(COUNTIF($E$2:$E$801,E800)&gt;1,1,0)</f>
        <v>1</v>
      </c>
      <c r="V800" s="3" t="n">
        <f aca="false">Q800*'Spam Rules'!$H$6+R800*'Spam Rules'!$H$7+S800*'Spam Rules'!$H$8+T800*'Spam Rules'!$H$9+U800*'Spam Rules'!$H$10</f>
        <v>0</v>
      </c>
      <c r="W800" s="3" t="str">
        <f aca="false">IF(V800&gt;='Spam Rules'!$B$3,"Likely Spam","Genuine")</f>
        <v>Genuine</v>
      </c>
      <c r="X800" s="3" t="n">
        <f aca="false">IFERROR(INDEX('Scoring Model'!$B$5:$B$11,MATCH(C800,'Scoring Model'!$A$5:$A$11,0)),0)</f>
        <v>25</v>
      </c>
      <c r="Y800" s="3" t="n">
        <f aca="false">IFERROR(INDEX('Scoring Model'!$E$5:$E$7,MATCH(F800,'Scoring Model'!$D$5:$D$7,0)),0)</f>
        <v>0</v>
      </c>
      <c r="Z800" s="3" t="n">
        <f aca="false">IFERROR(INDEX('Scoring Model'!$H$5:$H$13,MATCH(J800,'Scoring Model'!$G$5:$G$13,0)),0)</f>
        <v>5</v>
      </c>
      <c r="AA800" s="3" t="n">
        <f aca="false">IF(L800&gt;='Scoring Model'!$B$14,'Scoring Model'!$B$15,IF(L800&gt;='Scoring Model'!$B$16,'Scoring Model'!$B$17,0))</f>
        <v>8</v>
      </c>
      <c r="AB800" s="3" t="n">
        <f aca="false">IF(SUMPRODUCT(--ISNUMBER(SEARCH('Scoring Model'!$D$16:$D$25,K800)))&gt;0,'Scoring Model'!$B$18,0)</f>
        <v>0</v>
      </c>
      <c r="AC800" s="3" t="n">
        <f aca="false">IF(SUMPRODUCT(--ISNUMBER(SEARCH('Scoring Model'!$G$16:$G$23,K800)))&gt;0,'Scoring Model'!$B$19,0)</f>
        <v>-30</v>
      </c>
      <c r="AD800" s="3" t="n">
        <f aca="false">IF(W800="Likely Spam","",SUM(X800:AC800))</f>
        <v>8</v>
      </c>
      <c r="AE800" s="3" t="str">
        <f aca="false">IF(W800="Likely Spam","Spam",IF(AD800&gt;='Scoring Model'!$B$21,"Hot",IF(AD800&gt;='Scoring Model'!$B$22,"Warm","Nurture")))</f>
        <v>Nurture</v>
      </c>
      <c r="AF800" s="3" t="str">
        <f aca="false">IF(W800="Likely Spam","Flagged by spam rules",TRIM(IF(X800&gt;=20,"Strong source. ","")&amp;IF(Y800&gt;0,"Company email. ","")&amp;IF(Z800&gt;=15,"High-value product. ","")&amp;IF(AA800&gt;='Scoring Model'!$B$15,"High engagement. ","")&amp;IF(AB800&gt;0,"Buying intent in message. ","")&amp;IF(AC800&lt;0,"Negative intent in message. ","")))</f>
        <v>Strong source. Negative intent in message.</v>
      </c>
      <c r="AG800" s="11" t="n">
        <f aca="false">IF(W800="Likely Spam","",1/(1+EXP(-('Conversion Model'!$B$5+IFERROR(INDEX('Conversion Model'!$B$8:$B$14,MATCH(C800,'Conversion Model'!$A$8:$A$14,0)),0)+IFERROR(INDEX('Conversion Model'!$E$8:$E$9,MATCH(F800,'Conversion Model'!$D$8:$D$9,0)),0)+IFERROR(INDEX('Conversion Model'!$H$8:$H$12,MATCH(IF(LEFT(J800,8)="Payments","Payments",IF(LEFT(J800,7)="Lending","Lending",J800)),'Conversion Model'!$G$8:$G$12,0)),0)+MIN(L800,15)*'Conversion Model'!$B$17+IF(SUMPRODUCT(--ISNUMBER(SEARCH('Scoring Model'!$D$16:$D$25,K800)))&gt;0,'Conversion Model'!$B$18,0)+IF(SUMPRODUCT(--ISNUMBER(SEARCH('Scoring Model'!$G$16:$G$23,K800)))&gt;0,'Conversion Model'!$B$19,0)))))</f>
        <v>0.0234994109193391</v>
      </c>
      <c r="AH800" s="3" t="n">
        <f aca="false">IF(OR(O800="Qualified",O800="Won",O800="Lost"),1,IF(O800="Unqualified",0,""))</f>
        <v>0</v>
      </c>
    </row>
    <row r="801" customFormat="false" ht="15" hidden="false" customHeight="true" outlineLevel="0" collapsed="false">
      <c r="A801" s="3" t="s">
        <v>2562</v>
      </c>
      <c r="B801" s="9" t="n">
        <v>46288.8402777778</v>
      </c>
      <c r="C801" s="3" t="s">
        <v>135</v>
      </c>
      <c r="D801" s="3" t="s">
        <v>758</v>
      </c>
      <c r="E801" s="3" t="s">
        <v>2563</v>
      </c>
      <c r="F801" s="3" t="s">
        <v>22</v>
      </c>
      <c r="G801" s="3" t="s">
        <v>1833</v>
      </c>
      <c r="H801" s="3" t="s">
        <v>1834</v>
      </c>
      <c r="I801" s="3" t="s">
        <v>116</v>
      </c>
      <c r="J801" s="3" t="s">
        <v>57</v>
      </c>
      <c r="K801" s="3" t="s">
        <v>854</v>
      </c>
      <c r="L801" s="3" t="n">
        <v>2</v>
      </c>
      <c r="M801" s="3" t="n">
        <v>87</v>
      </c>
      <c r="N801" s="3" t="s">
        <v>96</v>
      </c>
      <c r="O801" s="3" t="s">
        <v>133</v>
      </c>
      <c r="P801" s="10"/>
      <c r="Q801" s="3" t="n">
        <f aca="false">IF(F801="Disposable",1,0)</f>
        <v>0</v>
      </c>
      <c r="R801" s="3" t="n">
        <f aca="false">IF(SUMPRODUCT(--ISNUMBER(SEARCH('Spam Rules'!$A$22:$A$35,K801)))&gt;0,1,0)</f>
        <v>0</v>
      </c>
      <c r="S801" s="3" t="n">
        <f aca="false">IF(AND(F801="Free",G801=""),1,0)</f>
        <v>0</v>
      </c>
      <c r="T801" s="3" t="n">
        <f aca="false">IF(LEN(TRIM(K801))&lt;15,1,0)</f>
        <v>0</v>
      </c>
      <c r="U801" s="3" t="n">
        <f aca="false">IF(COUNTIF($E$2:$E$801,E801)&gt;1,1,0)</f>
        <v>0</v>
      </c>
      <c r="V801" s="3" t="n">
        <f aca="false">Q801*'Spam Rules'!$H$6+R801*'Spam Rules'!$H$7+S801*'Spam Rules'!$H$8+T801*'Spam Rules'!$H$9+U801*'Spam Rules'!$H$10</f>
        <v>0</v>
      </c>
      <c r="W801" s="3" t="str">
        <f aca="false">IF(V801&gt;='Spam Rules'!$B$3,"Likely Spam","Genuine")</f>
        <v>Genuine</v>
      </c>
      <c r="X801" s="3" t="n">
        <f aca="false">IFERROR(INDEX('Scoring Model'!$B$5:$B$11,MATCH(C801,'Scoring Model'!$A$5:$A$11,0)),0)</f>
        <v>20</v>
      </c>
      <c r="Y801" s="3" t="n">
        <f aca="false">IFERROR(INDEX('Scoring Model'!$E$5:$E$7,MATCH(F801,'Scoring Model'!$D$5:$D$7,0)),0)</f>
        <v>20</v>
      </c>
      <c r="Z801" s="3" t="n">
        <f aca="false">IFERROR(INDEX('Scoring Model'!$H$5:$H$13,MATCH(J801,'Scoring Model'!$G$5:$G$13,0)),0)</f>
        <v>15</v>
      </c>
      <c r="AA801" s="3" t="n">
        <f aca="false">IF(L801&gt;='Scoring Model'!$B$14,'Scoring Model'!$B$15,IF(L801&gt;='Scoring Model'!$B$16,'Scoring Model'!$B$17,0))</f>
        <v>0</v>
      </c>
      <c r="AB801" s="3" t="n">
        <f aca="false">IF(SUMPRODUCT(--ISNUMBER(SEARCH('Scoring Model'!$D$16:$D$25,K801)))&gt;0,'Scoring Model'!$B$18,0)</f>
        <v>15</v>
      </c>
      <c r="AC801" s="3" t="n">
        <f aca="false">IF(SUMPRODUCT(--ISNUMBER(SEARCH('Scoring Model'!$G$16:$G$23,K801)))&gt;0,'Scoring Model'!$B$19,0)</f>
        <v>0</v>
      </c>
      <c r="AD801" s="3" t="n">
        <f aca="false">IF(W801="Likely Spam","",SUM(X801:AC801))</f>
        <v>70</v>
      </c>
      <c r="AE801" s="3" t="str">
        <f aca="false">IF(W801="Likely Spam","Spam",IF(AD801&gt;='Scoring Model'!$B$21,"Hot",IF(AD801&gt;='Scoring Model'!$B$22,"Warm","Nurture")))</f>
        <v>Hot</v>
      </c>
      <c r="AF801" s="3" t="str">
        <f aca="false">IF(W801="Likely Spam","Flagged by spam rules",TRIM(IF(X801&gt;=20,"Strong source. ","")&amp;IF(Y801&gt;0,"Company email. ","")&amp;IF(Z801&gt;=15,"High-value product. ","")&amp;IF(AA801&gt;='Scoring Model'!$B$15,"High engagement. ","")&amp;IF(AB801&gt;0,"Buying intent in message. ","")&amp;IF(AC801&lt;0,"Negative intent in message. ","")))</f>
        <v>Strong source. Company email. High-value product. Buying intent in message.</v>
      </c>
      <c r="AG801" s="11" t="n">
        <f aca="false">IF(W801="Likely Spam","",1/(1+EXP(-('Conversion Model'!$B$5+IFERROR(INDEX('Conversion Model'!$B$8:$B$14,MATCH(C801,'Conversion Model'!$A$8:$A$14,0)),0)+IFERROR(INDEX('Conversion Model'!$E$8:$E$9,MATCH(F801,'Conversion Model'!$D$8:$D$9,0)),0)+IFERROR(INDEX('Conversion Model'!$H$8:$H$12,MATCH(IF(LEFT(J801,8)="Payments","Payments",IF(LEFT(J801,7)="Lending","Lending",J801)),'Conversion Model'!$G$8:$G$12,0)),0)+MIN(L801,15)*'Conversion Model'!$B$17+IF(SUMPRODUCT(--ISNUMBER(SEARCH('Scoring Model'!$D$16:$D$25,K801)))&gt;0,'Conversion Model'!$B$18,0)+IF(SUMPRODUCT(--ISNUMBER(SEARCH('Scoring Model'!$G$16:$G$23,K801)))&gt;0,'Conversion Model'!$B$19,0)))))</f>
        <v>0.321911750448372</v>
      </c>
      <c r="AH801" s="3" t="str">
        <f aca="false">IF(OR(O801="Qualified",O801="Won",O801="Lost"),1,IF(O801="Unqualified",0,""))</f>
        <v/>
      </c>
    </row>
  </sheetData>
  <autoFilter ref="A1:AH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9" min="9" style="1" width="15"/>
  </cols>
  <sheetData>
    <row r="1" customFormat="false" ht="17.25" hidden="false" customHeight="true" outlineLevel="0" collapsed="false">
      <c r="A1" s="2" t="s">
        <v>2564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2565</v>
      </c>
      <c r="B2" s="12"/>
      <c r="C2" s="12"/>
      <c r="D2" s="12"/>
      <c r="E2" s="12"/>
      <c r="F2" s="12"/>
      <c r="G2" s="12"/>
      <c r="H2" s="12"/>
      <c r="I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</row>
    <row r="4" customFormat="false" ht="15" hidden="false" customHeight="true" outlineLevel="0" collapsed="false">
      <c r="A4" s="14" t="s">
        <v>2566</v>
      </c>
      <c r="B4" s="12"/>
      <c r="C4" s="12"/>
      <c r="D4" s="12"/>
      <c r="E4" s="12"/>
      <c r="F4" s="12"/>
      <c r="G4" s="12"/>
      <c r="H4" s="12"/>
      <c r="I4" s="12"/>
    </row>
    <row r="5" customFormat="false" ht="15" hidden="false" customHeight="true" outlineLevel="0" collapsed="false">
      <c r="A5" s="15" t="s">
        <v>2567</v>
      </c>
      <c r="B5" s="16" t="n">
        <f aca="false">COUNTA(Leads!$E$2:$E$801)</f>
        <v>800</v>
      </c>
      <c r="C5" s="12"/>
      <c r="D5" s="12"/>
      <c r="E5" s="12"/>
      <c r="F5" s="12"/>
      <c r="G5" s="12"/>
      <c r="H5" s="12"/>
      <c r="I5" s="12"/>
    </row>
    <row r="6" customFormat="false" ht="15" hidden="false" customHeight="true" outlineLevel="0" collapsed="false">
      <c r="A6" s="15" t="s">
        <v>2568</v>
      </c>
      <c r="B6" s="16" t="n">
        <f aca="false">COUNTIF(Leads!$O$2:$O$801,"Spam")</f>
        <v>150</v>
      </c>
      <c r="C6" s="12"/>
      <c r="D6" s="12"/>
      <c r="E6" s="12"/>
      <c r="F6" s="12"/>
      <c r="G6" s="12"/>
      <c r="H6" s="12"/>
      <c r="I6" s="12"/>
    </row>
    <row r="7" customFormat="false" ht="15" hidden="false" customHeight="true" outlineLevel="0" collapsed="false">
      <c r="A7" s="15" t="s">
        <v>2569</v>
      </c>
      <c r="B7" s="17" t="n">
        <f aca="false">IFERROR(B6/(B5-B8),0)</f>
        <v>0.286259541984733</v>
      </c>
      <c r="C7" s="12"/>
      <c r="D7" s="12"/>
      <c r="E7" s="12"/>
      <c r="F7" s="12"/>
      <c r="G7" s="12"/>
      <c r="H7" s="12"/>
      <c r="I7" s="12"/>
    </row>
    <row r="8" customFormat="false" ht="15" hidden="false" customHeight="true" outlineLevel="0" collapsed="false">
      <c r="A8" s="15" t="s">
        <v>2570</v>
      </c>
      <c r="B8" s="16" t="n">
        <f aca="false">COUNTBLANK(Leads!$O$2:$O$801)</f>
        <v>276</v>
      </c>
      <c r="C8" s="12"/>
      <c r="D8" s="12"/>
      <c r="E8" s="12"/>
      <c r="F8" s="12"/>
      <c r="G8" s="12"/>
      <c r="H8" s="12"/>
      <c r="I8" s="12"/>
    </row>
    <row r="9" customFormat="false" ht="15" hidden="false" customHeight="true" outlineLevel="0" collapsed="false">
      <c r="A9" s="15" t="s">
        <v>2571</v>
      </c>
      <c r="B9" s="17" t="n">
        <f aca="false">IFERROR(B8/B5,0)</f>
        <v>0.345</v>
      </c>
      <c r="C9" s="12"/>
      <c r="D9" s="12"/>
      <c r="E9" s="12"/>
      <c r="F9" s="12"/>
      <c r="G9" s="12"/>
      <c r="H9" s="12"/>
      <c r="I9" s="12"/>
    </row>
    <row r="10" customFormat="false" ht="15" hidden="false" customHeight="true" outlineLevel="0" collapsed="false">
      <c r="A10" s="15" t="s">
        <v>2572</v>
      </c>
      <c r="B10" s="16" t="n">
        <f aca="false">COUNTIFS(Leads!$O$2:$O$801,"Qualified")+COUNTIFS(Leads!$O$2:$O$801,"Won")+COUNTIFS(Leads!$O$2:$O$801,"Lost")</f>
        <v>111</v>
      </c>
      <c r="C10" s="12"/>
      <c r="D10" s="12"/>
      <c r="E10" s="12"/>
      <c r="F10" s="12"/>
      <c r="G10" s="12"/>
      <c r="H10" s="12"/>
      <c r="I10" s="12"/>
    </row>
    <row r="11" customFormat="false" ht="15" hidden="false" customHeight="true" outlineLevel="0" collapsed="false">
      <c r="A11" s="15" t="s">
        <v>2573</v>
      </c>
      <c r="B11" s="17" t="n">
        <f aca="false">IFERROR(B10/(COUNTIFS(Leads!$O$2:$O$801,"Unqualified")+COUNTIFS(Leads!$O$2:$O$801,"Qualified")+COUNTIFS(Leads!$O$2:$O$801,"Won")+COUNTIFS(Leads!$O$2:$O$801,"Lost")),0)</f>
        <v>0.338414634146342</v>
      </c>
      <c r="C11" s="12"/>
      <c r="D11" s="12"/>
      <c r="E11" s="12"/>
      <c r="F11" s="12"/>
      <c r="G11" s="12"/>
      <c r="H11" s="12"/>
      <c r="I11" s="12"/>
    </row>
    <row r="12" customFormat="false" ht="15" hidden="false" customHeight="true" outlineLevel="0" collapsed="false">
      <c r="A12" s="15" t="s">
        <v>147</v>
      </c>
      <c r="B12" s="16" t="n">
        <f aca="false">COUNTIF(Leads!$O$2:$O$801,"Won")</f>
        <v>30</v>
      </c>
      <c r="C12" s="12"/>
      <c r="D12" s="12"/>
      <c r="E12" s="12"/>
      <c r="F12" s="12"/>
      <c r="G12" s="12"/>
      <c r="H12" s="12"/>
      <c r="I12" s="12"/>
    </row>
    <row r="13" customFormat="false" ht="15" hidden="false" customHeight="true" outlineLevel="0" collapsed="false">
      <c r="A13" s="15" t="s">
        <v>2574</v>
      </c>
      <c r="B13" s="17" t="n">
        <f aca="false">IFERROR(B12/(B12+COUNTIF(Leads!$O$2:$O$801,"Lost")),0)</f>
        <v>0.4</v>
      </c>
      <c r="C13" s="12"/>
      <c r="D13" s="12"/>
      <c r="E13" s="12"/>
      <c r="F13" s="12"/>
      <c r="G13" s="12"/>
      <c r="H13" s="12"/>
      <c r="I13" s="12"/>
    </row>
    <row r="14" customFormat="false" ht="15" hidden="false" customHeight="true" outlineLevel="0" collapsed="false">
      <c r="A14" s="15" t="s">
        <v>2575</v>
      </c>
      <c r="B14" s="18" t="n">
        <f aca="false">SUM(Leads!$P$2:$P$801)</f>
        <v>2064000</v>
      </c>
      <c r="C14" s="12"/>
      <c r="D14" s="12"/>
      <c r="E14" s="12"/>
      <c r="F14" s="12"/>
      <c r="G14" s="12"/>
      <c r="H14" s="12"/>
      <c r="I14" s="12"/>
    </row>
    <row r="15" customFormat="false" ht="15" hidden="false" customHeight="true" outlineLevel="0" collapsed="false">
      <c r="A15" s="15" t="s">
        <v>2576</v>
      </c>
      <c r="B15" s="19" t="n">
        <f aca="false">AVERAGE(Leads!$M$2:$M$801)</f>
        <v>24.8635846372688</v>
      </c>
      <c r="C15" s="12"/>
      <c r="D15" s="12"/>
      <c r="E15" s="12"/>
      <c r="F15" s="12"/>
      <c r="G15" s="12"/>
      <c r="H15" s="12"/>
      <c r="I15" s="12"/>
    </row>
    <row r="16" customFormat="false" ht="15" hidden="false" customHeight="true" outlineLevel="0" collapsed="false">
      <c r="A16" s="15" t="s">
        <v>2577</v>
      </c>
      <c r="B16" s="19" t="n">
        <f aca="false">IFERROR((SUMIFS(Leads!$M$2:$M$801,Leads!$O$2:$O$801,"Qualified")+SUMIFS(Leads!$M$2:$M$801,Leads!$O$2:$O$801,"Won")+SUMIFS(Leads!$M$2:$M$801,Leads!$O$2:$O$801,"Lost"))/(COUNTIFS(Leads!$O$2:$O$801,"Qualified",Leads!$M$2:$M$801,"&gt;=0")+COUNTIFS(Leads!$O$2:$O$801,"Won",Leads!$M$2:$M$801,"&gt;=0")+COUNTIFS(Leads!$O$2:$O$801,"Lost",Leads!$M$2:$M$801,"&gt;=0")),0)</f>
        <v>24.5288288288288</v>
      </c>
      <c r="C16" s="12"/>
      <c r="D16" s="12"/>
      <c r="E16" s="12"/>
      <c r="F16" s="12"/>
      <c r="G16" s="12"/>
      <c r="H16" s="12"/>
      <c r="I16" s="12"/>
    </row>
    <row r="17" customFormat="false" ht="15" hidden="false" customHeight="true" outlineLevel="0" collapsed="false">
      <c r="A17" s="15" t="s">
        <v>2578</v>
      </c>
      <c r="B17" s="17" t="n">
        <f aca="false">IFERROR((COUNTIFS(Leads!$O$2:$O$801,"Qualified",Leads!$M$2:$M$801,"&lt;=2")+COUNTIFS(Leads!$O$2:$O$801,"Won",Leads!$M$2:$M$801,"&lt;=2")+COUNTIFS(Leads!$O$2:$O$801,"Lost",Leads!$M$2:$M$801,"&lt;=2"))/B10,0)</f>
        <v>0.027027027027027</v>
      </c>
      <c r="C17" s="12"/>
      <c r="D17" s="12"/>
      <c r="E17" s="12"/>
      <c r="F17" s="12"/>
      <c r="G17" s="12"/>
      <c r="H17" s="12"/>
      <c r="I17" s="12"/>
    </row>
    <row r="18" customFormat="false" ht="15" hidden="false" customHeight="true" outlineLevel="0" collapsed="false">
      <c r="A18" s="15" t="s">
        <v>2579</v>
      </c>
      <c r="B18" s="20" t="n">
        <v>10</v>
      </c>
      <c r="C18" s="12"/>
      <c r="D18" s="12"/>
      <c r="E18" s="12"/>
      <c r="F18" s="12"/>
      <c r="G18" s="12"/>
      <c r="H18" s="12"/>
      <c r="I18" s="12"/>
    </row>
    <row r="19" customFormat="false" ht="15" hidden="false" customHeight="true" outlineLevel="0" collapsed="false">
      <c r="A19" s="15" t="s">
        <v>2580</v>
      </c>
      <c r="B19" s="19" t="n">
        <f aca="false">B6*B18/60</f>
        <v>25</v>
      </c>
      <c r="C19" s="12"/>
      <c r="D19" s="12"/>
      <c r="E19" s="12"/>
      <c r="F19" s="12"/>
      <c r="G19" s="12"/>
      <c r="H19" s="12"/>
      <c r="I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true" outlineLevel="0" collapsed="false">
      <c r="A21" s="14" t="s">
        <v>2581</v>
      </c>
      <c r="B21" s="12"/>
      <c r="C21" s="12"/>
      <c r="D21" s="12"/>
      <c r="E21" s="12"/>
      <c r="F21" s="12"/>
      <c r="G21" s="12"/>
      <c r="H21" s="12"/>
      <c r="I21" s="12"/>
    </row>
    <row r="22" customFormat="false" ht="31.5" hidden="false" customHeight="true" outlineLevel="0" collapsed="false">
      <c r="A22" s="6" t="s">
        <v>18</v>
      </c>
      <c r="B22" s="6" t="s">
        <v>2582</v>
      </c>
      <c r="C22" s="6" t="s">
        <v>2583</v>
      </c>
      <c r="D22" s="6" t="s">
        <v>2584</v>
      </c>
      <c r="E22" s="6" t="s">
        <v>2585</v>
      </c>
      <c r="F22" s="6" t="s">
        <v>2586</v>
      </c>
      <c r="G22" s="6" t="s">
        <v>2587</v>
      </c>
      <c r="H22" s="6" t="s">
        <v>147</v>
      </c>
      <c r="I22" s="6" t="s">
        <v>2588</v>
      </c>
    </row>
    <row r="23" customFormat="false" ht="15" hidden="false" customHeight="true" outlineLevel="0" collapsed="false">
      <c r="A23" s="15" t="s">
        <v>51</v>
      </c>
      <c r="B23" s="15" t="n">
        <f aca="false">COUNTIF(Leads!$C$2:$C$801,$A23)</f>
        <v>238</v>
      </c>
      <c r="C23" s="15" t="n">
        <f aca="false">COUNTIFS(Leads!$C$2:$C$801,$A23,Leads!$O$2:$O$801,"Spam")</f>
        <v>82</v>
      </c>
      <c r="D23" s="17" t="n">
        <f aca="false">IFERROR(C23/(B23-COUNTIFS(Leads!$C$2:$C$801,$A23,Leads!$O$2:$O$801,"")),0)</f>
        <v>0.529032258064516</v>
      </c>
      <c r="E23" s="17" t="n">
        <f aca="false">IFERROR(COUNTIFS(Leads!$C$2:$C$801,$A23,Leads!$O$2:$O$801,"")/B23,0)</f>
        <v>0.348739495798319</v>
      </c>
      <c r="F23" s="15" t="n">
        <f aca="false">COUNTIFS(Leads!$O$2:$O$801,"Qualified",Leads!$C$2:$C$801,$A23)+COUNTIFS(Leads!$O$2:$O$801,"Won",Leads!$C$2:$C$801,$A23)+COUNTIFS(Leads!$O$2:$O$801,"Lost",Leads!$C$2:$C$801,$A23)</f>
        <v>16</v>
      </c>
      <c r="G23" s="17" t="n">
        <f aca="false">IFERROR(F23/(COUNTIFS(Leads!$O$2:$O$801,"Unqualified",Leads!$C$2:$C$801,$A23)+COUNTIFS(Leads!$O$2:$O$801,"Qualified",Leads!$C$2:$C$801,$A23)+COUNTIFS(Leads!$O$2:$O$801,"Won",Leads!$C$2:$C$801,$A23)+COUNTIFS(Leads!$O$2:$O$801,"Lost",Leads!$C$2:$C$801,$A23)),0)</f>
        <v>0.266666666666667</v>
      </c>
      <c r="H23" s="15" t="n">
        <f aca="false">COUNTIFS(Leads!$C$2:$C$801,$A23,Leads!$O$2:$O$801,"Won")</f>
        <v>4</v>
      </c>
      <c r="I23" s="18" t="n">
        <f aca="false">SUMIFS(Leads!$P$2:$P$801,Leads!$C$2:$C$801,$A23)</f>
        <v>252000</v>
      </c>
    </row>
    <row r="24" customFormat="false" ht="15" hidden="false" customHeight="true" outlineLevel="0" collapsed="false">
      <c r="A24" s="15" t="s">
        <v>76</v>
      </c>
      <c r="B24" s="15" t="n">
        <f aca="false">COUNTIF(Leads!$C$2:$C$801,$A24)</f>
        <v>113</v>
      </c>
      <c r="C24" s="15" t="n">
        <f aca="false">COUNTIFS(Leads!$C$2:$C$801,$A24,Leads!$O$2:$O$801,"Spam")</f>
        <v>39</v>
      </c>
      <c r="D24" s="17" t="n">
        <f aca="false">IFERROR(C24/(B24-COUNTIFS(Leads!$C$2:$C$801,$A24,Leads!$O$2:$O$801,"")),0)</f>
        <v>0.541666666666667</v>
      </c>
      <c r="E24" s="17" t="n">
        <f aca="false">IFERROR(COUNTIFS(Leads!$C$2:$C$801,$A24,Leads!$O$2:$O$801,"")/B24,0)</f>
        <v>0.36283185840708</v>
      </c>
      <c r="F24" s="15" t="n">
        <f aca="false">COUNTIFS(Leads!$O$2:$O$801,"Qualified",Leads!$C$2:$C$801,$A24)+COUNTIFS(Leads!$O$2:$O$801,"Won",Leads!$C$2:$C$801,$A24)+COUNTIFS(Leads!$O$2:$O$801,"Lost",Leads!$C$2:$C$801,$A24)</f>
        <v>3</v>
      </c>
      <c r="G24" s="17" t="n">
        <f aca="false">IFERROR(F24/(COUNTIFS(Leads!$O$2:$O$801,"Unqualified",Leads!$C$2:$C$801,$A24)+COUNTIFS(Leads!$O$2:$O$801,"Qualified",Leads!$C$2:$C$801,$A24)+COUNTIFS(Leads!$O$2:$O$801,"Won",Leads!$C$2:$C$801,$A24)+COUNTIFS(Leads!$O$2:$O$801,"Lost",Leads!$C$2:$C$801,$A24)),0)</f>
        <v>0.107142857142857</v>
      </c>
      <c r="H24" s="15" t="n">
        <f aca="false">COUNTIFS(Leads!$C$2:$C$801,$A24,Leads!$O$2:$O$801,"Won")</f>
        <v>0</v>
      </c>
      <c r="I24" s="18" t="n">
        <f aca="false">SUMIFS(Leads!$P$2:$P$801,Leads!$C$2:$C$801,$A24)</f>
        <v>0</v>
      </c>
    </row>
    <row r="25" customFormat="false" ht="15" hidden="false" customHeight="true" outlineLevel="0" collapsed="false">
      <c r="A25" s="15" t="s">
        <v>160</v>
      </c>
      <c r="B25" s="15" t="n">
        <f aca="false">COUNTIF(Leads!$C$2:$C$801,$A25)</f>
        <v>114</v>
      </c>
      <c r="C25" s="15" t="n">
        <f aca="false">COUNTIFS(Leads!$C$2:$C$801,$A25,Leads!$O$2:$O$801,"Spam")</f>
        <v>16</v>
      </c>
      <c r="D25" s="17" t="n">
        <f aca="false">IFERROR(C25/(B25-COUNTIFS(Leads!$C$2:$C$801,$A25,Leads!$O$2:$O$801,"")),0)</f>
        <v>0.210526315789474</v>
      </c>
      <c r="E25" s="17" t="n">
        <f aca="false">IFERROR(COUNTIFS(Leads!$C$2:$C$801,$A25,Leads!$O$2:$O$801,"")/B25,0)</f>
        <v>0.333333333333333</v>
      </c>
      <c r="F25" s="15" t="n">
        <f aca="false">COUNTIFS(Leads!$O$2:$O$801,"Qualified",Leads!$C$2:$C$801,$A25)+COUNTIFS(Leads!$O$2:$O$801,"Won",Leads!$C$2:$C$801,$A25)+COUNTIFS(Leads!$O$2:$O$801,"Lost",Leads!$C$2:$C$801,$A25)</f>
        <v>28</v>
      </c>
      <c r="G25" s="17" t="n">
        <f aca="false">IFERROR(F25/(COUNTIFS(Leads!$O$2:$O$801,"Unqualified",Leads!$C$2:$C$801,$A25)+COUNTIFS(Leads!$O$2:$O$801,"Qualified",Leads!$C$2:$C$801,$A25)+COUNTIFS(Leads!$O$2:$O$801,"Won",Leads!$C$2:$C$801,$A25)+COUNTIFS(Leads!$O$2:$O$801,"Lost",Leads!$C$2:$C$801,$A25)),0)</f>
        <v>0.518518518518519</v>
      </c>
      <c r="H25" s="15" t="n">
        <f aca="false">COUNTIFS(Leads!$C$2:$C$801,$A25,Leads!$O$2:$O$801,"Won")</f>
        <v>5</v>
      </c>
      <c r="I25" s="18" t="n">
        <f aca="false">SUMIFS(Leads!$P$2:$P$801,Leads!$C$2:$C$801,$A25)</f>
        <v>480000</v>
      </c>
    </row>
    <row r="26" customFormat="false" ht="15" hidden="false" customHeight="true" outlineLevel="0" collapsed="false">
      <c r="A26" s="15" t="s">
        <v>91</v>
      </c>
      <c r="B26" s="15" t="n">
        <f aca="false">COUNTIF(Leads!$C$2:$C$801,$A26)</f>
        <v>107</v>
      </c>
      <c r="C26" s="15" t="n">
        <f aca="false">COUNTIFS(Leads!$C$2:$C$801,$A26,Leads!$O$2:$O$801,"Spam")</f>
        <v>9</v>
      </c>
      <c r="D26" s="17" t="n">
        <f aca="false">IFERROR(C26/(B26-COUNTIFS(Leads!$C$2:$C$801,$A26,Leads!$O$2:$O$801,"")),0)</f>
        <v>0.125</v>
      </c>
      <c r="E26" s="17" t="n">
        <f aca="false">IFERROR(COUNTIFS(Leads!$C$2:$C$801,$A26,Leads!$O$2:$O$801,"")/B26,0)</f>
        <v>0.327102803738318</v>
      </c>
      <c r="F26" s="15" t="n">
        <f aca="false">COUNTIFS(Leads!$O$2:$O$801,"Qualified",Leads!$C$2:$C$801,$A26)+COUNTIFS(Leads!$O$2:$O$801,"Won",Leads!$C$2:$C$801,$A26)+COUNTIFS(Leads!$O$2:$O$801,"Lost",Leads!$C$2:$C$801,$A26)</f>
        <v>7</v>
      </c>
      <c r="G26" s="17" t="n">
        <f aca="false">IFERROR(F26/(COUNTIFS(Leads!$O$2:$O$801,"Unqualified",Leads!$C$2:$C$801,$A26)+COUNTIFS(Leads!$O$2:$O$801,"Qualified",Leads!$C$2:$C$801,$A26)+COUNTIFS(Leads!$O$2:$O$801,"Won",Leads!$C$2:$C$801,$A26)+COUNTIFS(Leads!$O$2:$O$801,"Lost",Leads!$C$2:$C$801,$A26)),0)</f>
        <v>0.125</v>
      </c>
      <c r="H26" s="15" t="n">
        <f aca="false">COUNTIFS(Leads!$C$2:$C$801,$A26,Leads!$O$2:$O$801,"Won")</f>
        <v>2</v>
      </c>
      <c r="I26" s="18" t="n">
        <f aca="false">SUMIFS(Leads!$P$2:$P$801,Leads!$C$2:$C$801,$A26)</f>
        <v>42000</v>
      </c>
    </row>
    <row r="27" customFormat="false" ht="15" hidden="false" customHeight="true" outlineLevel="0" collapsed="false">
      <c r="A27" s="15" t="s">
        <v>135</v>
      </c>
      <c r="B27" s="15" t="n">
        <f aca="false">COUNTIF(Leads!$C$2:$C$801,$A27)</f>
        <v>103</v>
      </c>
      <c r="C27" s="15" t="n">
        <f aca="false">COUNTIFS(Leads!$C$2:$C$801,$A27,Leads!$O$2:$O$801,"Spam")</f>
        <v>2</v>
      </c>
      <c r="D27" s="17" t="n">
        <f aca="false">IFERROR(C27/(B27-COUNTIFS(Leads!$C$2:$C$801,$A27,Leads!$O$2:$O$801,"")),0)</f>
        <v>0.0294117647058824</v>
      </c>
      <c r="E27" s="17" t="n">
        <f aca="false">IFERROR(COUNTIFS(Leads!$C$2:$C$801,$A27,Leads!$O$2:$O$801,"")/B27,0)</f>
        <v>0.339805825242718</v>
      </c>
      <c r="F27" s="15" t="n">
        <f aca="false">COUNTIFS(Leads!$O$2:$O$801,"Qualified",Leads!$C$2:$C$801,$A27)+COUNTIFS(Leads!$O$2:$O$801,"Won",Leads!$C$2:$C$801,$A27)+COUNTIFS(Leads!$O$2:$O$801,"Lost",Leads!$C$2:$C$801,$A27)</f>
        <v>22</v>
      </c>
      <c r="G27" s="17" t="n">
        <f aca="false">IFERROR(F27/(COUNTIFS(Leads!$O$2:$O$801,"Unqualified",Leads!$C$2:$C$801,$A27)+COUNTIFS(Leads!$O$2:$O$801,"Qualified",Leads!$C$2:$C$801,$A27)+COUNTIFS(Leads!$O$2:$O$801,"Won",Leads!$C$2:$C$801,$A27)+COUNTIFS(Leads!$O$2:$O$801,"Lost",Leads!$C$2:$C$801,$A27)),0)</f>
        <v>0.372881355932203</v>
      </c>
      <c r="H27" s="15" t="n">
        <f aca="false">COUNTIFS(Leads!$C$2:$C$801,$A27,Leads!$O$2:$O$801,"Won")</f>
        <v>7</v>
      </c>
      <c r="I27" s="18" t="n">
        <f aca="false">SUMIFS(Leads!$P$2:$P$801,Leads!$C$2:$C$801,$A27)</f>
        <v>450000</v>
      </c>
    </row>
    <row r="28" customFormat="false" ht="15" hidden="false" customHeight="true" outlineLevel="0" collapsed="false">
      <c r="A28" s="15" t="s">
        <v>112</v>
      </c>
      <c r="B28" s="15" t="n">
        <f aca="false">COUNTIF(Leads!$C$2:$C$801,$A28)</f>
        <v>72</v>
      </c>
      <c r="C28" s="15" t="n">
        <f aca="false">COUNTIFS(Leads!$C$2:$C$801,$A28,Leads!$O$2:$O$801,"Spam")</f>
        <v>2</v>
      </c>
      <c r="D28" s="17" t="n">
        <f aca="false">IFERROR(C28/(B28-COUNTIFS(Leads!$C$2:$C$801,$A28,Leads!$O$2:$O$801,"")),0)</f>
        <v>0.0454545454545455</v>
      </c>
      <c r="E28" s="17" t="n">
        <f aca="false">IFERROR(COUNTIFS(Leads!$C$2:$C$801,$A28,Leads!$O$2:$O$801,"")/B28,0)</f>
        <v>0.388888888888889</v>
      </c>
      <c r="F28" s="15" t="n">
        <f aca="false">COUNTIFS(Leads!$O$2:$O$801,"Qualified",Leads!$C$2:$C$801,$A28)+COUNTIFS(Leads!$O$2:$O$801,"Won",Leads!$C$2:$C$801,$A28)+COUNTIFS(Leads!$O$2:$O$801,"Lost",Leads!$C$2:$C$801,$A28)</f>
        <v>11</v>
      </c>
      <c r="G28" s="17" t="n">
        <f aca="false">IFERROR(F28/(COUNTIFS(Leads!$O$2:$O$801,"Unqualified",Leads!$C$2:$C$801,$A28)+COUNTIFS(Leads!$O$2:$O$801,"Qualified",Leads!$C$2:$C$801,$A28)+COUNTIFS(Leads!$O$2:$O$801,"Won",Leads!$C$2:$C$801,$A28)+COUNTIFS(Leads!$O$2:$O$801,"Lost",Leads!$C$2:$C$801,$A28)),0)</f>
        <v>0.305555555555556</v>
      </c>
      <c r="H28" s="15" t="n">
        <f aca="false">COUNTIFS(Leads!$C$2:$C$801,$A28,Leads!$O$2:$O$801,"Won")</f>
        <v>4</v>
      </c>
      <c r="I28" s="18" t="n">
        <f aca="false">SUMIFS(Leads!$P$2:$P$801,Leads!$C$2:$C$801,$A28)</f>
        <v>252000</v>
      </c>
    </row>
    <row r="29" customFormat="false" ht="15" hidden="false" customHeight="true" outlineLevel="0" collapsed="false">
      <c r="A29" s="15" t="s">
        <v>128</v>
      </c>
      <c r="B29" s="15" t="n">
        <f aca="false">COUNTIF(Leads!$C$2:$C$801,$A29)</f>
        <v>53</v>
      </c>
      <c r="C29" s="15" t="n">
        <f aca="false">COUNTIFS(Leads!$C$2:$C$801,$A29,Leads!$O$2:$O$801,"Spam")</f>
        <v>0</v>
      </c>
      <c r="D29" s="17" t="n">
        <f aca="false">IFERROR(C29/(B29-COUNTIFS(Leads!$C$2:$C$801,$A29,Leads!$O$2:$O$801,"")),0)</f>
        <v>0</v>
      </c>
      <c r="E29" s="17" t="n">
        <f aca="false">IFERROR(COUNTIFS(Leads!$C$2:$C$801,$A29,Leads!$O$2:$O$801,"")/B29,0)</f>
        <v>0.30188679245283</v>
      </c>
      <c r="F29" s="15" t="n">
        <f aca="false">COUNTIFS(Leads!$O$2:$O$801,"Qualified",Leads!$C$2:$C$801,$A29)+COUNTIFS(Leads!$O$2:$O$801,"Won",Leads!$C$2:$C$801,$A29)+COUNTIFS(Leads!$O$2:$O$801,"Lost",Leads!$C$2:$C$801,$A29)</f>
        <v>24</v>
      </c>
      <c r="G29" s="17" t="n">
        <f aca="false">IFERROR(F29/(COUNTIFS(Leads!$O$2:$O$801,"Unqualified",Leads!$C$2:$C$801,$A29)+COUNTIFS(Leads!$O$2:$O$801,"Qualified",Leads!$C$2:$C$801,$A29)+COUNTIFS(Leads!$O$2:$O$801,"Won",Leads!$C$2:$C$801,$A29)+COUNTIFS(Leads!$O$2:$O$801,"Lost",Leads!$C$2:$C$801,$A29)),0)</f>
        <v>0.685714285714286</v>
      </c>
      <c r="H29" s="15" t="n">
        <f aca="false">COUNTIFS(Leads!$C$2:$C$801,$A29,Leads!$O$2:$O$801,"Won")</f>
        <v>8</v>
      </c>
      <c r="I29" s="18" t="n">
        <f aca="false">SUMIFS(Leads!$P$2:$P$801,Leads!$C$2:$C$801,$A29)</f>
        <v>588000</v>
      </c>
    </row>
    <row r="30" customFormat="false" ht="15" hidden="false" customHeight="true" outlineLevel="0" collapsed="false">
      <c r="A30" s="21" t="s">
        <v>2589</v>
      </c>
      <c r="B30" s="21" t="n">
        <f aca="false">SUM(B23:B29)</f>
        <v>800</v>
      </c>
      <c r="C30" s="21" t="n">
        <f aca="false">SUM(C23:C29)</f>
        <v>150</v>
      </c>
      <c r="D30" s="22" t="n">
        <f aca="false">B7</f>
        <v>0.286259541984733</v>
      </c>
      <c r="E30" s="22" t="n">
        <f aca="false">B9</f>
        <v>0.345</v>
      </c>
      <c r="F30" s="21" t="n">
        <f aca="false">SUM(F23:F29)</f>
        <v>111</v>
      </c>
      <c r="G30" s="22" t="n">
        <f aca="false">B11</f>
        <v>0.338414634146342</v>
      </c>
      <c r="H30" s="21" t="n">
        <f aca="false">SUM(H23:H29)</f>
        <v>30</v>
      </c>
      <c r="I30" s="23" t="n">
        <f aca="false">SUM(I23:I29)</f>
        <v>2064000</v>
      </c>
    </row>
    <row r="31" customFormat="false" ht="1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</row>
    <row r="32" customFormat="false" ht="15" hidden="false" customHeight="true" outlineLevel="0" collapsed="false">
      <c r="A32" s="14" t="s">
        <v>2590</v>
      </c>
      <c r="B32" s="12"/>
      <c r="C32" s="12"/>
      <c r="D32" s="12"/>
      <c r="E32" s="12"/>
      <c r="F32" s="12"/>
      <c r="G32" s="12"/>
      <c r="H32" s="12"/>
      <c r="I32" s="12"/>
    </row>
    <row r="33" customFormat="false" ht="31.5" hidden="false" customHeight="true" outlineLevel="0" collapsed="false">
      <c r="A33" s="6" t="s">
        <v>2591</v>
      </c>
      <c r="B33" s="6" t="s">
        <v>2582</v>
      </c>
      <c r="C33" s="6" t="s">
        <v>2583</v>
      </c>
      <c r="D33" s="6" t="s">
        <v>2592</v>
      </c>
      <c r="E33" s="6" t="s">
        <v>2585</v>
      </c>
      <c r="F33" s="6" t="s">
        <v>2586</v>
      </c>
      <c r="G33" s="12"/>
      <c r="H33" s="12"/>
      <c r="I33" s="12"/>
    </row>
    <row r="34" customFormat="false" ht="15" hidden="false" customHeight="true" outlineLevel="0" collapsed="false">
      <c r="A34" s="24" t="n">
        <v>45931</v>
      </c>
      <c r="B34" s="15" t="n">
        <f aca="false">COUNTIFS(Leads!$B$2:$B$801,"&gt;="&amp;$A34,Leads!$B$2:$B$801,"&lt;"&amp;EDATE($A34,1))</f>
        <v>54</v>
      </c>
      <c r="C34" s="15" t="n">
        <f aca="false">COUNTIFS(Leads!$B$2:$B$801,"&gt;="&amp;$A34,Leads!$B$2:$B$801,"&lt;"&amp;EDATE($A34,1),Leads!$O$2:$O$801,"Spam")</f>
        <v>6</v>
      </c>
      <c r="D34" s="15" t="n">
        <f aca="false">COUNTIFS(Leads!$B$2:$B$801,"&gt;="&amp;$A34,Leads!$B$2:$B$801,"&lt;"&amp;EDATE($A34,1),Leads!$O$2:$O$801,"")</f>
        <v>24</v>
      </c>
      <c r="E34" s="17" t="n">
        <f aca="false">IFERROR(D34/B34,0)</f>
        <v>0.444444444444444</v>
      </c>
      <c r="F34" s="15" t="n">
        <f aca="false">COUNTIFS(Leads!$B$2:$B$801,"&gt;="&amp;$A34,Leads!$B$2:$B$801,"&lt;"&amp;EDATE($A34,1),Leads!$O$2:$O$801,"Qualified")+COUNTIFS(Leads!$B$2:$B$801,"&gt;="&amp;$A34,Leads!$B$2:$B$801,"&lt;"&amp;EDATE($A34,1),Leads!$O$2:$O$801,"Won")+COUNTIFS(Leads!$B$2:$B$801,"&gt;="&amp;$A34,Leads!$B$2:$B$801,"&lt;"&amp;EDATE($A34,1),Leads!$O$2:$O$801,"Lost")</f>
        <v>9</v>
      </c>
      <c r="G34" s="12"/>
      <c r="H34" s="12"/>
      <c r="I34" s="12"/>
    </row>
    <row r="35" customFormat="false" ht="15" hidden="false" customHeight="true" outlineLevel="0" collapsed="false">
      <c r="A35" s="24" t="n">
        <v>45962</v>
      </c>
      <c r="B35" s="15" t="n">
        <f aca="false">COUNTIFS(Leads!$B$2:$B$801,"&gt;="&amp;$A35,Leads!$B$2:$B$801,"&lt;"&amp;EDATE($A35,1))</f>
        <v>80</v>
      </c>
      <c r="C35" s="15" t="n">
        <f aca="false">COUNTIFS(Leads!$B$2:$B$801,"&gt;="&amp;$A35,Leads!$B$2:$B$801,"&lt;"&amp;EDATE($A35,1),Leads!$O$2:$O$801,"Spam")</f>
        <v>10</v>
      </c>
      <c r="D35" s="15" t="n">
        <f aca="false">COUNTIFS(Leads!$B$2:$B$801,"&gt;="&amp;$A35,Leads!$B$2:$B$801,"&lt;"&amp;EDATE($A35,1),Leads!$O$2:$O$801,"")</f>
        <v>38</v>
      </c>
      <c r="E35" s="17" t="n">
        <f aca="false">IFERROR(D35/B35,0)</f>
        <v>0.475</v>
      </c>
      <c r="F35" s="15" t="n">
        <f aca="false">COUNTIFS(Leads!$B$2:$B$801,"&gt;="&amp;$A35,Leads!$B$2:$B$801,"&lt;"&amp;EDATE($A35,1),Leads!$O$2:$O$801,"Qualified")+COUNTIFS(Leads!$B$2:$B$801,"&gt;="&amp;$A35,Leads!$B$2:$B$801,"&lt;"&amp;EDATE($A35,1),Leads!$O$2:$O$801,"Won")+COUNTIFS(Leads!$B$2:$B$801,"&gt;="&amp;$A35,Leads!$B$2:$B$801,"&lt;"&amp;EDATE($A35,1),Leads!$O$2:$O$801,"Lost")</f>
        <v>8</v>
      </c>
      <c r="G35" s="12"/>
      <c r="H35" s="12"/>
      <c r="I35" s="12"/>
    </row>
    <row r="36" customFormat="false" ht="15" hidden="false" customHeight="true" outlineLevel="0" collapsed="false">
      <c r="A36" s="24" t="n">
        <v>45992</v>
      </c>
      <c r="B36" s="15" t="n">
        <f aca="false">COUNTIFS(Leads!$B$2:$B$801,"&gt;="&amp;$A36,Leads!$B$2:$B$801,"&lt;"&amp;EDATE($A36,1))</f>
        <v>70</v>
      </c>
      <c r="C36" s="15" t="n">
        <f aca="false">COUNTIFS(Leads!$B$2:$B$801,"&gt;="&amp;$A36,Leads!$B$2:$B$801,"&lt;"&amp;EDATE($A36,1),Leads!$O$2:$O$801,"Spam")</f>
        <v>10</v>
      </c>
      <c r="D36" s="15" t="n">
        <f aca="false">COUNTIFS(Leads!$B$2:$B$801,"&gt;="&amp;$A36,Leads!$B$2:$B$801,"&lt;"&amp;EDATE($A36,1),Leads!$O$2:$O$801,"")</f>
        <v>35</v>
      </c>
      <c r="E36" s="17" t="n">
        <f aca="false">IFERROR(D36/B36,0)</f>
        <v>0.5</v>
      </c>
      <c r="F36" s="15" t="n">
        <f aca="false">COUNTIFS(Leads!$B$2:$B$801,"&gt;="&amp;$A36,Leads!$B$2:$B$801,"&lt;"&amp;EDATE($A36,1),Leads!$O$2:$O$801,"Qualified")+COUNTIFS(Leads!$B$2:$B$801,"&gt;="&amp;$A36,Leads!$B$2:$B$801,"&lt;"&amp;EDATE($A36,1),Leads!$O$2:$O$801,"Won")+COUNTIFS(Leads!$B$2:$B$801,"&gt;="&amp;$A36,Leads!$B$2:$B$801,"&lt;"&amp;EDATE($A36,1),Leads!$O$2:$O$801,"Lost")</f>
        <v>7</v>
      </c>
      <c r="G36" s="12"/>
      <c r="H36" s="12"/>
      <c r="I36" s="12"/>
    </row>
    <row r="37" customFormat="false" ht="15" hidden="false" customHeight="true" outlineLevel="0" collapsed="false">
      <c r="A37" s="24" t="n">
        <v>46023</v>
      </c>
      <c r="B37" s="15" t="n">
        <f aca="false">COUNTIFS(Leads!$B$2:$B$801,"&gt;="&amp;$A37,Leads!$B$2:$B$801,"&lt;"&amp;EDATE($A37,1))</f>
        <v>72</v>
      </c>
      <c r="C37" s="15" t="n">
        <f aca="false">COUNTIFS(Leads!$B$2:$B$801,"&gt;="&amp;$A37,Leads!$B$2:$B$801,"&lt;"&amp;EDATE($A37,1),Leads!$O$2:$O$801,"Spam")</f>
        <v>6</v>
      </c>
      <c r="D37" s="15" t="n">
        <f aca="false">COUNTIFS(Leads!$B$2:$B$801,"&gt;="&amp;$A37,Leads!$B$2:$B$801,"&lt;"&amp;EDATE($A37,1),Leads!$O$2:$O$801,"")</f>
        <v>36</v>
      </c>
      <c r="E37" s="17" t="n">
        <f aca="false">IFERROR(D37/B37,0)</f>
        <v>0.5</v>
      </c>
      <c r="F37" s="15" t="n">
        <f aca="false">COUNTIFS(Leads!$B$2:$B$801,"&gt;="&amp;$A37,Leads!$B$2:$B$801,"&lt;"&amp;EDATE($A37,1),Leads!$O$2:$O$801,"Qualified")+COUNTIFS(Leads!$B$2:$B$801,"&gt;="&amp;$A37,Leads!$B$2:$B$801,"&lt;"&amp;EDATE($A37,1),Leads!$O$2:$O$801,"Won")+COUNTIFS(Leads!$B$2:$B$801,"&gt;="&amp;$A37,Leads!$B$2:$B$801,"&lt;"&amp;EDATE($A37,1),Leads!$O$2:$O$801,"Lost")</f>
        <v>13</v>
      </c>
      <c r="G37" s="12"/>
      <c r="H37" s="12"/>
      <c r="I37" s="12"/>
    </row>
    <row r="38" customFormat="false" ht="15" hidden="false" customHeight="true" outlineLevel="0" collapsed="false">
      <c r="A38" s="24" t="n">
        <v>46054</v>
      </c>
      <c r="B38" s="15" t="n">
        <f aca="false">COUNTIFS(Leads!$B$2:$B$801,"&gt;="&amp;$A38,Leads!$B$2:$B$801,"&lt;"&amp;EDATE($A38,1))</f>
        <v>46</v>
      </c>
      <c r="C38" s="15" t="n">
        <f aca="false">COUNTIFS(Leads!$B$2:$B$801,"&gt;="&amp;$A38,Leads!$B$2:$B$801,"&lt;"&amp;EDATE($A38,1),Leads!$O$2:$O$801,"Spam")</f>
        <v>9</v>
      </c>
      <c r="D38" s="15" t="n">
        <f aca="false">COUNTIFS(Leads!$B$2:$B$801,"&gt;="&amp;$A38,Leads!$B$2:$B$801,"&lt;"&amp;EDATE($A38,1),Leads!$O$2:$O$801,"")</f>
        <v>19</v>
      </c>
      <c r="E38" s="17" t="n">
        <f aca="false">IFERROR(D38/B38,0)</f>
        <v>0.41304347826087</v>
      </c>
      <c r="F38" s="15" t="n">
        <f aca="false">COUNTIFS(Leads!$B$2:$B$801,"&gt;="&amp;$A38,Leads!$B$2:$B$801,"&lt;"&amp;EDATE($A38,1),Leads!$O$2:$O$801,"Qualified")+COUNTIFS(Leads!$B$2:$B$801,"&gt;="&amp;$A38,Leads!$B$2:$B$801,"&lt;"&amp;EDATE($A38,1),Leads!$O$2:$O$801,"Won")+COUNTIFS(Leads!$B$2:$B$801,"&gt;="&amp;$A38,Leads!$B$2:$B$801,"&lt;"&amp;EDATE($A38,1),Leads!$O$2:$O$801,"Lost")</f>
        <v>2</v>
      </c>
      <c r="G38" s="12"/>
      <c r="H38" s="12"/>
      <c r="I38" s="12"/>
    </row>
    <row r="39" customFormat="false" ht="15" hidden="false" customHeight="true" outlineLevel="0" collapsed="false">
      <c r="A39" s="24" t="n">
        <v>46082</v>
      </c>
      <c r="B39" s="15" t="n">
        <f aca="false">COUNTIFS(Leads!$B$2:$B$801,"&gt;="&amp;$A39,Leads!$B$2:$B$801,"&lt;"&amp;EDATE($A39,1))</f>
        <v>59</v>
      </c>
      <c r="C39" s="15" t="n">
        <f aca="false">COUNTIFS(Leads!$B$2:$B$801,"&gt;="&amp;$A39,Leads!$B$2:$B$801,"&lt;"&amp;EDATE($A39,1),Leads!$O$2:$O$801,"Spam")</f>
        <v>15</v>
      </c>
      <c r="D39" s="15" t="n">
        <f aca="false">COUNTIFS(Leads!$B$2:$B$801,"&gt;="&amp;$A39,Leads!$B$2:$B$801,"&lt;"&amp;EDATE($A39,1),Leads!$O$2:$O$801,"")</f>
        <v>19</v>
      </c>
      <c r="E39" s="17" t="n">
        <f aca="false">IFERROR(D39/B39,0)</f>
        <v>0.322033898305085</v>
      </c>
      <c r="F39" s="15" t="n">
        <f aca="false">COUNTIFS(Leads!$B$2:$B$801,"&gt;="&amp;$A39,Leads!$B$2:$B$801,"&lt;"&amp;EDATE($A39,1),Leads!$O$2:$O$801,"Qualified")+COUNTIFS(Leads!$B$2:$B$801,"&gt;="&amp;$A39,Leads!$B$2:$B$801,"&lt;"&amp;EDATE($A39,1),Leads!$O$2:$O$801,"Won")+COUNTIFS(Leads!$B$2:$B$801,"&gt;="&amp;$A39,Leads!$B$2:$B$801,"&lt;"&amp;EDATE($A39,1),Leads!$O$2:$O$801,"Lost")</f>
        <v>7</v>
      </c>
      <c r="G39" s="12"/>
      <c r="H39" s="12"/>
      <c r="I39" s="12"/>
    </row>
    <row r="40" customFormat="false" ht="15" hidden="false" customHeight="true" outlineLevel="0" collapsed="false">
      <c r="A40" s="24" t="n">
        <v>46113</v>
      </c>
      <c r="B40" s="15" t="n">
        <f aca="false">COUNTIFS(Leads!$B$2:$B$801,"&gt;="&amp;$A40,Leads!$B$2:$B$801,"&lt;"&amp;EDATE($A40,1))</f>
        <v>74</v>
      </c>
      <c r="C40" s="15" t="n">
        <f aca="false">COUNTIFS(Leads!$B$2:$B$801,"&gt;="&amp;$A40,Leads!$B$2:$B$801,"&lt;"&amp;EDATE($A40,1),Leads!$O$2:$O$801,"Spam")</f>
        <v>16</v>
      </c>
      <c r="D40" s="15" t="n">
        <f aca="false">COUNTIFS(Leads!$B$2:$B$801,"&gt;="&amp;$A40,Leads!$B$2:$B$801,"&lt;"&amp;EDATE($A40,1),Leads!$O$2:$O$801,"")</f>
        <v>22</v>
      </c>
      <c r="E40" s="17" t="n">
        <f aca="false">IFERROR(D40/B40,0)</f>
        <v>0.297297297297297</v>
      </c>
      <c r="F40" s="15" t="n">
        <f aca="false">COUNTIFS(Leads!$B$2:$B$801,"&gt;="&amp;$A40,Leads!$B$2:$B$801,"&lt;"&amp;EDATE($A40,1),Leads!$O$2:$O$801,"Qualified")+COUNTIFS(Leads!$B$2:$B$801,"&gt;="&amp;$A40,Leads!$B$2:$B$801,"&lt;"&amp;EDATE($A40,1),Leads!$O$2:$O$801,"Won")+COUNTIFS(Leads!$B$2:$B$801,"&gt;="&amp;$A40,Leads!$B$2:$B$801,"&lt;"&amp;EDATE($A40,1),Leads!$O$2:$O$801,"Lost")</f>
        <v>11</v>
      </c>
      <c r="G40" s="12"/>
      <c r="H40" s="12"/>
      <c r="I40" s="12"/>
    </row>
    <row r="41" customFormat="false" ht="15" hidden="false" customHeight="true" outlineLevel="0" collapsed="false">
      <c r="A41" s="24" t="n">
        <v>46143</v>
      </c>
      <c r="B41" s="15" t="n">
        <f aca="false">COUNTIFS(Leads!$B$2:$B$801,"&gt;="&amp;$A41,Leads!$B$2:$B$801,"&lt;"&amp;EDATE($A41,1))</f>
        <v>75</v>
      </c>
      <c r="C41" s="15" t="n">
        <f aca="false">COUNTIFS(Leads!$B$2:$B$801,"&gt;="&amp;$A41,Leads!$B$2:$B$801,"&lt;"&amp;EDATE($A41,1),Leads!$O$2:$O$801,"Spam")</f>
        <v>11</v>
      </c>
      <c r="D41" s="15" t="n">
        <f aca="false">COUNTIFS(Leads!$B$2:$B$801,"&gt;="&amp;$A41,Leads!$B$2:$B$801,"&lt;"&amp;EDATE($A41,1),Leads!$O$2:$O$801,"")</f>
        <v>24</v>
      </c>
      <c r="E41" s="17" t="n">
        <f aca="false">IFERROR(D41/B41,0)</f>
        <v>0.32</v>
      </c>
      <c r="F41" s="15" t="n">
        <f aca="false">COUNTIFS(Leads!$B$2:$B$801,"&gt;="&amp;$A41,Leads!$B$2:$B$801,"&lt;"&amp;EDATE($A41,1),Leads!$O$2:$O$801,"Qualified")+COUNTIFS(Leads!$B$2:$B$801,"&gt;="&amp;$A41,Leads!$B$2:$B$801,"&lt;"&amp;EDATE($A41,1),Leads!$O$2:$O$801,"Won")+COUNTIFS(Leads!$B$2:$B$801,"&gt;="&amp;$A41,Leads!$B$2:$B$801,"&lt;"&amp;EDATE($A41,1),Leads!$O$2:$O$801,"Lost")</f>
        <v>13</v>
      </c>
      <c r="G41" s="12"/>
      <c r="H41" s="12"/>
      <c r="I41" s="12"/>
    </row>
    <row r="42" customFormat="false" ht="15" hidden="false" customHeight="true" outlineLevel="0" collapsed="false">
      <c r="A42" s="24" t="n">
        <v>46174</v>
      </c>
      <c r="B42" s="15" t="n">
        <f aca="false">COUNTIFS(Leads!$B$2:$B$801,"&gt;="&amp;$A42,Leads!$B$2:$B$801,"&lt;"&amp;EDATE($A42,1))</f>
        <v>77</v>
      </c>
      <c r="C42" s="15" t="n">
        <f aca="false">COUNTIFS(Leads!$B$2:$B$801,"&gt;="&amp;$A42,Leads!$B$2:$B$801,"&lt;"&amp;EDATE($A42,1),Leads!$O$2:$O$801,"Spam")</f>
        <v>20</v>
      </c>
      <c r="D42" s="15" t="n">
        <f aca="false">COUNTIFS(Leads!$B$2:$B$801,"&gt;="&amp;$A42,Leads!$B$2:$B$801,"&lt;"&amp;EDATE($A42,1),Leads!$O$2:$O$801,"")</f>
        <v>20</v>
      </c>
      <c r="E42" s="17" t="n">
        <f aca="false">IFERROR(D42/B42,0)</f>
        <v>0.25974025974026</v>
      </c>
      <c r="F42" s="15" t="n">
        <f aca="false">COUNTIFS(Leads!$B$2:$B$801,"&gt;="&amp;$A42,Leads!$B$2:$B$801,"&lt;"&amp;EDATE($A42,1),Leads!$O$2:$O$801,"Qualified")+COUNTIFS(Leads!$B$2:$B$801,"&gt;="&amp;$A42,Leads!$B$2:$B$801,"&lt;"&amp;EDATE($A42,1),Leads!$O$2:$O$801,"Won")+COUNTIFS(Leads!$B$2:$B$801,"&gt;="&amp;$A42,Leads!$B$2:$B$801,"&lt;"&amp;EDATE($A42,1),Leads!$O$2:$O$801,"Lost")</f>
        <v>14</v>
      </c>
      <c r="G42" s="12"/>
      <c r="H42" s="12"/>
      <c r="I42" s="12"/>
    </row>
    <row r="43" customFormat="false" ht="15" hidden="false" customHeight="true" outlineLevel="0" collapsed="false">
      <c r="A43" s="24" t="n">
        <v>46204</v>
      </c>
      <c r="B43" s="15" t="n">
        <f aca="false">COUNTIFS(Leads!$B$2:$B$801,"&gt;="&amp;$A43,Leads!$B$2:$B$801,"&lt;"&amp;EDATE($A43,1))</f>
        <v>56</v>
      </c>
      <c r="C43" s="15" t="n">
        <f aca="false">COUNTIFS(Leads!$B$2:$B$801,"&gt;="&amp;$A43,Leads!$B$2:$B$801,"&lt;"&amp;EDATE($A43,1),Leads!$O$2:$O$801,"Spam")</f>
        <v>9</v>
      </c>
      <c r="D43" s="15" t="n">
        <f aca="false">COUNTIFS(Leads!$B$2:$B$801,"&gt;="&amp;$A43,Leads!$B$2:$B$801,"&lt;"&amp;EDATE($A43,1),Leads!$O$2:$O$801,"")</f>
        <v>18</v>
      </c>
      <c r="E43" s="17" t="n">
        <f aca="false">IFERROR(D43/B43,0)</f>
        <v>0.321428571428571</v>
      </c>
      <c r="F43" s="15" t="n">
        <f aca="false">COUNTIFS(Leads!$B$2:$B$801,"&gt;="&amp;$A43,Leads!$B$2:$B$801,"&lt;"&amp;EDATE($A43,1),Leads!$O$2:$O$801,"Qualified")+COUNTIFS(Leads!$B$2:$B$801,"&gt;="&amp;$A43,Leads!$B$2:$B$801,"&lt;"&amp;EDATE($A43,1),Leads!$O$2:$O$801,"Won")+COUNTIFS(Leads!$B$2:$B$801,"&gt;="&amp;$A43,Leads!$B$2:$B$801,"&lt;"&amp;EDATE($A43,1),Leads!$O$2:$O$801,"Lost")</f>
        <v>11</v>
      </c>
      <c r="G43" s="12"/>
      <c r="H43" s="12"/>
      <c r="I43" s="12"/>
    </row>
    <row r="44" customFormat="false" ht="15" hidden="false" customHeight="true" outlineLevel="0" collapsed="false">
      <c r="A44" s="24" t="n">
        <v>46235</v>
      </c>
      <c r="B44" s="15" t="n">
        <f aca="false">COUNTIFS(Leads!$B$2:$B$801,"&gt;="&amp;$A44,Leads!$B$2:$B$801,"&lt;"&amp;EDATE($A44,1))</f>
        <v>66</v>
      </c>
      <c r="C44" s="15" t="n">
        <f aca="false">COUNTIFS(Leads!$B$2:$B$801,"&gt;="&amp;$A44,Leads!$B$2:$B$801,"&lt;"&amp;EDATE($A44,1),Leads!$O$2:$O$801,"Spam")</f>
        <v>19</v>
      </c>
      <c r="D44" s="15" t="n">
        <f aca="false">COUNTIFS(Leads!$B$2:$B$801,"&gt;="&amp;$A44,Leads!$B$2:$B$801,"&lt;"&amp;EDATE($A44,1),Leads!$O$2:$O$801,"")</f>
        <v>8</v>
      </c>
      <c r="E44" s="17" t="n">
        <f aca="false">IFERROR(D44/B44,0)</f>
        <v>0.121212121212121</v>
      </c>
      <c r="F44" s="15" t="n">
        <f aca="false">COUNTIFS(Leads!$B$2:$B$801,"&gt;="&amp;$A44,Leads!$B$2:$B$801,"&lt;"&amp;EDATE($A44,1),Leads!$O$2:$O$801,"Qualified")+COUNTIFS(Leads!$B$2:$B$801,"&gt;="&amp;$A44,Leads!$B$2:$B$801,"&lt;"&amp;EDATE($A44,1),Leads!$O$2:$O$801,"Won")+COUNTIFS(Leads!$B$2:$B$801,"&gt;="&amp;$A44,Leads!$B$2:$B$801,"&lt;"&amp;EDATE($A44,1),Leads!$O$2:$O$801,"Lost")</f>
        <v>12</v>
      </c>
      <c r="G44" s="12"/>
      <c r="H44" s="12"/>
      <c r="I44" s="12"/>
    </row>
    <row r="45" customFormat="false" ht="15" hidden="false" customHeight="true" outlineLevel="0" collapsed="false">
      <c r="A45" s="24" t="n">
        <v>46266</v>
      </c>
      <c r="B45" s="15" t="n">
        <f aca="false">COUNTIFS(Leads!$B$2:$B$801,"&gt;="&amp;$A45,Leads!$B$2:$B$801,"&lt;"&amp;EDATE($A45,1))</f>
        <v>71</v>
      </c>
      <c r="C45" s="15" t="n">
        <f aca="false">COUNTIFS(Leads!$B$2:$B$801,"&gt;="&amp;$A45,Leads!$B$2:$B$801,"&lt;"&amp;EDATE($A45,1),Leads!$O$2:$O$801,"Spam")</f>
        <v>19</v>
      </c>
      <c r="D45" s="15" t="n">
        <f aca="false">COUNTIFS(Leads!$B$2:$B$801,"&gt;="&amp;$A45,Leads!$B$2:$B$801,"&lt;"&amp;EDATE($A45,1),Leads!$O$2:$O$801,"")</f>
        <v>13</v>
      </c>
      <c r="E45" s="17" t="n">
        <f aca="false">IFERROR(D45/B45,0)</f>
        <v>0.183098591549296</v>
      </c>
      <c r="F45" s="15" t="n">
        <f aca="false">COUNTIFS(Leads!$B$2:$B$801,"&gt;="&amp;$A45,Leads!$B$2:$B$801,"&lt;"&amp;EDATE($A45,1),Leads!$O$2:$O$801,"Qualified")+COUNTIFS(Leads!$B$2:$B$801,"&gt;="&amp;$A45,Leads!$B$2:$B$801,"&lt;"&amp;EDATE($A45,1),Leads!$O$2:$O$801,"Won")+COUNTIFS(Leads!$B$2:$B$801,"&gt;="&amp;$A45,Leads!$B$2:$B$801,"&lt;"&amp;EDATE($A45,1),Leads!$O$2:$O$801,"Lost")</f>
        <v>4</v>
      </c>
      <c r="G45" s="12"/>
      <c r="H45" s="12"/>
      <c r="I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</row>
    <row r="47" customFormat="false" ht="15" hidden="false" customHeight="true" outlineLevel="0" collapsed="false">
      <c r="A47" s="14" t="s">
        <v>2593</v>
      </c>
      <c r="B47" s="12"/>
      <c r="C47" s="12"/>
      <c r="D47" s="12"/>
      <c r="E47" s="12"/>
      <c r="F47" s="12"/>
      <c r="G47" s="12"/>
      <c r="H47" s="12"/>
      <c r="I47" s="12"/>
    </row>
    <row r="48" customFormat="false" ht="31.5" hidden="false" customHeight="true" outlineLevel="0" collapsed="false">
      <c r="A48" s="6" t="s">
        <v>2594</v>
      </c>
      <c r="B48" s="6" t="s">
        <v>2582</v>
      </c>
      <c r="C48" s="6" t="s">
        <v>2584</v>
      </c>
      <c r="D48" s="6" t="s">
        <v>2586</v>
      </c>
      <c r="E48" s="6" t="s">
        <v>2587</v>
      </c>
      <c r="F48" s="12"/>
      <c r="G48" s="12"/>
      <c r="H48" s="12"/>
      <c r="I48" s="12"/>
    </row>
    <row r="49" customFormat="false" ht="15" hidden="false" customHeight="true" outlineLevel="0" collapsed="false">
      <c r="A49" s="15" t="s">
        <v>22</v>
      </c>
      <c r="B49" s="15" t="n">
        <f aca="false">COUNTIF(Leads!$F$2:$F$801,$A49)</f>
        <v>343</v>
      </c>
      <c r="C49" s="17" t="n">
        <f aca="false">IFERROR(COUNTIFS(Leads!$F$2:$F$801,$A49,Leads!$O$2:$O$801,"Spam")/(B49-COUNTIFS(Leads!$F$2:$F$801,$A49,Leads!$O$2:$O$801,"")),0)</f>
        <v>0.167420814479638</v>
      </c>
      <c r="D49" s="15" t="n">
        <f aca="false">COUNTIFS(Leads!$O$2:$O$801,"Qualified",Leads!$F$2:$F$801,$A49)+COUNTIFS(Leads!$O$2:$O$801,"Won",Leads!$F$2:$F$801,$A49)+COUNTIFS(Leads!$O$2:$O$801,"Lost",Leads!$F$2:$F$801,$A49)</f>
        <v>93</v>
      </c>
      <c r="E49" s="17" t="n">
        <f aca="false">IFERROR(D49/(COUNTIFS(Leads!$O$2:$O$801,"Unqualified",Leads!$F$2:$F$801,$A49)+COUNTIFS(Leads!$O$2:$O$801,"Qualified",Leads!$F$2:$F$801,$A49)+COUNTIFS(Leads!$O$2:$O$801,"Won",Leads!$F$2:$F$801,$A49)+COUNTIFS(Leads!$O$2:$O$801,"Lost",Leads!$F$2:$F$801,$A49)),0)</f>
        <v>0.596153846153846</v>
      </c>
      <c r="F49" s="12"/>
      <c r="G49" s="12"/>
      <c r="H49" s="12"/>
      <c r="I49" s="12"/>
    </row>
    <row r="50" customFormat="false" ht="15" hidden="false" customHeight="true" outlineLevel="0" collapsed="false">
      <c r="A50" s="15" t="s">
        <v>54</v>
      </c>
      <c r="B50" s="15" t="n">
        <f aca="false">COUNTIF(Leads!$F$2:$F$801,$A50)</f>
        <v>383</v>
      </c>
      <c r="C50" s="17" t="n">
        <f aca="false">IFERROR(COUNTIFS(Leads!$F$2:$F$801,$A50,Leads!$O$2:$O$801,"Spam")/(B50-COUNTIFS(Leads!$F$2:$F$801,$A50,Leads!$O$2:$O$801,"")),0)</f>
        <v>0.272030651340996</v>
      </c>
      <c r="D50" s="15" t="n">
        <f aca="false">COUNTIFS(Leads!$O$2:$O$801,"Qualified",Leads!$F$2:$F$801,$A50)+COUNTIFS(Leads!$O$2:$O$801,"Won",Leads!$F$2:$F$801,$A50)+COUNTIFS(Leads!$O$2:$O$801,"Lost",Leads!$F$2:$F$801,$A50)</f>
        <v>18</v>
      </c>
      <c r="E50" s="17" t="n">
        <f aca="false">IFERROR(D50/(COUNTIFS(Leads!$O$2:$O$801,"Unqualified",Leads!$F$2:$F$801,$A50)+COUNTIFS(Leads!$O$2:$O$801,"Qualified",Leads!$F$2:$F$801,$A50)+COUNTIFS(Leads!$O$2:$O$801,"Won",Leads!$F$2:$F$801,$A50)+COUNTIFS(Leads!$O$2:$O$801,"Lost",Leads!$F$2:$F$801,$A50)),0)</f>
        <v>0.104651162790698</v>
      </c>
      <c r="F50" s="12"/>
      <c r="G50" s="12"/>
      <c r="H50" s="12"/>
      <c r="I50" s="12"/>
    </row>
    <row r="51" customFormat="false" ht="15" hidden="false" customHeight="true" outlineLevel="0" collapsed="false">
      <c r="A51" s="15" t="s">
        <v>63</v>
      </c>
      <c r="B51" s="15" t="n">
        <f aca="false">COUNTIF(Leads!$F$2:$F$801,$A51)</f>
        <v>74</v>
      </c>
      <c r="C51" s="17" t="n">
        <f aca="false">IFERROR(COUNTIFS(Leads!$F$2:$F$801,$A51,Leads!$O$2:$O$801,"Spam")/(B51-COUNTIFS(Leads!$F$2:$F$801,$A51,Leads!$O$2:$O$801,"")),0)</f>
        <v>1</v>
      </c>
      <c r="D51" s="15" t="n">
        <f aca="false">COUNTIFS(Leads!$O$2:$O$801,"Qualified",Leads!$F$2:$F$801,$A51)+COUNTIFS(Leads!$O$2:$O$801,"Won",Leads!$F$2:$F$801,$A51)+COUNTIFS(Leads!$O$2:$O$801,"Lost",Leads!$F$2:$F$801,$A51)</f>
        <v>0</v>
      </c>
      <c r="E51" s="17" t="n">
        <f aca="false">IFERROR(D51/(COUNTIFS(Leads!$O$2:$O$801,"Unqualified",Leads!$F$2:$F$801,$A51)+COUNTIFS(Leads!$O$2:$O$801,"Qualified",Leads!$F$2:$F$801,$A51)+COUNTIFS(Leads!$O$2:$O$801,"Won",Leads!$F$2:$F$801,$A51)+COUNTIFS(Leads!$O$2:$O$801,"Lost",Leads!$F$2:$F$801,$A51)),0)</f>
        <v>0</v>
      </c>
      <c r="F51" s="12"/>
      <c r="G51" s="12"/>
      <c r="H51" s="12"/>
      <c r="I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14" t="s">
        <v>2595</v>
      </c>
      <c r="B53" s="12"/>
      <c r="C53" s="12"/>
      <c r="D53" s="12"/>
      <c r="E53" s="12"/>
      <c r="F53" s="12"/>
      <c r="G53" s="12"/>
      <c r="H53" s="12"/>
      <c r="I53" s="12"/>
    </row>
    <row r="54" customFormat="false" ht="31.5" hidden="false" customHeight="true" outlineLevel="0" collapsed="false">
      <c r="A54" s="6" t="s">
        <v>2596</v>
      </c>
      <c r="B54" s="6" t="s">
        <v>2582</v>
      </c>
      <c r="C54" s="6" t="s">
        <v>2586</v>
      </c>
      <c r="D54" s="6" t="s">
        <v>2587</v>
      </c>
      <c r="E54" s="6" t="s">
        <v>147</v>
      </c>
      <c r="F54" s="12"/>
      <c r="G54" s="12"/>
      <c r="H54" s="12"/>
      <c r="I54" s="12"/>
    </row>
    <row r="55" customFormat="false" ht="15" hidden="false" customHeight="true" outlineLevel="0" collapsed="false">
      <c r="A55" s="15" t="s">
        <v>122</v>
      </c>
      <c r="B55" s="15" t="n">
        <f aca="false">COUNTIF(Leads!$J$2:$J$801,$A55)</f>
        <v>151</v>
      </c>
      <c r="C55" s="15" t="n">
        <f aca="false">COUNTIFS(Leads!$O$2:$O$801,"Qualified",Leads!$J$2:$J$801,$A55)+COUNTIFS(Leads!$O$2:$O$801,"Won",Leads!$J$2:$J$801,$A55)+COUNTIFS(Leads!$O$2:$O$801,"Lost",Leads!$J$2:$J$801,$A55)</f>
        <v>13</v>
      </c>
      <c r="D55" s="17" t="n">
        <f aca="false">IFERROR(C55/(COUNTIFS(Leads!$O$2:$O$801,"Unqualified",Leads!$J$2:$J$801,$A55)+COUNTIFS(Leads!$O$2:$O$801,"Qualified",Leads!$J$2:$J$801,$A55)+COUNTIFS(Leads!$O$2:$O$801,"Won",Leads!$J$2:$J$801,$A55)+COUNTIFS(Leads!$O$2:$O$801,"Lost",Leads!$J$2:$J$801,$A55)),0)</f>
        <v>0.245283018867925</v>
      </c>
      <c r="E55" s="15" t="n">
        <f aca="false">COUNTIFS(Leads!$J$2:$J$801,$A55,Leads!$O$2:$O$801,"Won")</f>
        <v>5</v>
      </c>
      <c r="F55" s="12"/>
      <c r="G55" s="12"/>
      <c r="H55" s="12"/>
      <c r="I55" s="12"/>
    </row>
    <row r="56" customFormat="false" ht="15" hidden="false" customHeight="true" outlineLevel="0" collapsed="false">
      <c r="A56" s="15" t="s">
        <v>165</v>
      </c>
      <c r="B56" s="15" t="n">
        <f aca="false">COUNTIF(Leads!$J$2:$J$801,$A56)</f>
        <v>40</v>
      </c>
      <c r="C56" s="15" t="n">
        <f aca="false">COUNTIFS(Leads!$O$2:$O$801,"Qualified",Leads!$J$2:$J$801,$A56)+COUNTIFS(Leads!$O$2:$O$801,"Won",Leads!$J$2:$J$801,$A56)+COUNTIFS(Leads!$O$2:$O$801,"Lost",Leads!$J$2:$J$801,$A56)</f>
        <v>11</v>
      </c>
      <c r="D56" s="17" t="n">
        <f aca="false">IFERROR(C56/(COUNTIFS(Leads!$O$2:$O$801,"Unqualified",Leads!$J$2:$J$801,$A56)+COUNTIFS(Leads!$O$2:$O$801,"Qualified",Leads!$J$2:$J$801,$A56)+COUNTIFS(Leads!$O$2:$O$801,"Won",Leads!$J$2:$J$801,$A56)+COUNTIFS(Leads!$O$2:$O$801,"Lost",Leads!$J$2:$J$801,$A56)),0)</f>
        <v>0.611111111111111</v>
      </c>
      <c r="E56" s="15" t="n">
        <f aca="false">COUNTIFS(Leads!$J$2:$J$801,$A56,Leads!$O$2:$O$801,"Won")</f>
        <v>1</v>
      </c>
      <c r="F56" s="12"/>
      <c r="G56" s="12"/>
      <c r="H56" s="12"/>
      <c r="I56" s="12"/>
    </row>
    <row r="57" customFormat="false" ht="15" hidden="false" customHeight="true" outlineLevel="0" collapsed="false">
      <c r="A57" s="15" t="s">
        <v>108</v>
      </c>
      <c r="B57" s="15" t="n">
        <f aca="false">COUNTIF(Leads!$J$2:$J$801,$A57)</f>
        <v>36</v>
      </c>
      <c r="C57" s="15" t="n">
        <f aca="false">COUNTIFS(Leads!$O$2:$O$801,"Qualified",Leads!$J$2:$J$801,$A57)+COUNTIFS(Leads!$O$2:$O$801,"Won",Leads!$J$2:$J$801,$A57)+COUNTIFS(Leads!$O$2:$O$801,"Lost",Leads!$J$2:$J$801,$A57)</f>
        <v>12</v>
      </c>
      <c r="D57" s="17" t="n">
        <f aca="false">IFERROR(C57/(COUNTIFS(Leads!$O$2:$O$801,"Unqualified",Leads!$J$2:$J$801,$A57)+COUNTIFS(Leads!$O$2:$O$801,"Qualified",Leads!$J$2:$J$801,$A57)+COUNTIFS(Leads!$O$2:$O$801,"Won",Leads!$J$2:$J$801,$A57)+COUNTIFS(Leads!$O$2:$O$801,"Lost",Leads!$J$2:$J$801,$A57)),0)</f>
        <v>0.631578947368421</v>
      </c>
      <c r="E57" s="15" t="n">
        <f aca="false">COUNTIFS(Leads!$J$2:$J$801,$A57,Leads!$O$2:$O$801,"Won")</f>
        <v>1</v>
      </c>
      <c r="F57" s="12"/>
      <c r="G57" s="12"/>
      <c r="H57" s="12"/>
      <c r="I57" s="12"/>
    </row>
    <row r="58" customFormat="false" ht="15" hidden="false" customHeight="true" outlineLevel="0" collapsed="false">
      <c r="A58" s="15" t="s">
        <v>57</v>
      </c>
      <c r="B58" s="15" t="n">
        <f aca="false">COUNTIF(Leads!$J$2:$J$801,$A58)</f>
        <v>34</v>
      </c>
      <c r="C58" s="15" t="n">
        <f aca="false">COUNTIFS(Leads!$O$2:$O$801,"Qualified",Leads!$J$2:$J$801,$A58)+COUNTIFS(Leads!$O$2:$O$801,"Won",Leads!$J$2:$J$801,$A58)+COUNTIFS(Leads!$O$2:$O$801,"Lost",Leads!$J$2:$J$801,$A58)</f>
        <v>19</v>
      </c>
      <c r="D58" s="17" t="n">
        <f aca="false">IFERROR(C58/(COUNTIFS(Leads!$O$2:$O$801,"Unqualified",Leads!$J$2:$J$801,$A58)+COUNTIFS(Leads!$O$2:$O$801,"Qualified",Leads!$J$2:$J$801,$A58)+COUNTIFS(Leads!$O$2:$O$801,"Won",Leads!$J$2:$J$801,$A58)+COUNTIFS(Leads!$O$2:$O$801,"Lost",Leads!$J$2:$J$801,$A58)),0)</f>
        <v>0.95</v>
      </c>
      <c r="E58" s="15" t="n">
        <f aca="false">COUNTIFS(Leads!$J$2:$J$801,$A58,Leads!$O$2:$O$801,"Won")</f>
        <v>6</v>
      </c>
      <c r="F58" s="12"/>
      <c r="G58" s="12"/>
      <c r="H58" s="12"/>
      <c r="I58" s="12"/>
    </row>
    <row r="59" customFormat="false" ht="15" hidden="false" customHeight="true" outlineLevel="0" collapsed="false">
      <c r="A59" s="15" t="s">
        <v>81</v>
      </c>
      <c r="B59" s="15" t="n">
        <f aca="false">COUNTIF(Leads!$J$2:$J$801,$A59)</f>
        <v>161</v>
      </c>
      <c r="C59" s="15" t="n">
        <f aca="false">COUNTIFS(Leads!$O$2:$O$801,"Qualified",Leads!$J$2:$J$801,$A59)+COUNTIFS(Leads!$O$2:$O$801,"Won",Leads!$J$2:$J$801,$A59)+COUNTIFS(Leads!$O$2:$O$801,"Lost",Leads!$J$2:$J$801,$A59)</f>
        <v>10</v>
      </c>
      <c r="D59" s="17" t="n">
        <f aca="false">IFERROR(C59/(COUNTIFS(Leads!$O$2:$O$801,"Unqualified",Leads!$J$2:$J$801,$A59)+COUNTIFS(Leads!$O$2:$O$801,"Qualified",Leads!$J$2:$J$801,$A59)+COUNTIFS(Leads!$O$2:$O$801,"Won",Leads!$J$2:$J$801,$A59)+COUNTIFS(Leads!$O$2:$O$801,"Lost",Leads!$J$2:$J$801,$A59)),0)</f>
        <v>0.166666666666667</v>
      </c>
      <c r="E59" s="15" t="n">
        <f aca="false">COUNTIFS(Leads!$J$2:$J$801,$A59,Leads!$O$2:$O$801,"Won")</f>
        <v>4</v>
      </c>
      <c r="F59" s="12"/>
      <c r="G59" s="12"/>
      <c r="H59" s="12"/>
      <c r="I59" s="12"/>
    </row>
    <row r="60" customFormat="false" ht="15" hidden="false" customHeight="true" outlineLevel="0" collapsed="false">
      <c r="A60" s="15" t="s">
        <v>245</v>
      </c>
      <c r="B60" s="15" t="n">
        <f aca="false">COUNTIF(Leads!$J$2:$J$801,$A60)</f>
        <v>39</v>
      </c>
      <c r="C60" s="15" t="n">
        <f aca="false">COUNTIFS(Leads!$O$2:$O$801,"Qualified",Leads!$J$2:$J$801,$A60)+COUNTIFS(Leads!$O$2:$O$801,"Won",Leads!$J$2:$J$801,$A60)+COUNTIFS(Leads!$O$2:$O$801,"Lost",Leads!$J$2:$J$801,$A60)</f>
        <v>19</v>
      </c>
      <c r="D60" s="17" t="n">
        <f aca="false">IFERROR(C60/(COUNTIFS(Leads!$O$2:$O$801,"Unqualified",Leads!$J$2:$J$801,$A60)+COUNTIFS(Leads!$O$2:$O$801,"Qualified",Leads!$J$2:$J$801,$A60)+COUNTIFS(Leads!$O$2:$O$801,"Won",Leads!$J$2:$J$801,$A60)+COUNTIFS(Leads!$O$2:$O$801,"Lost",Leads!$J$2:$J$801,$A60)),0)</f>
        <v>0.791666666666667</v>
      </c>
      <c r="E60" s="15" t="n">
        <f aca="false">COUNTIFS(Leads!$J$2:$J$801,$A60,Leads!$O$2:$O$801,"Won")</f>
        <v>5</v>
      </c>
      <c r="F60" s="12"/>
      <c r="G60" s="12"/>
      <c r="H60" s="12"/>
      <c r="I60" s="12"/>
    </row>
    <row r="61" customFormat="false" ht="15" hidden="false" customHeight="true" outlineLevel="0" collapsed="false">
      <c r="A61" s="15" t="s">
        <v>117</v>
      </c>
      <c r="B61" s="15" t="n">
        <f aca="false">COUNTIF(Leads!$J$2:$J$801,$A61)</f>
        <v>42</v>
      </c>
      <c r="C61" s="15" t="n">
        <f aca="false">COUNTIFS(Leads!$O$2:$O$801,"Qualified",Leads!$J$2:$J$801,$A61)+COUNTIFS(Leads!$O$2:$O$801,"Won",Leads!$J$2:$J$801,$A61)+COUNTIFS(Leads!$O$2:$O$801,"Lost",Leads!$J$2:$J$801,$A61)</f>
        <v>13</v>
      </c>
      <c r="D61" s="17" t="n">
        <f aca="false">IFERROR(C61/(COUNTIFS(Leads!$O$2:$O$801,"Unqualified",Leads!$J$2:$J$801,$A61)+COUNTIFS(Leads!$O$2:$O$801,"Qualified",Leads!$J$2:$J$801,$A61)+COUNTIFS(Leads!$O$2:$O$801,"Won",Leads!$J$2:$J$801,$A61)+COUNTIFS(Leads!$O$2:$O$801,"Lost",Leads!$J$2:$J$801,$A61)),0)</f>
        <v>0.8125</v>
      </c>
      <c r="E61" s="15" t="n">
        <f aca="false">COUNTIFS(Leads!$J$2:$J$801,$A61,Leads!$O$2:$O$801,"Won")</f>
        <v>4</v>
      </c>
      <c r="F61" s="12"/>
      <c r="G61" s="12"/>
      <c r="H61" s="12"/>
      <c r="I61" s="12"/>
    </row>
    <row r="62" customFormat="false" ht="15" hidden="false" customHeight="true" outlineLevel="0" collapsed="false">
      <c r="A62" s="15" t="s">
        <v>145</v>
      </c>
      <c r="B62" s="15" t="n">
        <f aca="false">COUNTIF(Leads!$J$2:$J$801,$A62)</f>
        <v>113</v>
      </c>
      <c r="C62" s="15" t="n">
        <f aca="false">COUNTIFS(Leads!$O$2:$O$801,"Qualified",Leads!$J$2:$J$801,$A62)+COUNTIFS(Leads!$O$2:$O$801,"Won",Leads!$J$2:$J$801,$A62)+COUNTIFS(Leads!$O$2:$O$801,"Lost",Leads!$J$2:$J$801,$A62)</f>
        <v>14</v>
      </c>
      <c r="D62" s="17" t="n">
        <f aca="false">IFERROR(C62/(COUNTIFS(Leads!$O$2:$O$801,"Unqualified",Leads!$J$2:$J$801,$A62)+COUNTIFS(Leads!$O$2:$O$801,"Qualified",Leads!$J$2:$J$801,$A62)+COUNTIFS(Leads!$O$2:$O$801,"Won",Leads!$J$2:$J$801,$A62)+COUNTIFS(Leads!$O$2:$O$801,"Lost",Leads!$J$2:$J$801,$A62)),0)</f>
        <v>0.168674698795181</v>
      </c>
      <c r="E62" s="15" t="n">
        <f aca="false">COUNTIFS(Leads!$J$2:$J$801,$A62,Leads!$O$2:$O$801,"Won")</f>
        <v>4</v>
      </c>
      <c r="F62" s="12"/>
      <c r="G62" s="12"/>
      <c r="H62" s="12"/>
      <c r="I62" s="12"/>
    </row>
    <row r="63" customFormat="false" ht="15" hidden="false" customHeight="true" outlineLevel="0" collapsed="false">
      <c r="A63" s="15" t="s">
        <v>65</v>
      </c>
      <c r="B63" s="15" t="n">
        <f aca="false">COUNTIF(Leads!$J$2:$J$801,$A63)</f>
        <v>184</v>
      </c>
      <c r="C63" s="15" t="n">
        <f aca="false">COUNTIFS(Leads!$O$2:$O$801,"Qualified",Leads!$J$2:$J$801,$A63)+COUNTIFS(Leads!$O$2:$O$801,"Won",Leads!$J$2:$J$801,$A63)+COUNTIFS(Leads!$O$2:$O$801,"Lost",Leads!$J$2:$J$801,$A63)</f>
        <v>0</v>
      </c>
      <c r="D63" s="17" t="n">
        <f aca="false">IFERROR(C63/(COUNTIFS(Leads!$O$2:$O$801,"Unqualified",Leads!$J$2:$J$801,$A63)+COUNTIFS(Leads!$O$2:$O$801,"Qualified",Leads!$J$2:$J$801,$A63)+COUNTIFS(Leads!$O$2:$O$801,"Won",Leads!$J$2:$J$801,$A63)+COUNTIFS(Leads!$O$2:$O$801,"Lost",Leads!$J$2:$J$801,$A63)),0)</f>
        <v>0</v>
      </c>
      <c r="E63" s="15" t="n">
        <f aca="false">COUNTIFS(Leads!$J$2:$J$801,$A63,Leads!$O$2:$O$801,"Won")</f>
        <v>0</v>
      </c>
      <c r="F63" s="12"/>
      <c r="G63" s="12"/>
      <c r="H63" s="12"/>
      <c r="I6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7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2" t="s">
        <v>2597</v>
      </c>
    </row>
    <row r="3" customFormat="false" ht="15" hidden="false" customHeight="true" outlineLevel="0" collapsed="false">
      <c r="A3" s="4" t="s">
        <v>2598</v>
      </c>
      <c r="B3" s="5" t="n">
        <v>1</v>
      </c>
    </row>
    <row r="5" customFormat="false" ht="31.5" hidden="false" customHeight="true" outlineLevel="0" collapsed="false">
      <c r="A5" s="25" t="s">
        <v>2599</v>
      </c>
      <c r="B5" s="25" t="s">
        <v>2600</v>
      </c>
      <c r="C5" s="25" t="s">
        <v>2601</v>
      </c>
      <c r="D5" s="25" t="s">
        <v>2602</v>
      </c>
      <c r="E5" s="25" t="s">
        <v>2603</v>
      </c>
      <c r="F5" s="25" t="s">
        <v>2604</v>
      </c>
      <c r="G5" s="25" t="s">
        <v>2605</v>
      </c>
      <c r="H5" s="25" t="s">
        <v>2606</v>
      </c>
    </row>
    <row r="6" customFormat="false" ht="15" hidden="false" customHeight="true" outlineLevel="0" collapsed="false">
      <c r="A6" s="15" t="s">
        <v>2607</v>
      </c>
      <c r="B6" s="15" t="s">
        <v>2608</v>
      </c>
      <c r="C6" s="15" t="n">
        <f aca="false">SUM(Leads!$Q$2:$Q$801)</f>
        <v>74</v>
      </c>
      <c r="D6" s="15" t="n">
        <f aca="false">COUNTIFS(Leads!$Q$2:$Q$801,1,Leads!$O$2:$O$801,"Spam")</f>
        <v>42</v>
      </c>
      <c r="E6" s="15" t="n">
        <f aca="false">COUNTIFS(Leads!$Q$2:$Q$801,1,Leads!$O$2:$O$801,"Unqualified")+COUNTIFS(Leads!$Q$2:$Q$801,1,Leads!$O$2:$O$801,"Open")+COUNTIFS(Leads!$Q$2:$Q$801,1,Leads!$O$2:$O$801,"Qualified")+COUNTIFS(Leads!$Q$2:$Q$801,1,Leads!$O$2:$O$801,"Won")+COUNTIFS(Leads!$Q$2:$Q$801,1,Leads!$O$2:$O$801,"Lost")</f>
        <v>0</v>
      </c>
      <c r="F6" s="17" t="n">
        <f aca="false">IFERROR(D6/(D6+E6),0)</f>
        <v>1</v>
      </c>
      <c r="G6" s="17" t="n">
        <f aca="false">IFERROR(D6/COUNTIF(Leads!$O$2:$O$801,"Spam"),0)</f>
        <v>0.28</v>
      </c>
      <c r="H6" s="26" t="n">
        <v>1</v>
      </c>
    </row>
    <row r="7" customFormat="false" ht="15" hidden="false" customHeight="true" outlineLevel="0" collapsed="false">
      <c r="A7" s="15" t="s">
        <v>2609</v>
      </c>
      <c r="B7" s="15" t="s">
        <v>2610</v>
      </c>
      <c r="C7" s="15" t="n">
        <f aca="false">SUM(Leads!$R$2:$R$801)</f>
        <v>168</v>
      </c>
      <c r="D7" s="15" t="n">
        <f aca="false">COUNTIFS(Leads!$R$2:$R$801,1,Leads!$O$2:$O$801,"Spam")</f>
        <v>91</v>
      </c>
      <c r="E7" s="15" t="n">
        <f aca="false">COUNTIFS(Leads!$R$2:$R$801,1,Leads!$O$2:$O$801,"Unqualified")+COUNTIFS(Leads!$R$2:$R$801,1,Leads!$O$2:$O$801,"Open")+COUNTIFS(Leads!$R$2:$R$801,1,Leads!$O$2:$O$801,"Qualified")+COUNTIFS(Leads!$R$2:$R$801,1,Leads!$O$2:$O$801,"Won")+COUNTIFS(Leads!$R$2:$R$801,1,Leads!$O$2:$O$801,"Lost")</f>
        <v>0</v>
      </c>
      <c r="F7" s="17" t="n">
        <f aca="false">IFERROR(D7/(D7+E7),0)</f>
        <v>1</v>
      </c>
      <c r="G7" s="17" t="n">
        <f aca="false">IFERROR(D7/COUNTIF(Leads!$O$2:$O$801,"Spam"),0)</f>
        <v>0.606666666666667</v>
      </c>
      <c r="H7" s="26" t="n">
        <v>1</v>
      </c>
    </row>
    <row r="8" customFormat="false" ht="15" hidden="false" customHeight="true" outlineLevel="0" collapsed="false">
      <c r="A8" s="15" t="s">
        <v>2611</v>
      </c>
      <c r="B8" s="15" t="s">
        <v>2612</v>
      </c>
      <c r="C8" s="15" t="n">
        <f aca="false">SUM(Leads!$S$2:$S$801)</f>
        <v>139</v>
      </c>
      <c r="D8" s="15" t="n">
        <f aca="false">COUNTIFS(Leads!$S$2:$S$801,1,Leads!$O$2:$O$801,"Spam")</f>
        <v>26</v>
      </c>
      <c r="E8" s="15" t="n">
        <f aca="false">COUNTIFS(Leads!$S$2:$S$801,1,Leads!$O$2:$O$801,"Unqualified")+COUNTIFS(Leads!$S$2:$S$801,1,Leads!$O$2:$O$801,"Open")+COUNTIFS(Leads!$S$2:$S$801,1,Leads!$O$2:$O$801,"Qualified")+COUNTIFS(Leads!$S$2:$S$801,1,Leads!$O$2:$O$801,"Won")+COUNTIFS(Leads!$S$2:$S$801,1,Leads!$O$2:$O$801,"Lost")</f>
        <v>71</v>
      </c>
      <c r="F8" s="17" t="n">
        <f aca="false">IFERROR(D8/(D8+E8),0)</f>
        <v>0.268041237113402</v>
      </c>
      <c r="G8" s="17" t="n">
        <f aca="false">IFERROR(D8/COUNTIF(Leads!$O$2:$O$801,"Spam"),0)</f>
        <v>0.173333333333333</v>
      </c>
      <c r="H8" s="26" t="n">
        <v>0</v>
      </c>
    </row>
    <row r="9" customFormat="false" ht="15" hidden="false" customHeight="true" outlineLevel="0" collapsed="false">
      <c r="A9" s="15" t="s">
        <v>2613</v>
      </c>
      <c r="B9" s="15" t="s">
        <v>2614</v>
      </c>
      <c r="C9" s="15" t="n">
        <f aca="false">SUM(Leads!$T$2:$T$801)</f>
        <v>84</v>
      </c>
      <c r="D9" s="15" t="n">
        <f aca="false">COUNTIFS(Leads!$T$2:$T$801,1,Leads!$O$2:$O$801,"Spam")</f>
        <v>59</v>
      </c>
      <c r="E9" s="15" t="n">
        <f aca="false">COUNTIFS(Leads!$T$2:$T$801,1,Leads!$O$2:$O$801,"Unqualified")+COUNTIFS(Leads!$T$2:$T$801,1,Leads!$O$2:$O$801,"Open")+COUNTIFS(Leads!$T$2:$T$801,1,Leads!$O$2:$O$801,"Qualified")+COUNTIFS(Leads!$T$2:$T$801,1,Leads!$O$2:$O$801,"Won")+COUNTIFS(Leads!$T$2:$T$801,1,Leads!$O$2:$O$801,"Lost")</f>
        <v>0</v>
      </c>
      <c r="F9" s="17" t="n">
        <f aca="false">IFERROR(D9/(D9+E9),0)</f>
        <v>1</v>
      </c>
      <c r="G9" s="17" t="n">
        <f aca="false">IFERROR(D9/COUNTIF(Leads!$O$2:$O$801,"Spam"),0)</f>
        <v>0.393333333333333</v>
      </c>
      <c r="H9" s="26" t="n">
        <v>1</v>
      </c>
    </row>
    <row r="10" customFormat="false" ht="15" hidden="false" customHeight="true" outlineLevel="0" collapsed="false">
      <c r="A10" s="15" t="s">
        <v>2615</v>
      </c>
      <c r="B10" s="15" t="s">
        <v>2616</v>
      </c>
      <c r="C10" s="15" t="n">
        <f aca="false">SUM(Leads!$U$2:$U$801)</f>
        <v>112</v>
      </c>
      <c r="D10" s="15" t="n">
        <f aca="false">COUNTIFS(Leads!$U$2:$U$801,1,Leads!$O$2:$O$801,"Spam")</f>
        <v>56</v>
      </c>
      <c r="E10" s="15" t="n">
        <f aca="false">COUNTIFS(Leads!$U$2:$U$801,1,Leads!$O$2:$O$801,"Unqualified")+COUNTIFS(Leads!$U$2:$U$801,1,Leads!$O$2:$O$801,"Open")+COUNTIFS(Leads!$U$2:$U$801,1,Leads!$O$2:$O$801,"Qualified")+COUNTIFS(Leads!$U$2:$U$801,1,Leads!$O$2:$O$801,"Won")+COUNTIFS(Leads!$U$2:$U$801,1,Leads!$O$2:$O$801,"Lost")</f>
        <v>13</v>
      </c>
      <c r="F10" s="17" t="n">
        <f aca="false">IFERROR(D10/(D10+E10),0)</f>
        <v>0.811594202898551</v>
      </c>
      <c r="G10" s="17" t="n">
        <f aca="false">IFERROR(D10/COUNTIF(Leads!$O$2:$O$801,"Spam"),0)</f>
        <v>0.373333333333333</v>
      </c>
      <c r="H10" s="26" t="n">
        <v>0</v>
      </c>
    </row>
    <row r="11" customFormat="false" ht="15" hidden="false" customHeight="true" outlineLevel="0" collapsed="false">
      <c r="A11" s="21" t="s">
        <v>2617</v>
      </c>
      <c r="B11" s="21" t="s">
        <v>2618</v>
      </c>
      <c r="C11" s="21" t="n">
        <f aca="false">COUNTIF(Leads!$W$2:$W$801,"Likely Spam")</f>
        <v>252</v>
      </c>
      <c r="D11" s="21" t="n">
        <f aca="false">COUNTIFS(Leads!$W$2:$W$801,"Likely Spam",Leads!$O$2:$O$801,"Spam")</f>
        <v>150</v>
      </c>
      <c r="E11" s="21" t="n">
        <f aca="false">COUNTIFS(Leads!$W$2:$W$801,"Likely Spam",Leads!$O$2:$O$801,"Unqualified")+COUNTIFS(Leads!$W$2:$W$801,"Likely Spam",Leads!$O$2:$O$801,"Open")+COUNTIFS(Leads!$W$2:$W$801,"Likely Spam",Leads!$O$2:$O$801,"Qualified")+COUNTIFS(Leads!$W$2:$W$801,"Likely Spam",Leads!$O$2:$O$801,"Won")+COUNTIFS(Leads!$W$2:$W$801,"Likely Spam",Leads!$O$2:$O$801,"Lost")</f>
        <v>0</v>
      </c>
      <c r="F11" s="22" t="n">
        <f aca="false">IFERROR(D11/(D11+E11),0)</f>
        <v>1</v>
      </c>
      <c r="G11" s="22" t="n">
        <f aca="false">IFERROR(D11/COUNTIF(Leads!$O$2:$O$801,"Spam"),0)</f>
        <v>1</v>
      </c>
    </row>
    <row r="13" customFormat="false" ht="15" hidden="false" customHeight="true" outlineLevel="0" collapsed="false">
      <c r="A13" s="4" t="s">
        <v>2619</v>
      </c>
      <c r="C13" s="1" t="n">
        <f aca="false">COUNTIFS(Leads!$W$2:$W$801,"Likely Spam",Leads!$O$2:$O$801,"")</f>
        <v>102</v>
      </c>
    </row>
    <row r="14" customFormat="false" ht="15" hidden="false" customHeight="true" outlineLevel="0" collapsed="false">
      <c r="A14" s="4" t="s">
        <v>2620</v>
      </c>
      <c r="C14" s="27" t="n">
        <f aca="false">IFERROR(E11/(D11+E11),0)</f>
        <v>0</v>
      </c>
    </row>
    <row r="16" customFormat="false" ht="15" hidden="false" customHeight="true" outlineLevel="0" collapsed="false">
      <c r="A16" s="13" t="s">
        <v>2621</v>
      </c>
    </row>
    <row r="17" customFormat="false" ht="15" hidden="false" customHeight="true" outlineLevel="0" collapsed="false">
      <c r="A17" s="13" t="s">
        <v>2622</v>
      </c>
    </row>
    <row r="20" customFormat="false" ht="15" hidden="false" customHeight="true" outlineLevel="0" collapsed="false">
      <c r="A20" s="14" t="s">
        <v>2623</v>
      </c>
    </row>
    <row r="21" customFormat="false" ht="15" hidden="false" customHeight="true" outlineLevel="0" collapsed="false">
      <c r="A21" s="28" t="s">
        <v>2624</v>
      </c>
    </row>
    <row r="22" customFormat="false" ht="15" hidden="false" customHeight="true" outlineLevel="0" collapsed="false">
      <c r="A22" s="5" t="s">
        <v>2625</v>
      </c>
    </row>
    <row r="23" customFormat="false" ht="15" hidden="false" customHeight="true" outlineLevel="0" collapsed="false">
      <c r="A23" s="5" t="s">
        <v>2626</v>
      </c>
    </row>
    <row r="24" customFormat="false" ht="15" hidden="false" customHeight="true" outlineLevel="0" collapsed="false">
      <c r="A24" s="5" t="s">
        <v>2627</v>
      </c>
    </row>
    <row r="25" customFormat="false" ht="15" hidden="false" customHeight="true" outlineLevel="0" collapsed="false">
      <c r="A25" s="5" t="s">
        <v>2628</v>
      </c>
    </row>
    <row r="26" customFormat="false" ht="15" hidden="false" customHeight="true" outlineLevel="0" collapsed="false">
      <c r="A26" s="5" t="s">
        <v>2629</v>
      </c>
    </row>
    <row r="27" customFormat="false" ht="15" hidden="false" customHeight="true" outlineLevel="0" collapsed="false">
      <c r="A27" s="5" t="s">
        <v>2630</v>
      </c>
    </row>
    <row r="28" customFormat="false" ht="15" hidden="false" customHeight="true" outlineLevel="0" collapsed="false">
      <c r="A28" s="5" t="s">
        <v>2631</v>
      </c>
    </row>
    <row r="29" customFormat="false" ht="15" hidden="false" customHeight="true" outlineLevel="0" collapsed="false">
      <c r="A29" s="5" t="s">
        <v>2632</v>
      </c>
    </row>
    <row r="30" customFormat="false" ht="15" hidden="false" customHeight="true" outlineLevel="0" collapsed="false">
      <c r="A30" s="5" t="s">
        <v>2633</v>
      </c>
    </row>
    <row r="31" customFormat="false" ht="15" hidden="false" customHeight="true" outlineLevel="0" collapsed="false">
      <c r="A31" s="5" t="s">
        <v>2634</v>
      </c>
    </row>
    <row r="32" customFormat="false" ht="15" hidden="false" customHeight="true" outlineLevel="0" collapsed="false">
      <c r="A32" s="5" t="s">
        <v>2635</v>
      </c>
    </row>
    <row r="33" customFormat="false" ht="15" hidden="false" customHeight="true" outlineLevel="0" collapsed="false">
      <c r="A33" s="5" t="s">
        <v>2636</v>
      </c>
    </row>
    <row r="34" customFormat="false" ht="15" hidden="false" customHeight="true" outlineLevel="0" collapsed="false">
      <c r="A34" s="5" t="s">
        <v>2637</v>
      </c>
    </row>
    <row r="35" customFormat="false" ht="15" hidden="false" customHeight="true" outlineLevel="0" collapsed="false">
      <c r="A35" s="5" t="s">
        <v>2638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24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2" t="s">
        <v>2639</v>
      </c>
    </row>
    <row r="2" customFormat="false" ht="15" hidden="false" customHeight="true" outlineLevel="0" collapsed="false">
      <c r="A2" s="13" t="s">
        <v>2640</v>
      </c>
    </row>
    <row r="4" customFormat="false" ht="15" hidden="false" customHeight="true" outlineLevel="0" collapsed="false">
      <c r="A4" s="28" t="s">
        <v>18</v>
      </c>
      <c r="B4" s="28" t="s">
        <v>2641</v>
      </c>
      <c r="D4" s="28" t="s">
        <v>2594</v>
      </c>
      <c r="E4" s="28" t="s">
        <v>2641</v>
      </c>
      <c r="G4" s="28" t="s">
        <v>2596</v>
      </c>
      <c r="H4" s="28" t="s">
        <v>2641</v>
      </c>
    </row>
    <row r="5" customFormat="false" ht="15" hidden="false" customHeight="true" outlineLevel="0" collapsed="false">
      <c r="A5" s="3" t="s">
        <v>128</v>
      </c>
      <c r="B5" s="26" t="n">
        <v>30</v>
      </c>
      <c r="D5" s="3" t="s">
        <v>22</v>
      </c>
      <c r="E5" s="26" t="n">
        <v>20</v>
      </c>
      <c r="G5" s="3" t="s">
        <v>122</v>
      </c>
      <c r="H5" s="26" t="n">
        <v>15</v>
      </c>
    </row>
    <row r="6" customFormat="false" ht="15" hidden="false" customHeight="true" outlineLevel="0" collapsed="false">
      <c r="A6" s="3" t="s">
        <v>160</v>
      </c>
      <c r="B6" s="26" t="n">
        <v>25</v>
      </c>
      <c r="D6" s="3" t="s">
        <v>54</v>
      </c>
      <c r="E6" s="26" t="n">
        <v>0</v>
      </c>
      <c r="G6" s="3" t="s">
        <v>165</v>
      </c>
      <c r="H6" s="26" t="n">
        <v>15</v>
      </c>
    </row>
    <row r="7" customFormat="false" ht="15" hidden="false" customHeight="true" outlineLevel="0" collapsed="false">
      <c r="A7" s="3" t="s">
        <v>135</v>
      </c>
      <c r="B7" s="26" t="n">
        <v>20</v>
      </c>
      <c r="D7" s="3" t="s">
        <v>63</v>
      </c>
      <c r="E7" s="26" t="n">
        <v>0</v>
      </c>
      <c r="G7" s="3" t="s">
        <v>108</v>
      </c>
      <c r="H7" s="26" t="n">
        <v>15</v>
      </c>
    </row>
    <row r="8" customFormat="false" ht="15" hidden="false" customHeight="true" outlineLevel="0" collapsed="false">
      <c r="A8" s="3" t="s">
        <v>112</v>
      </c>
      <c r="B8" s="26" t="n">
        <v>15</v>
      </c>
      <c r="G8" s="3" t="s">
        <v>57</v>
      </c>
      <c r="H8" s="26" t="n">
        <v>15</v>
      </c>
    </row>
    <row r="9" customFormat="false" ht="15" hidden="false" customHeight="true" outlineLevel="0" collapsed="false">
      <c r="A9" s="3" t="s">
        <v>51</v>
      </c>
      <c r="B9" s="26" t="n">
        <v>10</v>
      </c>
      <c r="G9" s="3" t="s">
        <v>245</v>
      </c>
      <c r="H9" s="26" t="n">
        <v>15</v>
      </c>
    </row>
    <row r="10" customFormat="false" ht="15" hidden="false" customHeight="true" outlineLevel="0" collapsed="false">
      <c r="A10" s="3" t="s">
        <v>91</v>
      </c>
      <c r="B10" s="26" t="n">
        <v>5</v>
      </c>
      <c r="G10" s="3" t="s">
        <v>117</v>
      </c>
      <c r="H10" s="26" t="n">
        <v>15</v>
      </c>
    </row>
    <row r="11" customFormat="false" ht="15" hidden="false" customHeight="true" outlineLevel="0" collapsed="false">
      <c r="A11" s="3" t="s">
        <v>76</v>
      </c>
      <c r="B11" s="26" t="n">
        <v>0</v>
      </c>
      <c r="G11" s="3" t="s">
        <v>81</v>
      </c>
      <c r="H11" s="26" t="n">
        <v>5</v>
      </c>
    </row>
    <row r="12" customFormat="false" ht="15" hidden="false" customHeight="true" outlineLevel="0" collapsed="false">
      <c r="G12" s="3" t="s">
        <v>145</v>
      </c>
      <c r="H12" s="26" t="n">
        <v>5</v>
      </c>
    </row>
    <row r="13" customFormat="false" ht="15" hidden="false" customHeight="true" outlineLevel="0" collapsed="false">
      <c r="A13" s="14" t="s">
        <v>2642</v>
      </c>
      <c r="G13" s="3" t="s">
        <v>65</v>
      </c>
      <c r="H13" s="26" t="n">
        <v>0</v>
      </c>
    </row>
    <row r="14" customFormat="false" ht="15" hidden="false" customHeight="true" outlineLevel="0" collapsed="false">
      <c r="A14" s="3" t="s">
        <v>2643</v>
      </c>
      <c r="B14" s="26" t="n">
        <v>8</v>
      </c>
    </row>
    <row r="15" customFormat="false" ht="15" hidden="false" customHeight="true" outlineLevel="0" collapsed="false">
      <c r="A15" s="3" t="s">
        <v>2644</v>
      </c>
      <c r="B15" s="26" t="n">
        <v>15</v>
      </c>
      <c r="D15" s="28" t="s">
        <v>2645</v>
      </c>
      <c r="G15" s="28" t="s">
        <v>2646</v>
      </c>
    </row>
    <row r="16" customFormat="false" ht="15" hidden="false" customHeight="true" outlineLevel="0" collapsed="false">
      <c r="A16" s="3" t="s">
        <v>2647</v>
      </c>
      <c r="B16" s="26" t="n">
        <v>4</v>
      </c>
      <c r="D16" s="26" t="s">
        <v>2648</v>
      </c>
      <c r="G16" s="26" t="s">
        <v>2649</v>
      </c>
    </row>
    <row r="17" customFormat="false" ht="15" hidden="false" customHeight="true" outlineLevel="0" collapsed="false">
      <c r="A17" s="3" t="s">
        <v>2650</v>
      </c>
      <c r="B17" s="26" t="n">
        <v>8</v>
      </c>
      <c r="D17" s="26" t="s">
        <v>2651</v>
      </c>
      <c r="G17" s="26" t="s">
        <v>2652</v>
      </c>
    </row>
    <row r="18" customFormat="false" ht="15" hidden="false" customHeight="true" outlineLevel="0" collapsed="false">
      <c r="A18" s="3" t="s">
        <v>2653</v>
      </c>
      <c r="B18" s="26" t="n">
        <v>15</v>
      </c>
      <c r="D18" s="26" t="s">
        <v>2654</v>
      </c>
      <c r="G18" s="26" t="s">
        <v>2655</v>
      </c>
    </row>
    <row r="19" customFormat="false" ht="15" hidden="false" customHeight="true" outlineLevel="0" collapsed="false">
      <c r="A19" s="3" t="s">
        <v>2656</v>
      </c>
      <c r="B19" s="26" t="n">
        <v>-30</v>
      </c>
      <c r="D19" s="26" t="s">
        <v>2657</v>
      </c>
      <c r="G19" s="26" t="s">
        <v>2658</v>
      </c>
    </row>
    <row r="20" customFormat="false" ht="15" hidden="false" customHeight="true" outlineLevel="0" collapsed="false">
      <c r="A20" s="13" t="s">
        <v>2659</v>
      </c>
      <c r="D20" s="26" t="s">
        <v>2660</v>
      </c>
      <c r="G20" s="26" t="s">
        <v>2661</v>
      </c>
    </row>
    <row r="21" customFormat="false" ht="15" hidden="false" customHeight="true" outlineLevel="0" collapsed="false">
      <c r="A21" s="3" t="s">
        <v>2662</v>
      </c>
      <c r="B21" s="26" t="n">
        <v>70</v>
      </c>
      <c r="D21" s="26" t="s">
        <v>2663</v>
      </c>
      <c r="G21" s="26" t="s">
        <v>2664</v>
      </c>
    </row>
    <row r="22" customFormat="false" ht="15" hidden="false" customHeight="true" outlineLevel="0" collapsed="false">
      <c r="A22" s="3" t="s">
        <v>2665</v>
      </c>
      <c r="B22" s="26" t="n">
        <v>45</v>
      </c>
      <c r="D22" s="26" t="s">
        <v>2666</v>
      </c>
      <c r="G22" s="26" t="s">
        <v>2667</v>
      </c>
    </row>
    <row r="23" customFormat="false" ht="15" hidden="false" customHeight="true" outlineLevel="0" collapsed="false">
      <c r="D23" s="26" t="s">
        <v>2668</v>
      </c>
      <c r="G23" s="26" t="s">
        <v>2669</v>
      </c>
    </row>
    <row r="24" customFormat="false" ht="15" hidden="false" customHeight="true" outlineLevel="0" collapsed="false">
      <c r="D24" s="26" t="s">
        <v>2670</v>
      </c>
    </row>
    <row r="25" customFormat="false" ht="15" hidden="false" customHeight="true" outlineLevel="0" collapsed="false">
      <c r="D25" s="26" t="s">
        <v>2671</v>
      </c>
    </row>
    <row r="27" customFormat="false" ht="15" hidden="false" customHeight="true" outlineLevel="0" collapsed="false">
      <c r="D27" s="29" t="s">
        <v>2672</v>
      </c>
    </row>
    <row r="29" customFormat="false" ht="15" hidden="false" customHeight="true" outlineLevel="0" collapsed="false">
      <c r="A29" s="14" t="s">
        <v>2673</v>
      </c>
    </row>
    <row r="30" customFormat="false" ht="31.5" hidden="false" customHeight="true" outlineLevel="0" collapsed="false">
      <c r="A30" s="6" t="s">
        <v>46</v>
      </c>
      <c r="B30" s="6" t="s">
        <v>2582</v>
      </c>
      <c r="C30" s="6" t="s">
        <v>2674</v>
      </c>
      <c r="D30" s="6" t="s">
        <v>2586</v>
      </c>
      <c r="E30" s="6" t="s">
        <v>2587</v>
      </c>
      <c r="F30" s="6" t="s">
        <v>147</v>
      </c>
      <c r="G30" s="6" t="s">
        <v>2675</v>
      </c>
      <c r="H30" s="6" t="s">
        <v>2588</v>
      </c>
    </row>
    <row r="31" customFormat="false" ht="15" hidden="false" customHeight="true" outlineLevel="0" collapsed="false">
      <c r="A31" s="15" t="s">
        <v>2676</v>
      </c>
      <c r="B31" s="15" t="n">
        <f aca="false">COUNTIF(Leads!$AE$2:$AE$801,$A31)</f>
        <v>153</v>
      </c>
      <c r="C31" s="15" t="n">
        <f aca="false">COUNTIFS(Leads!$O$2:$O$801,"Unqualified",Leads!$AE$2:$AE$801,$A31)+COUNTIFS(Leads!$O$2:$O$801,"Qualified",Leads!$AE$2:$AE$801,$A31)+COUNTIFS(Leads!$O$2:$O$801,"Won",Leads!$AE$2:$AE$801,$A31)+COUNTIFS(Leads!$O$2:$O$801,"Lost",Leads!$AE$2:$AE$801,$A31)</f>
        <v>85</v>
      </c>
      <c r="D31" s="15" t="n">
        <f aca="false">COUNTIFS(Leads!$O$2:$O$801,"Qualified",Leads!$AE$2:$AE$801,$A31)+COUNTIFS(Leads!$O$2:$O$801,"Won",Leads!$AE$2:$AE$801,$A31)+COUNTIFS(Leads!$O$2:$O$801,"Lost",Leads!$AE$2:$AE$801,$A31)</f>
        <v>78</v>
      </c>
      <c r="E31" s="17" t="n">
        <f aca="false">IFERROR(D31/C31,0)</f>
        <v>0.917647058823529</v>
      </c>
      <c r="F31" s="15" t="n">
        <f aca="false">COUNTIFS(Leads!$AE$2:$AE$801,$A31,Leads!$O$2:$O$801,"Won")</f>
        <v>22</v>
      </c>
      <c r="G31" s="17" t="n">
        <f aca="false">IFERROR(D31/(COUNTIFS(Leads!$O$2:$O$801,"Qualified")+COUNTIFS(Leads!$O$2:$O$801,"Won")+COUNTIFS(Leads!$O$2:$O$801,"Lost")),0)</f>
        <v>0.702702702702703</v>
      </c>
      <c r="H31" s="18" t="n">
        <f aca="false">SUMIFS(Leads!$P$2:$P$801,Leads!$AE$2:$AE$801,$A31)</f>
        <v>1452000</v>
      </c>
    </row>
    <row r="32" customFormat="false" ht="15" hidden="false" customHeight="true" outlineLevel="0" collapsed="false">
      <c r="A32" s="15" t="s">
        <v>2677</v>
      </c>
      <c r="B32" s="15" t="n">
        <f aca="false">COUNTIF(Leads!$AE$2:$AE$801,$A32)</f>
        <v>109</v>
      </c>
      <c r="C32" s="15" t="n">
        <f aca="false">COUNTIFS(Leads!$O$2:$O$801,"Unqualified",Leads!$AE$2:$AE$801,$A32)+COUNTIFS(Leads!$O$2:$O$801,"Qualified",Leads!$AE$2:$AE$801,$A32)+COUNTIFS(Leads!$O$2:$O$801,"Won",Leads!$AE$2:$AE$801,$A32)+COUNTIFS(Leads!$O$2:$O$801,"Lost",Leads!$AE$2:$AE$801,$A32)</f>
        <v>52</v>
      </c>
      <c r="D32" s="15" t="n">
        <f aca="false">COUNTIFS(Leads!$O$2:$O$801,"Qualified",Leads!$AE$2:$AE$801,$A32)+COUNTIFS(Leads!$O$2:$O$801,"Won",Leads!$AE$2:$AE$801,$A32)+COUNTIFS(Leads!$O$2:$O$801,"Lost",Leads!$AE$2:$AE$801,$A32)</f>
        <v>30</v>
      </c>
      <c r="E32" s="17" t="n">
        <f aca="false">IFERROR(D32/C32,0)</f>
        <v>0.576923076923077</v>
      </c>
      <c r="F32" s="15" t="n">
        <f aca="false">COUNTIFS(Leads!$AE$2:$AE$801,$A32,Leads!$O$2:$O$801,"Won")</f>
        <v>8</v>
      </c>
      <c r="G32" s="17" t="n">
        <f aca="false">IFERROR(D32/(COUNTIFS(Leads!$O$2:$O$801,"Qualified")+COUNTIFS(Leads!$O$2:$O$801,"Won")+COUNTIFS(Leads!$O$2:$O$801,"Lost")),0)</f>
        <v>0.27027027027027</v>
      </c>
      <c r="H32" s="18" t="n">
        <f aca="false">SUMIFS(Leads!$P$2:$P$801,Leads!$AE$2:$AE$801,$A32)</f>
        <v>612000</v>
      </c>
    </row>
    <row r="33" customFormat="false" ht="15" hidden="false" customHeight="true" outlineLevel="0" collapsed="false">
      <c r="A33" s="15" t="s">
        <v>2678</v>
      </c>
      <c r="B33" s="15" t="n">
        <f aca="false">COUNTIF(Leads!$AE$2:$AE$801,$A33)</f>
        <v>286</v>
      </c>
      <c r="C33" s="15" t="n">
        <f aca="false">COUNTIFS(Leads!$O$2:$O$801,"Unqualified",Leads!$AE$2:$AE$801,$A33)+COUNTIFS(Leads!$O$2:$O$801,"Qualified",Leads!$AE$2:$AE$801,$A33)+COUNTIFS(Leads!$O$2:$O$801,"Won",Leads!$AE$2:$AE$801,$A33)+COUNTIFS(Leads!$O$2:$O$801,"Lost",Leads!$AE$2:$AE$801,$A33)</f>
        <v>191</v>
      </c>
      <c r="D33" s="15" t="n">
        <f aca="false">COUNTIFS(Leads!$O$2:$O$801,"Qualified",Leads!$AE$2:$AE$801,$A33)+COUNTIFS(Leads!$O$2:$O$801,"Won",Leads!$AE$2:$AE$801,$A33)+COUNTIFS(Leads!$O$2:$O$801,"Lost",Leads!$AE$2:$AE$801,$A33)</f>
        <v>3</v>
      </c>
      <c r="E33" s="17" t="n">
        <f aca="false">IFERROR(D33/C33,0)</f>
        <v>0.0157068062827225</v>
      </c>
      <c r="F33" s="15" t="n">
        <f aca="false">COUNTIFS(Leads!$AE$2:$AE$801,$A33,Leads!$O$2:$O$801,"Won")</f>
        <v>0</v>
      </c>
      <c r="G33" s="17" t="n">
        <f aca="false">IFERROR(D33/(COUNTIFS(Leads!$O$2:$O$801,"Qualified")+COUNTIFS(Leads!$O$2:$O$801,"Won")+COUNTIFS(Leads!$O$2:$O$801,"Lost")),0)</f>
        <v>0.027027027027027</v>
      </c>
      <c r="H33" s="18" t="n">
        <f aca="false">SUMIFS(Leads!$P$2:$P$801,Leads!$AE$2:$AE$801,$A33)</f>
        <v>0</v>
      </c>
    </row>
    <row r="34" customFormat="false" ht="15" hidden="false" customHeight="true" outlineLevel="0" collapsed="false">
      <c r="A34" s="15" t="s">
        <v>68</v>
      </c>
      <c r="B34" s="15" t="n">
        <f aca="false">COUNTIF(Leads!$AE$2:$AE$801,$A34)</f>
        <v>252</v>
      </c>
      <c r="C34" s="15" t="n">
        <f aca="false">COUNTIFS(Leads!$O$2:$O$801,"Unqualified",Leads!$AE$2:$AE$801,$A34)+COUNTIFS(Leads!$O$2:$O$801,"Qualified",Leads!$AE$2:$AE$801,$A34)+COUNTIFS(Leads!$O$2:$O$801,"Won",Leads!$AE$2:$AE$801,$A34)+COUNTIFS(Leads!$O$2:$O$801,"Lost",Leads!$AE$2:$AE$801,$A34)</f>
        <v>0</v>
      </c>
      <c r="D34" s="15" t="n">
        <f aca="false">COUNTIFS(Leads!$O$2:$O$801,"Qualified",Leads!$AE$2:$AE$801,$A34)+COUNTIFS(Leads!$O$2:$O$801,"Won",Leads!$AE$2:$AE$801,$A34)+COUNTIFS(Leads!$O$2:$O$801,"Lost",Leads!$AE$2:$AE$801,$A34)</f>
        <v>0</v>
      </c>
      <c r="E34" s="17" t="n">
        <f aca="false">IFERROR(D34/C34,0)</f>
        <v>0</v>
      </c>
      <c r="F34" s="15" t="n">
        <f aca="false">COUNTIFS(Leads!$AE$2:$AE$801,$A34,Leads!$O$2:$O$801,"Won")</f>
        <v>0</v>
      </c>
      <c r="G34" s="17" t="n">
        <f aca="false">IFERROR(D34/(COUNTIFS(Leads!$O$2:$O$801,"Qualified")+COUNTIFS(Leads!$O$2:$O$801,"Won")+COUNTIFS(Leads!$O$2:$O$801,"Lost")),0)</f>
        <v>0</v>
      </c>
      <c r="H34" s="18" t="n">
        <f aca="false">SUMIFS(Leads!$P$2:$P$801,Leads!$AE$2:$AE$801,$A34)</f>
        <v>0</v>
      </c>
    </row>
    <row r="36" customFormat="false" ht="15" hidden="false" customHeight="true" outlineLevel="0" collapsed="false">
      <c r="A36" s="14" t="s">
        <v>2679</v>
      </c>
    </row>
    <row r="37" customFormat="false" ht="15" hidden="false" customHeight="true" outlineLevel="0" collapsed="false">
      <c r="A37" s="15" t="s">
        <v>2680</v>
      </c>
      <c r="B37" s="21" t="n">
        <f aca="false">PERCENTILE(Leads!$AD$2:$AD$801,0.8)</f>
        <v>75</v>
      </c>
    </row>
    <row r="38" customFormat="false" ht="15" hidden="false" customHeight="true" outlineLevel="0" collapsed="false">
      <c r="A38" s="15" t="s">
        <v>2681</v>
      </c>
      <c r="B38" s="22" t="n">
        <f aca="false">IFERROR((COUNTIFS(Leads!$AD$2:$AD$801,"&gt;="&amp;B37,Leads!$O$2:$O$801,"Qualified")+COUNTIFS(Leads!$AD$2:$AD$801,"&gt;="&amp;B37,Leads!$O$2:$O$801,"Won")+COUNTIFS(Leads!$AD$2:$AD$801,"&gt;="&amp;B37,Leads!$O$2:$O$801,"Lost"))/(COUNTIFS(Leads!$O$2:$O$801,"Qualified")+COUNTIFS(Leads!$O$2:$O$801,"Won")+COUNTIFS(Leads!$O$2:$O$801,"Lost")),0)</f>
        <v>0.567567567567568</v>
      </c>
    </row>
    <row r="39" customFormat="false" ht="15" hidden="false" customHeight="true" outlineLevel="0" collapsed="false">
      <c r="A39" s="15" t="s">
        <v>2682</v>
      </c>
      <c r="B39" s="21" t="n">
        <f aca="false">COUNTIFS(Leads!$O$2:$O$801,"Qualified",Leads!$AE$2:$AE$801,"Spam")+COUNTIFS(Leads!$O$2:$O$801,"Won",Leads!$AE$2:$AE$801,"Spam")+COUNTIFS(Leads!$O$2:$O$801,"Lost",Leads!$AE$2:$AE$801,"Spam")</f>
        <v>0</v>
      </c>
    </row>
    <row r="41" customFormat="false" ht="15" hidden="false" customHeight="true" outlineLevel="0" collapsed="false">
      <c r="A41" s="13" t="s">
        <v>2683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8"/>
    <col collapsed="false" customWidth="true" hidden="false" outlineLevel="0" max="8" min="8" style="1" width="10"/>
  </cols>
  <sheetData>
    <row r="1" customFormat="false" ht="17.25" hidden="false" customHeight="true" outlineLevel="0" collapsed="false">
      <c r="A1" s="2" t="s">
        <v>2684</v>
      </c>
    </row>
    <row r="2" customFormat="false" ht="15" hidden="false" customHeight="true" outlineLevel="0" collapsed="false">
      <c r="A2" s="13" t="s">
        <v>2685</v>
      </c>
    </row>
    <row r="4" customFormat="false" ht="15" hidden="false" customHeight="true" outlineLevel="0" collapsed="false">
      <c r="A4" s="14" t="s">
        <v>2686</v>
      </c>
    </row>
    <row r="5" customFormat="false" ht="15" hidden="false" customHeight="true" outlineLevel="0" collapsed="false">
      <c r="A5" s="3" t="s">
        <v>2687</v>
      </c>
      <c r="B5" s="26" t="n">
        <v>-5.022</v>
      </c>
    </row>
    <row r="7" customFormat="false" ht="15" hidden="false" customHeight="true" outlineLevel="0" collapsed="false">
      <c r="A7" s="28" t="s">
        <v>18</v>
      </c>
      <c r="B7" s="28" t="s">
        <v>2688</v>
      </c>
      <c r="D7" s="28" t="s">
        <v>2594</v>
      </c>
      <c r="E7" s="28" t="s">
        <v>2688</v>
      </c>
      <c r="G7" s="28" t="s">
        <v>2689</v>
      </c>
      <c r="H7" s="28" t="s">
        <v>2688</v>
      </c>
    </row>
    <row r="8" customFormat="false" ht="15" hidden="false" customHeight="true" outlineLevel="0" collapsed="false">
      <c r="A8" s="3" t="s">
        <v>128</v>
      </c>
      <c r="B8" s="26" t="n">
        <v>0.91</v>
      </c>
      <c r="D8" s="3" t="s">
        <v>22</v>
      </c>
      <c r="E8" s="26" t="n">
        <v>0.439</v>
      </c>
      <c r="G8" s="3" t="s">
        <v>2690</v>
      </c>
      <c r="H8" s="26" t="n">
        <v>-0.109</v>
      </c>
    </row>
    <row r="9" customFormat="false" ht="15" hidden="false" customHeight="true" outlineLevel="0" collapsed="false">
      <c r="A9" s="3" t="s">
        <v>160</v>
      </c>
      <c r="B9" s="26" t="n">
        <v>0.231</v>
      </c>
      <c r="D9" s="3" t="s">
        <v>54</v>
      </c>
      <c r="E9" s="26" t="n">
        <v>-0.442</v>
      </c>
      <c r="G9" s="3" t="s">
        <v>2691</v>
      </c>
      <c r="H9" s="26" t="n">
        <v>0.826</v>
      </c>
    </row>
    <row r="10" customFormat="false" ht="15" hidden="false" customHeight="true" outlineLevel="0" collapsed="false">
      <c r="A10" s="3" t="s">
        <v>135</v>
      </c>
      <c r="B10" s="26" t="n">
        <v>0.59</v>
      </c>
      <c r="G10" s="3" t="s">
        <v>81</v>
      </c>
      <c r="H10" s="26" t="n">
        <v>-0.495</v>
      </c>
    </row>
    <row r="11" customFormat="false" ht="15" hidden="false" customHeight="true" outlineLevel="0" collapsed="false">
      <c r="A11" s="3" t="s">
        <v>112</v>
      </c>
      <c r="B11" s="26" t="n">
        <v>-0.255</v>
      </c>
      <c r="G11" s="3" t="s">
        <v>145</v>
      </c>
      <c r="H11" s="26" t="n">
        <v>0.054</v>
      </c>
    </row>
    <row r="12" customFormat="false" ht="15" hidden="false" customHeight="true" outlineLevel="0" collapsed="false">
      <c r="A12" s="3" t="s">
        <v>51</v>
      </c>
      <c r="B12" s="26" t="n">
        <v>-0.286</v>
      </c>
      <c r="G12" s="3" t="s">
        <v>65</v>
      </c>
      <c r="H12" s="26" t="n">
        <v>-0.278</v>
      </c>
    </row>
    <row r="13" customFormat="false" ht="15" hidden="false" customHeight="true" outlineLevel="0" collapsed="false">
      <c r="A13" s="3" t="s">
        <v>91</v>
      </c>
      <c r="B13" s="26" t="n">
        <v>-0.598</v>
      </c>
    </row>
    <row r="14" customFormat="false" ht="15" hidden="false" customHeight="true" outlineLevel="0" collapsed="false">
      <c r="A14" s="3" t="s">
        <v>76</v>
      </c>
      <c r="B14" s="26" t="n">
        <v>-0.597</v>
      </c>
    </row>
    <row r="16" customFormat="false" ht="15" hidden="false" customHeight="true" outlineLevel="0" collapsed="false">
      <c r="A16" s="28" t="s">
        <v>2692</v>
      </c>
      <c r="B16" s="28" t="s">
        <v>2688</v>
      </c>
    </row>
    <row r="17" customFormat="false" ht="15" hidden="false" customHeight="true" outlineLevel="0" collapsed="false">
      <c r="A17" s="3" t="s">
        <v>2693</v>
      </c>
      <c r="B17" s="26" t="n">
        <v>0.802</v>
      </c>
    </row>
    <row r="18" customFormat="false" ht="15" hidden="false" customHeight="true" outlineLevel="0" collapsed="false">
      <c r="A18" s="3" t="s">
        <v>2694</v>
      </c>
      <c r="B18" s="26" t="n">
        <v>1.753</v>
      </c>
    </row>
    <row r="19" customFormat="false" ht="15" hidden="false" customHeight="true" outlineLevel="0" collapsed="false">
      <c r="A19" s="3" t="s">
        <v>2695</v>
      </c>
      <c r="B19" s="26" t="n">
        <v>-1.756</v>
      </c>
    </row>
    <row r="21" customFormat="false" ht="15" hidden="false" customHeight="true" outlineLevel="0" collapsed="false">
      <c r="A21" s="29" t="s">
        <v>2696</v>
      </c>
    </row>
    <row r="23" customFormat="false" ht="15" hidden="false" customHeight="true" outlineLevel="0" collapsed="false">
      <c r="A23" s="14" t="s">
        <v>2697</v>
      </c>
    </row>
    <row r="24" customFormat="false" ht="15" hidden="false" customHeight="true" outlineLevel="0" collapsed="false">
      <c r="A24" s="28" t="s">
        <v>2698</v>
      </c>
      <c r="B24" s="28" t="s">
        <v>2699</v>
      </c>
      <c r="C24" s="28" t="s">
        <v>2700</v>
      </c>
    </row>
    <row r="25" customFormat="false" ht="15" hidden="false" customHeight="true" outlineLevel="0" collapsed="false">
      <c r="A25" s="15" t="s">
        <v>2701</v>
      </c>
      <c r="B25" s="30" t="n">
        <v>0.971891534391534</v>
      </c>
      <c r="C25" s="30" t="n">
        <v>0.965608465608466</v>
      </c>
    </row>
    <row r="26" customFormat="false" ht="15" hidden="false" customHeight="true" outlineLevel="0" collapsed="false">
      <c r="A26" s="15" t="s">
        <v>2702</v>
      </c>
      <c r="B26" s="17" t="n">
        <v>0.62962962962963</v>
      </c>
      <c r="C26" s="17" t="n">
        <v>0.592592592592593</v>
      </c>
    </row>
    <row r="27" customFormat="false" ht="15" hidden="false" customHeight="true" outlineLevel="0" collapsed="false">
      <c r="A27" s="15" t="s">
        <v>2703</v>
      </c>
      <c r="B27" s="30" t="n">
        <v>0.0812677077643419</v>
      </c>
      <c r="C27" s="30" t="s">
        <v>2704</v>
      </c>
    </row>
    <row r="28" customFormat="false" ht="15" hidden="false" customHeight="true" outlineLevel="0" collapsed="false">
      <c r="A28" s="15" t="s">
        <v>2705</v>
      </c>
      <c r="B28" s="30" t="n">
        <v>0.219788541922793</v>
      </c>
      <c r="C28" s="30" t="s">
        <v>2704</v>
      </c>
    </row>
    <row r="29" customFormat="false" ht="15" hidden="false" customHeight="true" outlineLevel="0" collapsed="false">
      <c r="A29" s="29" t="s">
        <v>2706</v>
      </c>
    </row>
    <row r="32" customFormat="false" ht="15" hidden="false" customHeight="true" outlineLevel="0" collapsed="false">
      <c r="A32" s="14" t="s">
        <v>2707</v>
      </c>
    </row>
    <row r="33" customFormat="false" ht="15" hidden="false" customHeight="true" outlineLevel="0" collapsed="false">
      <c r="A33" s="28" t="s">
        <v>2708</v>
      </c>
      <c r="B33" s="28" t="s">
        <v>2709</v>
      </c>
      <c r="C33" s="28" t="s">
        <v>2710</v>
      </c>
      <c r="D33" s="28" t="s">
        <v>2711</v>
      </c>
      <c r="E33" s="28" t="s">
        <v>2712</v>
      </c>
      <c r="F33" s="28" t="s">
        <v>2713</v>
      </c>
    </row>
    <row r="34" customFormat="false" ht="15" hidden="false" customHeight="true" outlineLevel="0" collapsed="false">
      <c r="A34" s="15" t="s">
        <v>2714</v>
      </c>
      <c r="B34" s="31" t="n">
        <v>0</v>
      </c>
      <c r="C34" s="31" t="n">
        <v>0.2</v>
      </c>
      <c r="D34" s="15" t="n">
        <f aca="false">COUNTIFS(Leads!$AG$2:$AG$801,"&gt;="&amp;B34,Leads!$AG$2:$AG$801,"&lt;"&amp;C34,Leads!$AH$2:$AH$801,"&gt;=0")</f>
        <v>192</v>
      </c>
      <c r="E34" s="17" t="n">
        <f aca="false">IFERROR(AVERAGEIFS(Leads!$AG$2:$AG$801,Leads!$AG$2:$AG$801,"&gt;="&amp;B34,Leads!$AG$2:$AG$801,"&lt;"&amp;C34,Leads!$AH$2:$AH$801,"&gt;=0"),"")</f>
        <v>0.0172551696766548</v>
      </c>
      <c r="F34" s="17" t="n">
        <f aca="false">IFERROR(AVERAGEIFS(Leads!$AH$2:$AH$801,Leads!$AG$2:$AG$801,"&gt;="&amp;B34,Leads!$AG$2:$AG$801,"&lt;"&amp;C34,Leads!$AH$2:$AH$801,"&gt;=0"),"")</f>
        <v>0</v>
      </c>
    </row>
    <row r="35" customFormat="false" ht="15" hidden="false" customHeight="true" outlineLevel="0" collapsed="false">
      <c r="A35" s="15" t="s">
        <v>2715</v>
      </c>
      <c r="B35" s="31" t="n">
        <v>0.2</v>
      </c>
      <c r="C35" s="31" t="n">
        <v>0.4</v>
      </c>
      <c r="D35" s="15" t="n">
        <f aca="false">COUNTIFS(Leads!$AG$2:$AG$801,"&gt;="&amp;B35,Leads!$AG$2:$AG$801,"&lt;"&amp;C35,Leads!$AH$2:$AH$801,"&gt;=0")</f>
        <v>18</v>
      </c>
      <c r="E35" s="17" t="n">
        <f aca="false">IFERROR(AVERAGEIFS(Leads!$AG$2:$AG$801,Leads!$AG$2:$AG$801,"&gt;="&amp;B35,Leads!$AG$2:$AG$801,"&lt;"&amp;C35,Leads!$AH$2:$AH$801,"&gt;=0"),"")</f>
        <v>0.310659497974356</v>
      </c>
      <c r="F35" s="17" t="n">
        <f aca="false">IFERROR(AVERAGEIFS(Leads!$AH$2:$AH$801,Leads!$AG$2:$AG$801,"&gt;="&amp;B35,Leads!$AG$2:$AG$801,"&lt;"&amp;C35,Leads!$AH$2:$AH$801,"&gt;=0"),"")</f>
        <v>0.333333333333333</v>
      </c>
    </row>
    <row r="36" customFormat="false" ht="15" hidden="false" customHeight="true" outlineLevel="0" collapsed="false">
      <c r="A36" s="15" t="s">
        <v>2716</v>
      </c>
      <c r="B36" s="31" t="n">
        <v>0.4</v>
      </c>
      <c r="C36" s="31" t="n">
        <v>0.6</v>
      </c>
      <c r="D36" s="15" t="n">
        <f aca="false">COUNTIFS(Leads!$AG$2:$AG$801,"&gt;="&amp;B36,Leads!$AG$2:$AG$801,"&lt;"&amp;C36,Leads!$AH$2:$AH$801,"&gt;=0")</f>
        <v>14</v>
      </c>
      <c r="E36" s="17" t="n">
        <f aca="false">IFERROR(AVERAGEIFS(Leads!$AG$2:$AG$801,Leads!$AG$2:$AG$801,"&gt;="&amp;B36,Leads!$AG$2:$AG$801,"&lt;"&amp;C36,Leads!$AH$2:$AH$801,"&gt;=0"),"")</f>
        <v>0.49069149894517</v>
      </c>
      <c r="F36" s="17" t="n">
        <f aca="false">IFERROR(AVERAGEIFS(Leads!$AH$2:$AH$801,Leads!$AG$2:$AG$801,"&gt;="&amp;B36,Leads!$AG$2:$AG$801,"&lt;"&amp;C36,Leads!$AH$2:$AH$801,"&gt;=0"),"")</f>
        <v>0.785714285714286</v>
      </c>
    </row>
    <row r="37" customFormat="false" ht="15" hidden="false" customHeight="true" outlineLevel="0" collapsed="false">
      <c r="A37" s="15" t="s">
        <v>2717</v>
      </c>
      <c r="B37" s="31" t="n">
        <v>0.6</v>
      </c>
      <c r="C37" s="31" t="n">
        <v>0.8</v>
      </c>
      <c r="D37" s="15" t="n">
        <f aca="false">COUNTIFS(Leads!$AG$2:$AG$801,"&gt;="&amp;B37,Leads!$AG$2:$AG$801,"&lt;"&amp;C37,Leads!$AH$2:$AH$801,"&gt;=0")</f>
        <v>19</v>
      </c>
      <c r="E37" s="17" t="n">
        <f aca="false">IFERROR(AVERAGEIFS(Leads!$AG$2:$AG$801,Leads!$AG$2:$AG$801,"&gt;="&amp;B37,Leads!$AG$2:$AG$801,"&lt;"&amp;C37,Leads!$AH$2:$AH$801,"&gt;=0"),"")</f>
        <v>0.7013773444974</v>
      </c>
      <c r="F37" s="17" t="n">
        <f aca="false">IFERROR(AVERAGEIFS(Leads!$AH$2:$AH$801,Leads!$AG$2:$AG$801,"&gt;="&amp;B37,Leads!$AG$2:$AG$801,"&lt;"&amp;C37,Leads!$AH$2:$AH$801,"&gt;=0"),"")</f>
        <v>0.631578947368421</v>
      </c>
    </row>
    <row r="38" customFormat="false" ht="15" hidden="false" customHeight="true" outlineLevel="0" collapsed="false">
      <c r="A38" s="15" t="s">
        <v>2718</v>
      </c>
      <c r="B38" s="31" t="n">
        <v>0.8</v>
      </c>
      <c r="C38" s="31" t="n">
        <v>1.0001</v>
      </c>
      <c r="D38" s="15" t="n">
        <f aca="false">COUNTIFS(Leads!$AG$2:$AG$801,"&gt;="&amp;B38,Leads!$AG$2:$AG$801,"&lt;"&amp;C38,Leads!$AH$2:$AH$801,"&gt;=0")</f>
        <v>85</v>
      </c>
      <c r="E38" s="17" t="n">
        <f aca="false">IFERROR(AVERAGEIFS(Leads!$AG$2:$AG$801,Leads!$AG$2:$AG$801,"&gt;="&amp;B38,Leads!$AG$2:$AG$801,"&lt;"&amp;C38,Leads!$AH$2:$AH$801,"&gt;=0"),"")</f>
        <v>0.963398907831439</v>
      </c>
      <c r="F38" s="17" t="n">
        <f aca="false">IFERROR(AVERAGEIFS(Leads!$AH$2:$AH$801,Leads!$AG$2:$AG$801,"&gt;="&amp;B38,Leads!$AG$2:$AG$801,"&lt;"&amp;C38,Leads!$AH$2:$AH$801,"&gt;=0"),"")</f>
        <v>0.964705882352941</v>
      </c>
    </row>
    <row r="40" customFormat="false" ht="15" hidden="false" customHeight="true" outlineLevel="0" collapsed="false">
      <c r="A40" s="29" t="s">
        <v>2719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11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60"/>
    <col collapsed="false" customWidth="true" hidden="false" outlineLevel="0" max="8" min="8" style="1" width="26"/>
    <col collapsed="false" customWidth="true" hidden="false" outlineLevel="0" max="9" min="9" style="1" width="24"/>
  </cols>
  <sheetData>
    <row r="1" customFormat="false" ht="15" hidden="false" customHeight="true" outlineLevel="0" collapsed="false">
      <c r="A1" s="28" t="s">
        <v>16</v>
      </c>
      <c r="B1" s="28" t="s">
        <v>18</v>
      </c>
      <c r="C1" s="28" t="s">
        <v>20</v>
      </c>
      <c r="D1" s="28" t="s">
        <v>21</v>
      </c>
      <c r="E1" s="28" t="s">
        <v>22</v>
      </c>
      <c r="F1" s="28" t="s">
        <v>25</v>
      </c>
      <c r="G1" s="28" t="s">
        <v>26</v>
      </c>
      <c r="H1" s="28" t="s">
        <v>2720</v>
      </c>
      <c r="I1" s="28" t="s">
        <v>2721</v>
      </c>
    </row>
    <row r="2" customFormat="false" ht="26.25" hidden="false" customHeight="true" outlineLevel="0" collapsed="false">
      <c r="A2" s="3" t="s">
        <v>199</v>
      </c>
      <c r="B2" s="3" t="s">
        <v>112</v>
      </c>
      <c r="C2" s="3" t="s">
        <v>201</v>
      </c>
      <c r="D2" s="3" t="s">
        <v>22</v>
      </c>
      <c r="E2" s="3" t="s">
        <v>202</v>
      </c>
      <c r="F2" s="3" t="s">
        <v>165</v>
      </c>
      <c r="G2" s="32" t="s">
        <v>205</v>
      </c>
      <c r="H2" s="5"/>
      <c r="I2" s="33"/>
    </row>
    <row r="3" customFormat="false" ht="15" hidden="false" customHeight="true" outlineLevel="0" collapsed="false">
      <c r="A3" s="3" t="s">
        <v>276</v>
      </c>
      <c r="B3" s="3" t="s">
        <v>112</v>
      </c>
      <c r="C3" s="3" t="s">
        <v>278</v>
      </c>
      <c r="D3" s="3" t="s">
        <v>54</v>
      </c>
      <c r="E3" s="3" t="s">
        <v>279</v>
      </c>
      <c r="F3" s="3" t="s">
        <v>145</v>
      </c>
      <c r="G3" s="32" t="s">
        <v>213</v>
      </c>
      <c r="H3" s="5"/>
      <c r="I3" s="33"/>
    </row>
    <row r="4" customFormat="false" ht="15" hidden="false" customHeight="true" outlineLevel="0" collapsed="false">
      <c r="A4" s="3" t="s">
        <v>285</v>
      </c>
      <c r="B4" s="3" t="s">
        <v>51</v>
      </c>
      <c r="C4" s="3" t="s">
        <v>287</v>
      </c>
      <c r="D4" s="3" t="s">
        <v>63</v>
      </c>
      <c r="E4" s="3"/>
      <c r="F4" s="3" t="s">
        <v>81</v>
      </c>
      <c r="G4" s="32" t="s">
        <v>126</v>
      </c>
      <c r="H4" s="5"/>
      <c r="I4" s="33"/>
    </row>
    <row r="5" customFormat="false" ht="15" hidden="false" customHeight="true" outlineLevel="0" collapsed="false">
      <c r="A5" s="3" t="s">
        <v>318</v>
      </c>
      <c r="B5" s="3" t="s">
        <v>91</v>
      </c>
      <c r="C5" s="3" t="s">
        <v>320</v>
      </c>
      <c r="D5" s="3" t="s">
        <v>54</v>
      </c>
      <c r="E5" s="3" t="s">
        <v>321</v>
      </c>
      <c r="F5" s="3" t="s">
        <v>65</v>
      </c>
      <c r="G5" s="32" t="s">
        <v>322</v>
      </c>
      <c r="H5" s="5"/>
      <c r="I5" s="33"/>
    </row>
    <row r="6" customFormat="false" ht="39" hidden="false" customHeight="true" outlineLevel="0" collapsed="false">
      <c r="A6" s="3" t="s">
        <v>326</v>
      </c>
      <c r="B6" s="3" t="s">
        <v>160</v>
      </c>
      <c r="C6" s="3" t="s">
        <v>328</v>
      </c>
      <c r="D6" s="3" t="s">
        <v>22</v>
      </c>
      <c r="E6" s="3" t="s">
        <v>329</v>
      </c>
      <c r="F6" s="3" t="s">
        <v>122</v>
      </c>
      <c r="G6" s="32" t="s">
        <v>228</v>
      </c>
      <c r="H6" s="5"/>
      <c r="I6" s="33"/>
    </row>
    <row r="7" customFormat="false" ht="15" hidden="false" customHeight="true" outlineLevel="0" collapsed="false">
      <c r="A7" s="3" t="s">
        <v>332</v>
      </c>
      <c r="B7" s="3" t="s">
        <v>51</v>
      </c>
      <c r="C7" s="3" t="s">
        <v>333</v>
      </c>
      <c r="D7" s="3" t="s">
        <v>22</v>
      </c>
      <c r="E7" s="3" t="s">
        <v>237</v>
      </c>
      <c r="F7" s="3" t="s">
        <v>65</v>
      </c>
      <c r="G7" s="32" t="s">
        <v>322</v>
      </c>
      <c r="H7" s="5"/>
      <c r="I7" s="33"/>
    </row>
    <row r="8" customFormat="false" ht="15" hidden="false" customHeight="true" outlineLevel="0" collapsed="false">
      <c r="A8" s="3" t="s">
        <v>373</v>
      </c>
      <c r="B8" s="3" t="s">
        <v>160</v>
      </c>
      <c r="C8" s="3" t="s">
        <v>375</v>
      </c>
      <c r="D8" s="3" t="s">
        <v>54</v>
      </c>
      <c r="E8" s="3" t="s">
        <v>237</v>
      </c>
      <c r="F8" s="3" t="s">
        <v>65</v>
      </c>
      <c r="G8" s="32" t="s">
        <v>89</v>
      </c>
      <c r="H8" s="5"/>
      <c r="I8" s="33"/>
    </row>
    <row r="9" customFormat="false" ht="15" hidden="false" customHeight="true" outlineLevel="0" collapsed="false">
      <c r="A9" s="3" t="s">
        <v>376</v>
      </c>
      <c r="B9" s="3" t="s">
        <v>51</v>
      </c>
      <c r="C9" s="3" t="s">
        <v>377</v>
      </c>
      <c r="D9" s="3" t="s">
        <v>54</v>
      </c>
      <c r="E9" s="3"/>
      <c r="F9" s="3" t="s">
        <v>65</v>
      </c>
      <c r="G9" s="32" t="s">
        <v>378</v>
      </c>
      <c r="H9" s="5"/>
      <c r="I9" s="33"/>
    </row>
    <row r="10" customFormat="false" ht="26.25" hidden="false" customHeight="true" outlineLevel="0" collapsed="false">
      <c r="A10" s="3" t="s">
        <v>379</v>
      </c>
      <c r="B10" s="3" t="s">
        <v>128</v>
      </c>
      <c r="C10" s="3" t="s">
        <v>381</v>
      </c>
      <c r="D10" s="3" t="s">
        <v>22</v>
      </c>
      <c r="E10" s="3" t="s">
        <v>382</v>
      </c>
      <c r="F10" s="3" t="s">
        <v>57</v>
      </c>
      <c r="G10" s="32" t="s">
        <v>384</v>
      </c>
      <c r="H10" s="5"/>
      <c r="I10" s="33"/>
    </row>
    <row r="11" customFormat="false" ht="15" hidden="false" customHeight="true" outlineLevel="0" collapsed="false">
      <c r="A11" s="3" t="s">
        <v>385</v>
      </c>
      <c r="B11" s="3" t="s">
        <v>76</v>
      </c>
      <c r="C11" s="3" t="s">
        <v>387</v>
      </c>
      <c r="D11" s="3" t="s">
        <v>22</v>
      </c>
      <c r="E11" s="3" t="s">
        <v>321</v>
      </c>
      <c r="F11" s="3" t="s">
        <v>65</v>
      </c>
      <c r="G11" s="32" t="s">
        <v>170</v>
      </c>
      <c r="H11" s="5"/>
      <c r="I11" s="33"/>
    </row>
    <row r="12" customFormat="false" ht="15" hidden="false" customHeight="true" outlineLevel="0" collapsed="false">
      <c r="A12" s="3" t="s">
        <v>389</v>
      </c>
      <c r="B12" s="3" t="s">
        <v>128</v>
      </c>
      <c r="C12" s="3" t="s">
        <v>390</v>
      </c>
      <c r="D12" s="3" t="s">
        <v>22</v>
      </c>
      <c r="E12" s="3" t="s">
        <v>175</v>
      </c>
      <c r="F12" s="3" t="s">
        <v>81</v>
      </c>
      <c r="G12" s="32" t="s">
        <v>213</v>
      </c>
      <c r="H12" s="5"/>
      <c r="I12" s="33"/>
    </row>
    <row r="13" customFormat="false" ht="26.25" hidden="false" customHeight="true" outlineLevel="0" collapsed="false">
      <c r="A13" s="3" t="s">
        <v>391</v>
      </c>
      <c r="B13" s="3" t="s">
        <v>135</v>
      </c>
      <c r="C13" s="3" t="s">
        <v>393</v>
      </c>
      <c r="D13" s="3" t="s">
        <v>22</v>
      </c>
      <c r="E13" s="3" t="s">
        <v>394</v>
      </c>
      <c r="F13" s="3" t="s">
        <v>245</v>
      </c>
      <c r="G13" s="32" t="s">
        <v>396</v>
      </c>
      <c r="H13" s="5"/>
      <c r="I13" s="33"/>
    </row>
    <row r="14" customFormat="false" ht="15" hidden="false" customHeight="true" outlineLevel="0" collapsed="false">
      <c r="A14" s="3" t="s">
        <v>402</v>
      </c>
      <c r="B14" s="3" t="s">
        <v>76</v>
      </c>
      <c r="C14" s="3" t="s">
        <v>404</v>
      </c>
      <c r="D14" s="3" t="s">
        <v>54</v>
      </c>
      <c r="E14" s="3"/>
      <c r="F14" s="3" t="s">
        <v>145</v>
      </c>
      <c r="G14" s="32" t="s">
        <v>193</v>
      </c>
      <c r="H14" s="5"/>
      <c r="I14" s="33"/>
    </row>
    <row r="15" customFormat="false" ht="26.25" hidden="false" customHeight="true" outlineLevel="0" collapsed="false">
      <c r="A15" s="3" t="s">
        <v>416</v>
      </c>
      <c r="B15" s="3" t="s">
        <v>160</v>
      </c>
      <c r="C15" s="3" t="s">
        <v>418</v>
      </c>
      <c r="D15" s="3" t="s">
        <v>22</v>
      </c>
      <c r="E15" s="3" t="s">
        <v>367</v>
      </c>
      <c r="F15" s="3" t="s">
        <v>122</v>
      </c>
      <c r="G15" s="32" t="s">
        <v>420</v>
      </c>
      <c r="H15" s="5"/>
      <c r="I15" s="33"/>
    </row>
    <row r="16" customFormat="false" ht="15" hidden="false" customHeight="true" outlineLevel="0" collapsed="false">
      <c r="A16" s="3" t="s">
        <v>421</v>
      </c>
      <c r="B16" s="3" t="s">
        <v>76</v>
      </c>
      <c r="C16" s="3" t="s">
        <v>423</v>
      </c>
      <c r="D16" s="3" t="s">
        <v>54</v>
      </c>
      <c r="E16" s="3" t="s">
        <v>424</v>
      </c>
      <c r="F16" s="3" t="s">
        <v>81</v>
      </c>
      <c r="G16" s="32" t="s">
        <v>213</v>
      </c>
      <c r="H16" s="5"/>
      <c r="I16" s="33"/>
    </row>
    <row r="17" customFormat="false" ht="39" hidden="false" customHeight="true" outlineLevel="0" collapsed="false">
      <c r="A17" s="3" t="s">
        <v>434</v>
      </c>
      <c r="B17" s="3" t="s">
        <v>135</v>
      </c>
      <c r="C17" s="3" t="s">
        <v>436</v>
      </c>
      <c r="D17" s="3" t="s">
        <v>54</v>
      </c>
      <c r="E17" s="3" t="s">
        <v>437</v>
      </c>
      <c r="F17" s="3" t="s">
        <v>117</v>
      </c>
      <c r="G17" s="32" t="s">
        <v>228</v>
      </c>
      <c r="H17" s="5"/>
      <c r="I17" s="33"/>
    </row>
    <row r="18" customFormat="false" ht="26.25" hidden="false" customHeight="true" outlineLevel="0" collapsed="false">
      <c r="A18" s="3" t="s">
        <v>453</v>
      </c>
      <c r="B18" s="3" t="s">
        <v>160</v>
      </c>
      <c r="C18" s="3" t="s">
        <v>455</v>
      </c>
      <c r="D18" s="3" t="s">
        <v>22</v>
      </c>
      <c r="E18" s="3" t="s">
        <v>456</v>
      </c>
      <c r="F18" s="3" t="s">
        <v>117</v>
      </c>
      <c r="G18" s="32" t="s">
        <v>458</v>
      </c>
      <c r="H18" s="5"/>
      <c r="I18" s="33"/>
    </row>
    <row r="19" customFormat="false" ht="15" hidden="false" customHeight="true" outlineLevel="0" collapsed="false">
      <c r="A19" s="3" t="s">
        <v>468</v>
      </c>
      <c r="B19" s="3" t="s">
        <v>76</v>
      </c>
      <c r="C19" s="3" t="s">
        <v>470</v>
      </c>
      <c r="D19" s="3" t="s">
        <v>54</v>
      </c>
      <c r="E19" s="3"/>
      <c r="F19" s="3" t="s">
        <v>122</v>
      </c>
      <c r="G19" s="32" t="s">
        <v>322</v>
      </c>
      <c r="H19" s="5"/>
      <c r="I19" s="33"/>
    </row>
    <row r="20" customFormat="false" ht="15" hidden="false" customHeight="true" outlineLevel="0" collapsed="false">
      <c r="A20" s="3" t="s">
        <v>471</v>
      </c>
      <c r="B20" s="3" t="s">
        <v>135</v>
      </c>
      <c r="C20" s="3" t="s">
        <v>473</v>
      </c>
      <c r="D20" s="3" t="s">
        <v>54</v>
      </c>
      <c r="E20" s="3" t="s">
        <v>474</v>
      </c>
      <c r="F20" s="3" t="s">
        <v>122</v>
      </c>
      <c r="G20" s="32" t="s">
        <v>378</v>
      </c>
      <c r="H20" s="5"/>
      <c r="I20" s="33"/>
    </row>
    <row r="21" customFormat="false" ht="26.25" hidden="false" customHeight="true" outlineLevel="0" collapsed="false">
      <c r="A21" s="3" t="s">
        <v>494</v>
      </c>
      <c r="B21" s="3" t="s">
        <v>135</v>
      </c>
      <c r="C21" s="3" t="s">
        <v>496</v>
      </c>
      <c r="D21" s="3" t="s">
        <v>22</v>
      </c>
      <c r="E21" s="3" t="s">
        <v>497</v>
      </c>
      <c r="F21" s="3" t="s">
        <v>145</v>
      </c>
      <c r="G21" s="32" t="s">
        <v>58</v>
      </c>
      <c r="H21" s="5"/>
      <c r="I21" s="33"/>
    </row>
    <row r="22" customFormat="false" ht="26.25" hidden="false" customHeight="true" outlineLevel="0" collapsed="false">
      <c r="A22" s="3" t="s">
        <v>510</v>
      </c>
      <c r="B22" s="3" t="s">
        <v>128</v>
      </c>
      <c r="C22" s="3" t="s">
        <v>512</v>
      </c>
      <c r="D22" s="3" t="s">
        <v>22</v>
      </c>
      <c r="E22" s="3" t="s">
        <v>513</v>
      </c>
      <c r="F22" s="3" t="s">
        <v>122</v>
      </c>
      <c r="G22" s="32" t="s">
        <v>58</v>
      </c>
      <c r="H22" s="5"/>
      <c r="I22" s="33"/>
    </row>
    <row r="23" customFormat="false" ht="15" hidden="false" customHeight="true" outlineLevel="0" collapsed="false">
      <c r="A23" s="3" t="s">
        <v>523</v>
      </c>
      <c r="B23" s="3" t="s">
        <v>91</v>
      </c>
      <c r="C23" s="3" t="s">
        <v>525</v>
      </c>
      <c r="D23" s="3" t="s">
        <v>22</v>
      </c>
      <c r="E23" s="3" t="s">
        <v>250</v>
      </c>
      <c r="F23" s="3" t="s">
        <v>65</v>
      </c>
      <c r="G23" s="32" t="s">
        <v>378</v>
      </c>
      <c r="H23" s="5"/>
      <c r="I23" s="33"/>
    </row>
    <row r="24" customFormat="false" ht="15" hidden="false" customHeight="true" outlineLevel="0" collapsed="false">
      <c r="A24" s="3" t="s">
        <v>526</v>
      </c>
      <c r="B24" s="3" t="s">
        <v>160</v>
      </c>
      <c r="C24" s="3" t="s">
        <v>527</v>
      </c>
      <c r="D24" s="3" t="s">
        <v>54</v>
      </c>
      <c r="E24" s="3" t="s">
        <v>243</v>
      </c>
      <c r="F24" s="3" t="s">
        <v>145</v>
      </c>
      <c r="G24" s="32" t="s">
        <v>101</v>
      </c>
      <c r="H24" s="5"/>
      <c r="I24" s="33"/>
    </row>
    <row r="25" customFormat="false" ht="26.25" hidden="false" customHeight="true" outlineLevel="0" collapsed="false">
      <c r="A25" s="3" t="s">
        <v>536</v>
      </c>
      <c r="B25" s="3" t="s">
        <v>128</v>
      </c>
      <c r="C25" s="3" t="s">
        <v>538</v>
      </c>
      <c r="D25" s="3" t="s">
        <v>22</v>
      </c>
      <c r="E25" s="3" t="s">
        <v>539</v>
      </c>
      <c r="F25" s="3" t="s">
        <v>117</v>
      </c>
      <c r="G25" s="32" t="s">
        <v>183</v>
      </c>
      <c r="H25" s="5"/>
      <c r="I25" s="33"/>
    </row>
    <row r="26" customFormat="false" ht="15" hidden="false" customHeight="true" outlineLevel="0" collapsed="false">
      <c r="A26" s="3" t="s">
        <v>557</v>
      </c>
      <c r="B26" s="3" t="s">
        <v>128</v>
      </c>
      <c r="C26" s="3" t="s">
        <v>559</v>
      </c>
      <c r="D26" s="3" t="s">
        <v>54</v>
      </c>
      <c r="E26" s="3"/>
      <c r="F26" s="3" t="s">
        <v>122</v>
      </c>
      <c r="G26" s="32" t="s">
        <v>213</v>
      </c>
      <c r="H26" s="5"/>
      <c r="I26" s="33"/>
    </row>
    <row r="27" customFormat="false" ht="15" hidden="false" customHeight="true" outlineLevel="0" collapsed="false">
      <c r="A27" s="3" t="s">
        <v>608</v>
      </c>
      <c r="B27" s="3" t="s">
        <v>91</v>
      </c>
      <c r="C27" s="3" t="s">
        <v>610</v>
      </c>
      <c r="D27" s="3" t="s">
        <v>54</v>
      </c>
      <c r="E27" s="3" t="s">
        <v>115</v>
      </c>
      <c r="F27" s="3" t="s">
        <v>122</v>
      </c>
      <c r="G27" s="32" t="s">
        <v>193</v>
      </c>
      <c r="H27" s="5"/>
      <c r="I27" s="33"/>
    </row>
    <row r="28" customFormat="false" ht="15" hidden="false" customHeight="true" outlineLevel="0" collapsed="false">
      <c r="A28" s="3" t="s">
        <v>611</v>
      </c>
      <c r="B28" s="3" t="s">
        <v>51</v>
      </c>
      <c r="C28" s="3" t="s">
        <v>613</v>
      </c>
      <c r="D28" s="3" t="s">
        <v>54</v>
      </c>
      <c r="E28" s="3" t="s">
        <v>237</v>
      </c>
      <c r="F28" s="3" t="s">
        <v>81</v>
      </c>
      <c r="G28" s="32" t="s">
        <v>170</v>
      </c>
      <c r="H28" s="5"/>
      <c r="I28" s="33"/>
    </row>
    <row r="29" customFormat="false" ht="26.25" hidden="false" customHeight="true" outlineLevel="0" collapsed="false">
      <c r="A29" s="3" t="s">
        <v>639</v>
      </c>
      <c r="B29" s="3" t="s">
        <v>135</v>
      </c>
      <c r="C29" s="3" t="s">
        <v>641</v>
      </c>
      <c r="D29" s="3" t="s">
        <v>22</v>
      </c>
      <c r="E29" s="3" t="s">
        <v>642</v>
      </c>
      <c r="F29" s="3" t="s">
        <v>108</v>
      </c>
      <c r="G29" s="32" t="s">
        <v>644</v>
      </c>
      <c r="H29" s="5"/>
      <c r="I29" s="33"/>
    </row>
    <row r="30" customFormat="false" ht="15" hidden="false" customHeight="true" outlineLevel="0" collapsed="false">
      <c r="A30" s="3" t="s">
        <v>661</v>
      </c>
      <c r="B30" s="3" t="s">
        <v>91</v>
      </c>
      <c r="C30" s="3" t="s">
        <v>663</v>
      </c>
      <c r="D30" s="3" t="s">
        <v>22</v>
      </c>
      <c r="E30" s="3" t="s">
        <v>367</v>
      </c>
      <c r="F30" s="3" t="s">
        <v>81</v>
      </c>
      <c r="G30" s="32" t="s">
        <v>378</v>
      </c>
      <c r="H30" s="5"/>
      <c r="I30" s="33"/>
    </row>
    <row r="31" customFormat="false" ht="15" hidden="false" customHeight="true" outlineLevel="0" collapsed="false">
      <c r="A31" s="3" t="s">
        <v>677</v>
      </c>
      <c r="B31" s="3" t="s">
        <v>91</v>
      </c>
      <c r="C31" s="3" t="s">
        <v>679</v>
      </c>
      <c r="D31" s="3" t="s">
        <v>54</v>
      </c>
      <c r="E31" s="3" t="s">
        <v>237</v>
      </c>
      <c r="F31" s="3" t="s">
        <v>122</v>
      </c>
      <c r="G31" s="32" t="s">
        <v>89</v>
      </c>
      <c r="H31" s="5"/>
      <c r="I31" s="33"/>
    </row>
    <row r="32" customFormat="false" ht="26.25" hidden="false" customHeight="true" outlineLevel="0" collapsed="false">
      <c r="A32" s="3" t="s">
        <v>692</v>
      </c>
      <c r="B32" s="3" t="s">
        <v>112</v>
      </c>
      <c r="C32" s="3" t="s">
        <v>694</v>
      </c>
      <c r="D32" s="3" t="s">
        <v>54</v>
      </c>
      <c r="E32" s="3" t="s">
        <v>321</v>
      </c>
      <c r="F32" s="3" t="s">
        <v>65</v>
      </c>
      <c r="G32" s="32" t="s">
        <v>239</v>
      </c>
      <c r="H32" s="5"/>
      <c r="I32" s="33"/>
    </row>
    <row r="33" customFormat="false" ht="15" hidden="false" customHeight="true" outlineLevel="0" collapsed="false">
      <c r="A33" s="3" t="s">
        <v>712</v>
      </c>
      <c r="B33" s="3" t="s">
        <v>91</v>
      </c>
      <c r="C33" s="3" t="s">
        <v>714</v>
      </c>
      <c r="D33" s="3" t="s">
        <v>22</v>
      </c>
      <c r="E33" s="3" t="s">
        <v>715</v>
      </c>
      <c r="F33" s="3" t="s">
        <v>145</v>
      </c>
      <c r="G33" s="32" t="s">
        <v>349</v>
      </c>
      <c r="H33" s="5"/>
      <c r="I33" s="33"/>
    </row>
    <row r="34" customFormat="false" ht="26.25" hidden="false" customHeight="true" outlineLevel="0" collapsed="false">
      <c r="A34" s="3" t="s">
        <v>739</v>
      </c>
      <c r="B34" s="3" t="s">
        <v>128</v>
      </c>
      <c r="C34" s="3" t="s">
        <v>741</v>
      </c>
      <c r="D34" s="3" t="s">
        <v>22</v>
      </c>
      <c r="E34" s="3" t="s">
        <v>742</v>
      </c>
      <c r="F34" s="3" t="s">
        <v>145</v>
      </c>
      <c r="G34" s="32" t="s">
        <v>58</v>
      </c>
      <c r="H34" s="5"/>
      <c r="I34" s="33"/>
    </row>
    <row r="35" customFormat="false" ht="15" hidden="false" customHeight="true" outlineLevel="0" collapsed="false">
      <c r="A35" s="3" t="s">
        <v>744</v>
      </c>
      <c r="B35" s="3" t="s">
        <v>112</v>
      </c>
      <c r="C35" s="3" t="s">
        <v>746</v>
      </c>
      <c r="D35" s="3" t="s">
        <v>22</v>
      </c>
      <c r="E35" s="3" t="s">
        <v>747</v>
      </c>
      <c r="F35" s="3" t="s">
        <v>65</v>
      </c>
      <c r="G35" s="32" t="s">
        <v>213</v>
      </c>
      <c r="H35" s="5"/>
      <c r="I35" s="33"/>
    </row>
    <row r="36" customFormat="false" ht="26.25" hidden="false" customHeight="true" outlineLevel="0" collapsed="false">
      <c r="A36" s="3" t="s">
        <v>794</v>
      </c>
      <c r="B36" s="3" t="s">
        <v>51</v>
      </c>
      <c r="C36" s="3" t="s">
        <v>795</v>
      </c>
      <c r="D36" s="3" t="s">
        <v>63</v>
      </c>
      <c r="E36" s="3"/>
      <c r="F36" s="3" t="s">
        <v>65</v>
      </c>
      <c r="G36" s="32" t="s">
        <v>657</v>
      </c>
      <c r="H36" s="5"/>
      <c r="I36" s="33"/>
    </row>
    <row r="37" customFormat="false" ht="15" hidden="false" customHeight="true" outlineLevel="0" collapsed="false">
      <c r="A37" s="3" t="s">
        <v>800</v>
      </c>
      <c r="B37" s="3" t="s">
        <v>160</v>
      </c>
      <c r="C37" s="3" t="s">
        <v>801</v>
      </c>
      <c r="D37" s="3" t="s">
        <v>22</v>
      </c>
      <c r="E37" s="3" t="s">
        <v>802</v>
      </c>
      <c r="F37" s="3" t="s">
        <v>122</v>
      </c>
      <c r="G37" s="32" t="s">
        <v>101</v>
      </c>
      <c r="H37" s="5"/>
      <c r="I37" s="33"/>
    </row>
    <row r="38" customFormat="false" ht="26.25" hidden="false" customHeight="true" outlineLevel="0" collapsed="false">
      <c r="A38" s="3" t="s">
        <v>806</v>
      </c>
      <c r="B38" s="3" t="s">
        <v>51</v>
      </c>
      <c r="C38" s="3" t="s">
        <v>807</v>
      </c>
      <c r="D38" s="3" t="s">
        <v>54</v>
      </c>
      <c r="E38" s="3" t="s">
        <v>237</v>
      </c>
      <c r="F38" s="3" t="s">
        <v>65</v>
      </c>
      <c r="G38" s="32" t="s">
        <v>66</v>
      </c>
      <c r="H38" s="5"/>
      <c r="I38" s="33"/>
    </row>
    <row r="39" customFormat="false" ht="26.25" hidden="false" customHeight="true" outlineLevel="0" collapsed="false">
      <c r="A39" s="3" t="s">
        <v>846</v>
      </c>
      <c r="B39" s="3" t="s">
        <v>135</v>
      </c>
      <c r="C39" s="3" t="s">
        <v>848</v>
      </c>
      <c r="D39" s="3" t="s">
        <v>22</v>
      </c>
      <c r="E39" s="3" t="s">
        <v>539</v>
      </c>
      <c r="F39" s="3" t="s">
        <v>57</v>
      </c>
      <c r="G39" s="32" t="s">
        <v>189</v>
      </c>
      <c r="H39" s="5"/>
      <c r="I39" s="33"/>
    </row>
    <row r="40" customFormat="false" ht="26.25" hidden="false" customHeight="true" outlineLevel="0" collapsed="false">
      <c r="A40" s="3" t="s">
        <v>849</v>
      </c>
      <c r="B40" s="3" t="s">
        <v>51</v>
      </c>
      <c r="C40" s="3" t="s">
        <v>851</v>
      </c>
      <c r="D40" s="3" t="s">
        <v>22</v>
      </c>
      <c r="E40" s="3" t="s">
        <v>852</v>
      </c>
      <c r="F40" s="3" t="s">
        <v>57</v>
      </c>
      <c r="G40" s="32" t="s">
        <v>854</v>
      </c>
      <c r="H40" s="5"/>
      <c r="I40" s="33"/>
    </row>
    <row r="41" customFormat="false" ht="15" hidden="false" customHeight="true" outlineLevel="0" collapsed="false">
      <c r="A41" s="3" t="s">
        <v>875</v>
      </c>
      <c r="B41" s="3" t="s">
        <v>91</v>
      </c>
      <c r="C41" s="3" t="s">
        <v>876</v>
      </c>
      <c r="D41" s="3" t="s">
        <v>54</v>
      </c>
      <c r="E41" s="3" t="s">
        <v>877</v>
      </c>
      <c r="F41" s="3" t="s">
        <v>65</v>
      </c>
      <c r="G41" s="32" t="s">
        <v>101</v>
      </c>
      <c r="H41" s="5"/>
      <c r="I41" s="33"/>
    </row>
    <row r="42" customFormat="false" ht="26.25" hidden="false" customHeight="true" outlineLevel="0" collapsed="false">
      <c r="A42" s="3" t="s">
        <v>935</v>
      </c>
      <c r="B42" s="3" t="s">
        <v>51</v>
      </c>
      <c r="C42" s="3" t="s">
        <v>937</v>
      </c>
      <c r="D42" s="3" t="s">
        <v>63</v>
      </c>
      <c r="E42" s="3"/>
      <c r="F42" s="3" t="s">
        <v>122</v>
      </c>
      <c r="G42" s="32" t="s">
        <v>363</v>
      </c>
      <c r="H42" s="5"/>
      <c r="I42" s="33"/>
    </row>
    <row r="43" customFormat="false" ht="39" hidden="false" customHeight="true" outlineLevel="0" collapsed="false">
      <c r="A43" s="3" t="s">
        <v>966</v>
      </c>
      <c r="B43" s="3" t="s">
        <v>112</v>
      </c>
      <c r="C43" s="3" t="s">
        <v>968</v>
      </c>
      <c r="D43" s="3" t="s">
        <v>54</v>
      </c>
      <c r="E43" s="3" t="s">
        <v>138</v>
      </c>
      <c r="F43" s="3" t="s">
        <v>145</v>
      </c>
      <c r="G43" s="32" t="s">
        <v>228</v>
      </c>
      <c r="H43" s="5"/>
      <c r="I43" s="33"/>
    </row>
    <row r="44" customFormat="false" ht="26.25" hidden="false" customHeight="true" outlineLevel="0" collapsed="false">
      <c r="A44" s="3" t="s">
        <v>983</v>
      </c>
      <c r="B44" s="3" t="s">
        <v>76</v>
      </c>
      <c r="C44" s="3" t="s">
        <v>985</v>
      </c>
      <c r="D44" s="3" t="s">
        <v>54</v>
      </c>
      <c r="E44" s="3" t="s">
        <v>986</v>
      </c>
      <c r="F44" s="3" t="s">
        <v>122</v>
      </c>
      <c r="G44" s="32" t="s">
        <v>74</v>
      </c>
      <c r="H44" s="5"/>
      <c r="I44" s="33"/>
    </row>
    <row r="45" customFormat="false" ht="26.25" hidden="false" customHeight="true" outlineLevel="0" collapsed="false">
      <c r="A45" s="3" t="s">
        <v>993</v>
      </c>
      <c r="B45" s="3" t="s">
        <v>160</v>
      </c>
      <c r="C45" s="3" t="s">
        <v>994</v>
      </c>
      <c r="D45" s="3" t="s">
        <v>54</v>
      </c>
      <c r="E45" s="3" t="s">
        <v>279</v>
      </c>
      <c r="F45" s="3" t="s">
        <v>108</v>
      </c>
      <c r="G45" s="32" t="s">
        <v>995</v>
      </c>
      <c r="H45" s="5"/>
      <c r="I45" s="33"/>
    </row>
    <row r="46" customFormat="false" ht="26.25" hidden="false" customHeight="true" outlineLevel="0" collapsed="false">
      <c r="A46" s="3" t="s">
        <v>1001</v>
      </c>
      <c r="B46" s="3" t="s">
        <v>76</v>
      </c>
      <c r="C46" s="3" t="s">
        <v>1003</v>
      </c>
      <c r="D46" s="3" t="s">
        <v>54</v>
      </c>
      <c r="E46" s="3" t="s">
        <v>79</v>
      </c>
      <c r="F46" s="3" t="s">
        <v>65</v>
      </c>
      <c r="G46" s="32" t="s">
        <v>657</v>
      </c>
      <c r="H46" s="5"/>
      <c r="I46" s="33"/>
    </row>
    <row r="47" customFormat="false" ht="39" hidden="false" customHeight="true" outlineLevel="0" collapsed="false">
      <c r="A47" s="3" t="s">
        <v>1026</v>
      </c>
      <c r="B47" s="3" t="s">
        <v>51</v>
      </c>
      <c r="C47" s="3" t="s">
        <v>1027</v>
      </c>
      <c r="D47" s="3" t="s">
        <v>22</v>
      </c>
      <c r="E47" s="3" t="s">
        <v>675</v>
      </c>
      <c r="F47" s="3" t="s">
        <v>145</v>
      </c>
      <c r="G47" s="32" t="s">
        <v>228</v>
      </c>
      <c r="H47" s="5"/>
      <c r="I47" s="33"/>
    </row>
    <row r="48" customFormat="false" ht="15" hidden="false" customHeight="true" outlineLevel="0" collapsed="false">
      <c r="A48" s="3" t="s">
        <v>1056</v>
      </c>
      <c r="B48" s="3" t="s">
        <v>135</v>
      </c>
      <c r="C48" s="3" t="s">
        <v>1058</v>
      </c>
      <c r="D48" s="3" t="s">
        <v>54</v>
      </c>
      <c r="E48" s="3"/>
      <c r="F48" s="3" t="s">
        <v>145</v>
      </c>
      <c r="G48" s="32" t="s">
        <v>101</v>
      </c>
      <c r="H48" s="5"/>
      <c r="I48" s="33"/>
    </row>
    <row r="49" customFormat="false" ht="26.25" hidden="false" customHeight="true" outlineLevel="0" collapsed="false">
      <c r="A49" s="3" t="s">
        <v>1064</v>
      </c>
      <c r="B49" s="3" t="s">
        <v>135</v>
      </c>
      <c r="C49" s="3" t="s">
        <v>1065</v>
      </c>
      <c r="D49" s="3" t="s">
        <v>54</v>
      </c>
      <c r="E49" s="3" t="s">
        <v>1066</v>
      </c>
      <c r="F49" s="3" t="s">
        <v>81</v>
      </c>
      <c r="G49" s="32" t="s">
        <v>74</v>
      </c>
      <c r="H49" s="5"/>
      <c r="I49" s="33"/>
    </row>
    <row r="50" customFormat="false" ht="26.25" hidden="false" customHeight="true" outlineLevel="0" collapsed="false">
      <c r="A50" s="3" t="s">
        <v>1075</v>
      </c>
      <c r="B50" s="3" t="s">
        <v>135</v>
      </c>
      <c r="C50" s="3" t="s">
        <v>1077</v>
      </c>
      <c r="D50" s="3" t="s">
        <v>22</v>
      </c>
      <c r="E50" s="3" t="s">
        <v>143</v>
      </c>
      <c r="F50" s="3" t="s">
        <v>145</v>
      </c>
      <c r="G50" s="32" t="s">
        <v>1078</v>
      </c>
      <c r="H50" s="5"/>
      <c r="I50" s="33"/>
    </row>
    <row r="51" customFormat="false" ht="26.25" hidden="false" customHeight="true" outlineLevel="0" collapsed="false">
      <c r="A51" s="3" t="s">
        <v>1079</v>
      </c>
      <c r="B51" s="3" t="s">
        <v>160</v>
      </c>
      <c r="C51" s="3" t="s">
        <v>1080</v>
      </c>
      <c r="D51" s="3" t="s">
        <v>22</v>
      </c>
      <c r="E51" s="3" t="s">
        <v>1081</v>
      </c>
      <c r="F51" s="3" t="s">
        <v>145</v>
      </c>
      <c r="G51" s="32" t="s">
        <v>1083</v>
      </c>
      <c r="H51" s="5"/>
      <c r="I51" s="33"/>
    </row>
    <row r="52" customFormat="false" ht="26.25" hidden="false" customHeight="true" outlineLevel="0" collapsed="false">
      <c r="A52" s="3" t="s">
        <v>1160</v>
      </c>
      <c r="B52" s="3" t="s">
        <v>160</v>
      </c>
      <c r="C52" s="3" t="s">
        <v>1162</v>
      </c>
      <c r="D52" s="3" t="s">
        <v>54</v>
      </c>
      <c r="E52" s="3"/>
      <c r="F52" s="3" t="s">
        <v>145</v>
      </c>
      <c r="G52" s="32" t="s">
        <v>74</v>
      </c>
      <c r="H52" s="5"/>
      <c r="I52" s="33"/>
    </row>
    <row r="53" customFormat="false" ht="26.25" hidden="false" customHeight="true" outlineLevel="0" collapsed="false">
      <c r="A53" s="3" t="s">
        <v>1189</v>
      </c>
      <c r="B53" s="3" t="s">
        <v>112</v>
      </c>
      <c r="C53" s="3" t="s">
        <v>1190</v>
      </c>
      <c r="D53" s="3" t="s">
        <v>22</v>
      </c>
      <c r="E53" s="3" t="s">
        <v>1191</v>
      </c>
      <c r="F53" s="3" t="s">
        <v>108</v>
      </c>
      <c r="G53" s="32" t="s">
        <v>644</v>
      </c>
      <c r="H53" s="5"/>
      <c r="I53" s="33"/>
    </row>
    <row r="54" customFormat="false" ht="15" hidden="false" customHeight="true" outlineLevel="0" collapsed="false">
      <c r="A54" s="3" t="s">
        <v>1193</v>
      </c>
      <c r="B54" s="3" t="s">
        <v>160</v>
      </c>
      <c r="C54" s="3" t="s">
        <v>1195</v>
      </c>
      <c r="D54" s="3" t="s">
        <v>54</v>
      </c>
      <c r="E54" s="3" t="s">
        <v>321</v>
      </c>
      <c r="F54" s="3" t="s">
        <v>81</v>
      </c>
      <c r="G54" s="32" t="s">
        <v>89</v>
      </c>
      <c r="H54" s="5"/>
      <c r="I54" s="33"/>
    </row>
    <row r="55" customFormat="false" ht="26.25" hidden="false" customHeight="true" outlineLevel="0" collapsed="false">
      <c r="A55" s="3" t="s">
        <v>1210</v>
      </c>
      <c r="B55" s="3" t="s">
        <v>51</v>
      </c>
      <c r="C55" s="3" t="s">
        <v>1211</v>
      </c>
      <c r="D55" s="3" t="s">
        <v>22</v>
      </c>
      <c r="E55" s="3" t="s">
        <v>1212</v>
      </c>
      <c r="F55" s="3" t="s">
        <v>145</v>
      </c>
      <c r="G55" s="32" t="s">
        <v>74</v>
      </c>
      <c r="H55" s="5"/>
      <c r="I55" s="33"/>
    </row>
    <row r="56" customFormat="false" ht="26.25" hidden="false" customHeight="true" outlineLevel="0" collapsed="false">
      <c r="A56" s="3" t="s">
        <v>1222</v>
      </c>
      <c r="B56" s="3" t="s">
        <v>76</v>
      </c>
      <c r="C56" s="3" t="s">
        <v>1224</v>
      </c>
      <c r="D56" s="3" t="s">
        <v>63</v>
      </c>
      <c r="E56" s="3"/>
      <c r="F56" s="3" t="s">
        <v>81</v>
      </c>
      <c r="G56" s="32" t="s">
        <v>66</v>
      </c>
      <c r="H56" s="5"/>
      <c r="I56" s="33"/>
    </row>
    <row r="57" customFormat="false" ht="26.25" hidden="false" customHeight="true" outlineLevel="0" collapsed="false">
      <c r="A57" s="3" t="s">
        <v>1227</v>
      </c>
      <c r="B57" s="3" t="s">
        <v>51</v>
      </c>
      <c r="C57" s="3" t="s">
        <v>1228</v>
      </c>
      <c r="D57" s="3" t="s">
        <v>54</v>
      </c>
      <c r="E57" s="3" t="s">
        <v>237</v>
      </c>
      <c r="F57" s="3" t="s">
        <v>122</v>
      </c>
      <c r="G57" s="32" t="s">
        <v>239</v>
      </c>
      <c r="H57" s="5"/>
      <c r="I57" s="33"/>
    </row>
    <row r="58" customFormat="false" ht="15" hidden="false" customHeight="true" outlineLevel="0" collapsed="false">
      <c r="A58" s="3" t="s">
        <v>1258</v>
      </c>
      <c r="B58" s="3" t="s">
        <v>135</v>
      </c>
      <c r="C58" s="3" t="s">
        <v>1260</v>
      </c>
      <c r="D58" s="3" t="s">
        <v>54</v>
      </c>
      <c r="E58" s="3"/>
      <c r="F58" s="3" t="s">
        <v>122</v>
      </c>
      <c r="G58" s="32" t="s">
        <v>378</v>
      </c>
      <c r="H58" s="5"/>
      <c r="I58" s="33"/>
    </row>
    <row r="59" customFormat="false" ht="26.25" hidden="false" customHeight="true" outlineLevel="0" collapsed="false">
      <c r="A59" s="3" t="s">
        <v>1261</v>
      </c>
      <c r="B59" s="3" t="s">
        <v>51</v>
      </c>
      <c r="C59" s="3" t="s">
        <v>1263</v>
      </c>
      <c r="D59" s="3" t="s">
        <v>22</v>
      </c>
      <c r="E59" s="3" t="s">
        <v>79</v>
      </c>
      <c r="F59" s="3" t="s">
        <v>65</v>
      </c>
      <c r="G59" s="32" t="s">
        <v>82</v>
      </c>
      <c r="H59" s="5"/>
      <c r="I59" s="33"/>
    </row>
    <row r="60" customFormat="false" ht="15" hidden="false" customHeight="true" outlineLevel="0" collapsed="false">
      <c r="A60" s="3" t="s">
        <v>1290</v>
      </c>
      <c r="B60" s="3" t="s">
        <v>51</v>
      </c>
      <c r="C60" s="3" t="s">
        <v>1292</v>
      </c>
      <c r="D60" s="3" t="s">
        <v>54</v>
      </c>
      <c r="E60" s="3" t="s">
        <v>79</v>
      </c>
      <c r="F60" s="3" t="s">
        <v>122</v>
      </c>
      <c r="G60" s="32" t="s">
        <v>322</v>
      </c>
      <c r="H60" s="5"/>
      <c r="I60" s="33"/>
    </row>
    <row r="61" customFormat="false" ht="15" hidden="false" customHeight="true" outlineLevel="0" collapsed="false">
      <c r="A61" s="3" t="s">
        <v>1295</v>
      </c>
      <c r="B61" s="3" t="s">
        <v>76</v>
      </c>
      <c r="C61" s="3" t="s">
        <v>1297</v>
      </c>
      <c r="D61" s="3" t="s">
        <v>63</v>
      </c>
      <c r="E61" s="3"/>
      <c r="F61" s="3" t="s">
        <v>65</v>
      </c>
      <c r="G61" s="32" t="s">
        <v>126</v>
      </c>
      <c r="H61" s="5"/>
      <c r="I61" s="33"/>
    </row>
    <row r="62" customFormat="false" ht="15" hidden="false" customHeight="true" outlineLevel="0" collapsed="false">
      <c r="A62" s="3" t="s">
        <v>1306</v>
      </c>
      <c r="B62" s="3" t="s">
        <v>135</v>
      </c>
      <c r="C62" s="3" t="s">
        <v>1308</v>
      </c>
      <c r="D62" s="3" t="s">
        <v>54</v>
      </c>
      <c r="E62" s="3"/>
      <c r="F62" s="3" t="s">
        <v>65</v>
      </c>
      <c r="G62" s="32" t="s">
        <v>378</v>
      </c>
      <c r="H62" s="5"/>
      <c r="I62" s="33"/>
    </row>
    <row r="63" customFormat="false" ht="26.25" hidden="false" customHeight="true" outlineLevel="0" collapsed="false">
      <c r="A63" s="3" t="s">
        <v>1336</v>
      </c>
      <c r="B63" s="3" t="s">
        <v>51</v>
      </c>
      <c r="C63" s="3" t="s">
        <v>1338</v>
      </c>
      <c r="D63" s="3" t="s">
        <v>63</v>
      </c>
      <c r="E63" s="3"/>
      <c r="F63" s="3" t="s">
        <v>122</v>
      </c>
      <c r="G63" s="32" t="s">
        <v>82</v>
      </c>
      <c r="H63" s="5"/>
      <c r="I63" s="33"/>
    </row>
    <row r="64" customFormat="false" ht="15" hidden="false" customHeight="true" outlineLevel="0" collapsed="false">
      <c r="A64" s="3" t="s">
        <v>1384</v>
      </c>
      <c r="B64" s="3" t="s">
        <v>51</v>
      </c>
      <c r="C64" s="3" t="s">
        <v>169</v>
      </c>
      <c r="D64" s="3" t="s">
        <v>54</v>
      </c>
      <c r="E64" s="3" t="s">
        <v>321</v>
      </c>
      <c r="F64" s="3" t="s">
        <v>81</v>
      </c>
      <c r="G64" s="32" t="s">
        <v>322</v>
      </c>
      <c r="H64" s="5"/>
      <c r="I64" s="33"/>
    </row>
    <row r="65" customFormat="false" ht="15" hidden="false" customHeight="true" outlineLevel="0" collapsed="false">
      <c r="A65" s="3" t="s">
        <v>1390</v>
      </c>
      <c r="B65" s="3" t="s">
        <v>51</v>
      </c>
      <c r="C65" s="3" t="s">
        <v>1392</v>
      </c>
      <c r="D65" s="3" t="s">
        <v>54</v>
      </c>
      <c r="E65" s="3" t="s">
        <v>237</v>
      </c>
      <c r="F65" s="3" t="s">
        <v>65</v>
      </c>
      <c r="G65" s="32" t="s">
        <v>89</v>
      </c>
      <c r="H65" s="5"/>
      <c r="I65" s="33"/>
    </row>
    <row r="66" customFormat="false" ht="26.25" hidden="false" customHeight="true" outlineLevel="0" collapsed="false">
      <c r="A66" s="3" t="s">
        <v>1393</v>
      </c>
      <c r="B66" s="3" t="s">
        <v>51</v>
      </c>
      <c r="C66" s="3" t="s">
        <v>1395</v>
      </c>
      <c r="D66" s="3" t="s">
        <v>54</v>
      </c>
      <c r="E66" s="3" t="s">
        <v>79</v>
      </c>
      <c r="F66" s="3" t="s">
        <v>65</v>
      </c>
      <c r="G66" s="32" t="s">
        <v>363</v>
      </c>
      <c r="H66" s="5"/>
      <c r="I66" s="33"/>
    </row>
    <row r="67" customFormat="false" ht="26.25" hidden="false" customHeight="true" outlineLevel="0" collapsed="false">
      <c r="A67" s="3" t="s">
        <v>1404</v>
      </c>
      <c r="B67" s="3" t="s">
        <v>51</v>
      </c>
      <c r="C67" s="3" t="s">
        <v>1406</v>
      </c>
      <c r="D67" s="3" t="s">
        <v>22</v>
      </c>
      <c r="E67" s="3" t="s">
        <v>1407</v>
      </c>
      <c r="F67" s="3" t="s">
        <v>57</v>
      </c>
      <c r="G67" s="32" t="s">
        <v>1409</v>
      </c>
      <c r="H67" s="5"/>
      <c r="I67" s="33"/>
    </row>
    <row r="68" customFormat="false" ht="15" hidden="false" customHeight="true" outlineLevel="0" collapsed="false">
      <c r="A68" s="3" t="s">
        <v>1415</v>
      </c>
      <c r="B68" s="3" t="s">
        <v>76</v>
      </c>
      <c r="C68" s="3" t="s">
        <v>1416</v>
      </c>
      <c r="D68" s="3" t="s">
        <v>54</v>
      </c>
      <c r="E68" s="3" t="s">
        <v>1417</v>
      </c>
      <c r="F68" s="3" t="s">
        <v>122</v>
      </c>
      <c r="G68" s="32" t="s">
        <v>193</v>
      </c>
      <c r="H68" s="5"/>
      <c r="I68" s="33"/>
    </row>
    <row r="69" customFormat="false" ht="26.25" hidden="false" customHeight="true" outlineLevel="0" collapsed="false">
      <c r="A69" s="3" t="s">
        <v>1428</v>
      </c>
      <c r="B69" s="3" t="s">
        <v>51</v>
      </c>
      <c r="C69" s="3" t="s">
        <v>1430</v>
      </c>
      <c r="D69" s="3" t="s">
        <v>54</v>
      </c>
      <c r="E69" s="3"/>
      <c r="F69" s="3" t="s">
        <v>65</v>
      </c>
      <c r="G69" s="32" t="s">
        <v>82</v>
      </c>
      <c r="H69" s="5"/>
      <c r="I69" s="33"/>
    </row>
    <row r="70" customFormat="false" ht="26.25" hidden="false" customHeight="true" outlineLevel="0" collapsed="false">
      <c r="A70" s="3" t="s">
        <v>1440</v>
      </c>
      <c r="B70" s="3" t="s">
        <v>160</v>
      </c>
      <c r="C70" s="3" t="s">
        <v>1442</v>
      </c>
      <c r="D70" s="3" t="s">
        <v>22</v>
      </c>
      <c r="E70" s="3" t="s">
        <v>79</v>
      </c>
      <c r="F70" s="3" t="s">
        <v>65</v>
      </c>
      <c r="G70" s="32" t="s">
        <v>82</v>
      </c>
      <c r="H70" s="5"/>
      <c r="I70" s="33"/>
    </row>
    <row r="71" customFormat="false" ht="26.25" hidden="false" customHeight="true" outlineLevel="0" collapsed="false">
      <c r="A71" s="3" t="s">
        <v>1449</v>
      </c>
      <c r="B71" s="3" t="s">
        <v>76</v>
      </c>
      <c r="C71" s="3" t="s">
        <v>62</v>
      </c>
      <c r="D71" s="3" t="s">
        <v>63</v>
      </c>
      <c r="E71" s="3"/>
      <c r="F71" s="3" t="s">
        <v>65</v>
      </c>
      <c r="G71" s="32" t="s">
        <v>239</v>
      </c>
      <c r="H71" s="5"/>
      <c r="I71" s="33"/>
    </row>
    <row r="72" customFormat="false" ht="26.25" hidden="false" customHeight="true" outlineLevel="0" collapsed="false">
      <c r="A72" s="3" t="s">
        <v>1460</v>
      </c>
      <c r="B72" s="3" t="s">
        <v>51</v>
      </c>
      <c r="C72" s="3" t="s">
        <v>1263</v>
      </c>
      <c r="D72" s="3" t="s">
        <v>54</v>
      </c>
      <c r="E72" s="3"/>
      <c r="F72" s="3" t="s">
        <v>65</v>
      </c>
      <c r="G72" s="32" t="s">
        <v>95</v>
      </c>
      <c r="H72" s="5"/>
      <c r="I72" s="33"/>
    </row>
    <row r="73" customFormat="false" ht="26.25" hidden="false" customHeight="true" outlineLevel="0" collapsed="false">
      <c r="A73" s="3" t="s">
        <v>1479</v>
      </c>
      <c r="B73" s="3" t="s">
        <v>76</v>
      </c>
      <c r="C73" s="3" t="s">
        <v>1480</v>
      </c>
      <c r="D73" s="3" t="s">
        <v>22</v>
      </c>
      <c r="E73" s="3" t="s">
        <v>138</v>
      </c>
      <c r="F73" s="3" t="s">
        <v>81</v>
      </c>
      <c r="G73" s="32" t="s">
        <v>1481</v>
      </c>
      <c r="H73" s="5"/>
      <c r="I73" s="33"/>
    </row>
    <row r="74" customFormat="false" ht="15" hidden="false" customHeight="true" outlineLevel="0" collapsed="false">
      <c r="A74" s="3" t="s">
        <v>1506</v>
      </c>
      <c r="B74" s="3" t="s">
        <v>128</v>
      </c>
      <c r="C74" s="3" t="s">
        <v>1508</v>
      </c>
      <c r="D74" s="3" t="s">
        <v>22</v>
      </c>
      <c r="E74" s="3" t="s">
        <v>202</v>
      </c>
      <c r="F74" s="3" t="s">
        <v>145</v>
      </c>
      <c r="G74" s="32" t="s">
        <v>193</v>
      </c>
      <c r="H74" s="5"/>
      <c r="I74" s="33"/>
    </row>
    <row r="75" customFormat="false" ht="26.25" hidden="false" customHeight="true" outlineLevel="0" collapsed="false">
      <c r="A75" s="3" t="s">
        <v>1525</v>
      </c>
      <c r="B75" s="3" t="s">
        <v>91</v>
      </c>
      <c r="C75" s="3" t="s">
        <v>1526</v>
      </c>
      <c r="D75" s="3" t="s">
        <v>22</v>
      </c>
      <c r="E75" s="3" t="s">
        <v>79</v>
      </c>
      <c r="F75" s="3" t="s">
        <v>65</v>
      </c>
      <c r="G75" s="32" t="s">
        <v>239</v>
      </c>
      <c r="H75" s="5"/>
      <c r="I75" s="33"/>
    </row>
    <row r="76" customFormat="false" ht="26.25" hidden="false" customHeight="true" outlineLevel="0" collapsed="false">
      <c r="A76" s="3" t="s">
        <v>1541</v>
      </c>
      <c r="B76" s="3" t="s">
        <v>51</v>
      </c>
      <c r="C76" s="3" t="s">
        <v>1236</v>
      </c>
      <c r="D76" s="3" t="s">
        <v>54</v>
      </c>
      <c r="E76" s="3"/>
      <c r="F76" s="3" t="s">
        <v>81</v>
      </c>
      <c r="G76" s="32" t="s">
        <v>95</v>
      </c>
      <c r="H76" s="5"/>
      <c r="I76" s="33"/>
    </row>
    <row r="77" customFormat="false" ht="15" hidden="false" customHeight="true" outlineLevel="0" collapsed="false">
      <c r="A77" s="3" t="s">
        <v>1554</v>
      </c>
      <c r="B77" s="3" t="s">
        <v>112</v>
      </c>
      <c r="C77" s="3" t="s">
        <v>1555</v>
      </c>
      <c r="D77" s="3" t="s">
        <v>54</v>
      </c>
      <c r="E77" s="3" t="s">
        <v>1556</v>
      </c>
      <c r="F77" s="3" t="s">
        <v>145</v>
      </c>
      <c r="G77" s="32" t="s">
        <v>101</v>
      </c>
      <c r="H77" s="5"/>
      <c r="I77" s="33"/>
    </row>
    <row r="78" customFormat="false" ht="26.25" hidden="false" customHeight="true" outlineLevel="0" collapsed="false">
      <c r="A78" s="3" t="s">
        <v>1560</v>
      </c>
      <c r="B78" s="3" t="s">
        <v>160</v>
      </c>
      <c r="C78" s="3" t="s">
        <v>1561</v>
      </c>
      <c r="D78" s="3" t="s">
        <v>54</v>
      </c>
      <c r="E78" s="3" t="s">
        <v>877</v>
      </c>
      <c r="F78" s="3" t="s">
        <v>245</v>
      </c>
      <c r="G78" s="32" t="s">
        <v>685</v>
      </c>
      <c r="H78" s="5"/>
      <c r="I78" s="33"/>
    </row>
    <row r="79" customFormat="false" ht="26.25" hidden="false" customHeight="true" outlineLevel="0" collapsed="false">
      <c r="A79" s="3" t="s">
        <v>1562</v>
      </c>
      <c r="B79" s="3" t="s">
        <v>160</v>
      </c>
      <c r="C79" s="3" t="s">
        <v>1564</v>
      </c>
      <c r="D79" s="3" t="s">
        <v>54</v>
      </c>
      <c r="E79" s="3"/>
      <c r="F79" s="3" t="s">
        <v>122</v>
      </c>
      <c r="G79" s="32" t="s">
        <v>363</v>
      </c>
      <c r="H79" s="5"/>
      <c r="I79" s="33"/>
    </row>
    <row r="80" customFormat="false" ht="15" hidden="false" customHeight="true" outlineLevel="0" collapsed="false">
      <c r="A80" s="3" t="s">
        <v>1574</v>
      </c>
      <c r="B80" s="3" t="s">
        <v>91</v>
      </c>
      <c r="C80" s="3" t="s">
        <v>1575</v>
      </c>
      <c r="D80" s="3" t="s">
        <v>22</v>
      </c>
      <c r="E80" s="3" t="s">
        <v>603</v>
      </c>
      <c r="F80" s="3" t="s">
        <v>145</v>
      </c>
      <c r="G80" s="32" t="s">
        <v>213</v>
      </c>
      <c r="H80" s="5"/>
      <c r="I80" s="33"/>
    </row>
    <row r="81" customFormat="false" ht="15" hidden="false" customHeight="true" outlineLevel="0" collapsed="false">
      <c r="A81" s="3" t="s">
        <v>1606</v>
      </c>
      <c r="B81" s="3" t="s">
        <v>128</v>
      </c>
      <c r="C81" s="3" t="s">
        <v>1608</v>
      </c>
      <c r="D81" s="3" t="s">
        <v>54</v>
      </c>
      <c r="E81" s="3"/>
      <c r="F81" s="3" t="s">
        <v>81</v>
      </c>
      <c r="G81" s="32" t="s">
        <v>101</v>
      </c>
      <c r="H81" s="5"/>
      <c r="I81" s="33"/>
    </row>
    <row r="82" customFormat="false" ht="26.25" hidden="false" customHeight="true" outlineLevel="0" collapsed="false">
      <c r="A82" s="3" t="s">
        <v>1616</v>
      </c>
      <c r="B82" s="3" t="s">
        <v>51</v>
      </c>
      <c r="C82" s="3" t="s">
        <v>1617</v>
      </c>
      <c r="D82" s="3" t="s">
        <v>54</v>
      </c>
      <c r="E82" s="3"/>
      <c r="F82" s="3" t="s">
        <v>145</v>
      </c>
      <c r="G82" s="32" t="s">
        <v>74</v>
      </c>
      <c r="H82" s="5"/>
      <c r="I82" s="33"/>
    </row>
    <row r="83" customFormat="false" ht="26.25" hidden="false" customHeight="true" outlineLevel="0" collapsed="false">
      <c r="A83" s="3" t="s">
        <v>1618</v>
      </c>
      <c r="B83" s="3" t="s">
        <v>160</v>
      </c>
      <c r="C83" s="3" t="s">
        <v>1620</v>
      </c>
      <c r="D83" s="3" t="s">
        <v>54</v>
      </c>
      <c r="E83" s="3" t="s">
        <v>1621</v>
      </c>
      <c r="F83" s="3" t="s">
        <v>165</v>
      </c>
      <c r="G83" s="32" t="s">
        <v>1550</v>
      </c>
      <c r="H83" s="5"/>
      <c r="I83" s="33"/>
    </row>
    <row r="84" customFormat="false" ht="15" hidden="false" customHeight="true" outlineLevel="0" collapsed="false">
      <c r="A84" s="3" t="s">
        <v>1625</v>
      </c>
      <c r="B84" s="3" t="s">
        <v>51</v>
      </c>
      <c r="C84" s="3" t="s">
        <v>1626</v>
      </c>
      <c r="D84" s="3" t="s">
        <v>54</v>
      </c>
      <c r="E84" s="3"/>
      <c r="F84" s="3" t="s">
        <v>81</v>
      </c>
      <c r="G84" s="32" t="s">
        <v>170</v>
      </c>
      <c r="H84" s="5"/>
      <c r="I84" s="33"/>
    </row>
    <row r="85" customFormat="false" ht="15" hidden="false" customHeight="true" outlineLevel="0" collapsed="false">
      <c r="A85" s="3" t="s">
        <v>1632</v>
      </c>
      <c r="B85" s="3" t="s">
        <v>76</v>
      </c>
      <c r="C85" s="3" t="s">
        <v>1633</v>
      </c>
      <c r="D85" s="3" t="s">
        <v>63</v>
      </c>
      <c r="E85" s="3"/>
      <c r="F85" s="3" t="s">
        <v>81</v>
      </c>
      <c r="G85" s="32" t="s">
        <v>126</v>
      </c>
      <c r="H85" s="5"/>
      <c r="I85" s="33"/>
    </row>
    <row r="86" customFormat="false" ht="15" hidden="false" customHeight="true" outlineLevel="0" collapsed="false">
      <c r="A86" s="3" t="s">
        <v>1638</v>
      </c>
      <c r="B86" s="3" t="s">
        <v>160</v>
      </c>
      <c r="C86" s="3" t="s">
        <v>1640</v>
      </c>
      <c r="D86" s="3" t="s">
        <v>63</v>
      </c>
      <c r="E86" s="3"/>
      <c r="F86" s="3" t="s">
        <v>122</v>
      </c>
      <c r="G86" s="32" t="s">
        <v>170</v>
      </c>
      <c r="H86" s="5"/>
      <c r="I86" s="33"/>
    </row>
    <row r="87" customFormat="false" ht="15" hidden="false" customHeight="true" outlineLevel="0" collapsed="false">
      <c r="A87" s="3" t="s">
        <v>1650</v>
      </c>
      <c r="B87" s="3" t="s">
        <v>51</v>
      </c>
      <c r="C87" s="3" t="s">
        <v>1651</v>
      </c>
      <c r="D87" s="3" t="s">
        <v>22</v>
      </c>
      <c r="E87" s="3" t="s">
        <v>321</v>
      </c>
      <c r="F87" s="3" t="s">
        <v>81</v>
      </c>
      <c r="G87" s="32" t="s">
        <v>89</v>
      </c>
      <c r="H87" s="5"/>
      <c r="I87" s="33"/>
    </row>
    <row r="88" customFormat="false" ht="26.25" hidden="false" customHeight="true" outlineLevel="0" collapsed="false">
      <c r="A88" s="3" t="s">
        <v>1661</v>
      </c>
      <c r="B88" s="3" t="s">
        <v>91</v>
      </c>
      <c r="C88" s="3" t="s">
        <v>1663</v>
      </c>
      <c r="D88" s="3" t="s">
        <v>54</v>
      </c>
      <c r="E88" s="3" t="s">
        <v>667</v>
      </c>
      <c r="F88" s="3" t="s">
        <v>245</v>
      </c>
      <c r="G88" s="32" t="s">
        <v>458</v>
      </c>
      <c r="H88" s="5"/>
      <c r="I88" s="33"/>
    </row>
    <row r="89" customFormat="false" ht="15" hidden="false" customHeight="true" outlineLevel="0" collapsed="false">
      <c r="A89" s="3" t="s">
        <v>1690</v>
      </c>
      <c r="B89" s="3" t="s">
        <v>128</v>
      </c>
      <c r="C89" s="3" t="s">
        <v>1691</v>
      </c>
      <c r="D89" s="3" t="s">
        <v>54</v>
      </c>
      <c r="E89" s="3" t="s">
        <v>1692</v>
      </c>
      <c r="F89" s="3" t="s">
        <v>81</v>
      </c>
      <c r="G89" s="32" t="s">
        <v>349</v>
      </c>
      <c r="H89" s="5"/>
      <c r="I89" s="33"/>
    </row>
    <row r="90" customFormat="false" ht="26.25" hidden="false" customHeight="true" outlineLevel="0" collapsed="false">
      <c r="A90" s="3" t="s">
        <v>1699</v>
      </c>
      <c r="B90" s="3" t="s">
        <v>160</v>
      </c>
      <c r="C90" s="3" t="s">
        <v>1701</v>
      </c>
      <c r="D90" s="3" t="s">
        <v>54</v>
      </c>
      <c r="E90" s="3" t="s">
        <v>225</v>
      </c>
      <c r="F90" s="3" t="s">
        <v>122</v>
      </c>
      <c r="G90" s="32" t="s">
        <v>74</v>
      </c>
      <c r="H90" s="5"/>
      <c r="I90" s="33"/>
    </row>
    <row r="91" customFormat="false" ht="26.25" hidden="false" customHeight="true" outlineLevel="0" collapsed="false">
      <c r="A91" s="3" t="s">
        <v>1714</v>
      </c>
      <c r="B91" s="3" t="s">
        <v>91</v>
      </c>
      <c r="C91" s="3" t="s">
        <v>1715</v>
      </c>
      <c r="D91" s="3" t="s">
        <v>22</v>
      </c>
      <c r="E91" s="3" t="s">
        <v>321</v>
      </c>
      <c r="F91" s="3" t="s">
        <v>65</v>
      </c>
      <c r="G91" s="32" t="s">
        <v>66</v>
      </c>
      <c r="H91" s="5"/>
      <c r="I91" s="33"/>
    </row>
    <row r="92" customFormat="false" ht="15" hidden="false" customHeight="true" outlineLevel="0" collapsed="false">
      <c r="A92" s="3" t="s">
        <v>1721</v>
      </c>
      <c r="B92" s="3" t="s">
        <v>51</v>
      </c>
      <c r="C92" s="3" t="s">
        <v>1723</v>
      </c>
      <c r="D92" s="3" t="s">
        <v>63</v>
      </c>
      <c r="E92" s="3"/>
      <c r="F92" s="3" t="s">
        <v>65</v>
      </c>
      <c r="G92" s="32" t="s">
        <v>322</v>
      </c>
      <c r="H92" s="5"/>
      <c r="I92" s="33"/>
    </row>
    <row r="93" customFormat="false" ht="15" hidden="false" customHeight="true" outlineLevel="0" collapsed="false">
      <c r="A93" s="3" t="s">
        <v>1740</v>
      </c>
      <c r="B93" s="3" t="s">
        <v>51</v>
      </c>
      <c r="C93" s="3" t="s">
        <v>1742</v>
      </c>
      <c r="D93" s="3" t="s">
        <v>63</v>
      </c>
      <c r="E93" s="3"/>
      <c r="F93" s="3" t="s">
        <v>65</v>
      </c>
      <c r="G93" s="32" t="s">
        <v>170</v>
      </c>
      <c r="H93" s="5"/>
      <c r="I93" s="33"/>
    </row>
    <row r="94" customFormat="false" ht="26.25" hidden="false" customHeight="true" outlineLevel="0" collapsed="false">
      <c r="A94" s="3" t="s">
        <v>1750</v>
      </c>
      <c r="B94" s="3" t="s">
        <v>91</v>
      </c>
      <c r="C94" s="3" t="s">
        <v>1752</v>
      </c>
      <c r="D94" s="3" t="s">
        <v>22</v>
      </c>
      <c r="E94" s="3" t="s">
        <v>487</v>
      </c>
      <c r="F94" s="3" t="s">
        <v>122</v>
      </c>
      <c r="G94" s="32" t="s">
        <v>657</v>
      </c>
      <c r="H94" s="5"/>
      <c r="I94" s="33"/>
    </row>
    <row r="95" customFormat="false" ht="15" hidden="false" customHeight="true" outlineLevel="0" collapsed="false">
      <c r="A95" s="3" t="s">
        <v>1778</v>
      </c>
      <c r="B95" s="3" t="s">
        <v>51</v>
      </c>
      <c r="C95" s="3" t="s">
        <v>656</v>
      </c>
      <c r="D95" s="3" t="s">
        <v>22</v>
      </c>
      <c r="E95" s="3" t="s">
        <v>86</v>
      </c>
      <c r="F95" s="3" t="s">
        <v>65</v>
      </c>
      <c r="G95" s="32" t="s">
        <v>126</v>
      </c>
      <c r="H95" s="5"/>
      <c r="I95" s="33"/>
    </row>
    <row r="96" customFormat="false" ht="26.25" hidden="false" customHeight="true" outlineLevel="0" collapsed="false">
      <c r="A96" s="3" t="s">
        <v>1815</v>
      </c>
      <c r="B96" s="3" t="s">
        <v>135</v>
      </c>
      <c r="C96" s="3" t="s">
        <v>1817</v>
      </c>
      <c r="D96" s="3" t="s">
        <v>22</v>
      </c>
      <c r="E96" s="3" t="s">
        <v>1140</v>
      </c>
      <c r="F96" s="3" t="s">
        <v>81</v>
      </c>
      <c r="G96" s="32" t="s">
        <v>644</v>
      </c>
      <c r="H96" s="5"/>
      <c r="I96" s="33"/>
    </row>
    <row r="97" customFormat="false" ht="26.25" hidden="false" customHeight="true" outlineLevel="0" collapsed="false">
      <c r="A97" s="3" t="s">
        <v>1826</v>
      </c>
      <c r="B97" s="3" t="s">
        <v>112</v>
      </c>
      <c r="C97" s="3" t="s">
        <v>1827</v>
      </c>
      <c r="D97" s="3" t="s">
        <v>54</v>
      </c>
      <c r="E97" s="3" t="s">
        <v>1521</v>
      </c>
      <c r="F97" s="3" t="s">
        <v>57</v>
      </c>
      <c r="G97" s="32" t="s">
        <v>189</v>
      </c>
      <c r="H97" s="5"/>
      <c r="I97" s="33"/>
    </row>
    <row r="98" customFormat="false" ht="15" hidden="false" customHeight="true" outlineLevel="0" collapsed="false">
      <c r="A98" s="3" t="s">
        <v>1828</v>
      </c>
      <c r="B98" s="3" t="s">
        <v>51</v>
      </c>
      <c r="C98" s="3" t="s">
        <v>1829</v>
      </c>
      <c r="D98" s="3" t="s">
        <v>54</v>
      </c>
      <c r="E98" s="3"/>
      <c r="F98" s="3" t="s">
        <v>65</v>
      </c>
      <c r="G98" s="32" t="s">
        <v>193</v>
      </c>
      <c r="H98" s="5"/>
      <c r="I98" s="33"/>
    </row>
    <row r="99" customFormat="false" ht="15" hidden="false" customHeight="true" outlineLevel="0" collapsed="false">
      <c r="A99" s="3" t="s">
        <v>1835</v>
      </c>
      <c r="B99" s="3" t="s">
        <v>76</v>
      </c>
      <c r="C99" s="3" t="s">
        <v>1836</v>
      </c>
      <c r="D99" s="3" t="s">
        <v>54</v>
      </c>
      <c r="E99" s="3"/>
      <c r="F99" s="3" t="s">
        <v>122</v>
      </c>
      <c r="G99" s="32" t="s">
        <v>213</v>
      </c>
      <c r="H99" s="5"/>
      <c r="I99" s="33"/>
    </row>
    <row r="100" customFormat="false" ht="26.25" hidden="false" customHeight="true" outlineLevel="0" collapsed="false">
      <c r="A100" s="3" t="s">
        <v>1871</v>
      </c>
      <c r="B100" s="3" t="s">
        <v>128</v>
      </c>
      <c r="C100" s="3" t="s">
        <v>1872</v>
      </c>
      <c r="D100" s="3" t="s">
        <v>22</v>
      </c>
      <c r="E100" s="3" t="s">
        <v>877</v>
      </c>
      <c r="F100" s="3" t="s">
        <v>117</v>
      </c>
      <c r="G100" s="32" t="s">
        <v>644</v>
      </c>
      <c r="H100" s="5"/>
      <c r="I100" s="33"/>
    </row>
    <row r="101" customFormat="false" ht="26.25" hidden="false" customHeight="true" outlineLevel="0" collapsed="false">
      <c r="A101" s="3" t="s">
        <v>1882</v>
      </c>
      <c r="B101" s="3" t="s">
        <v>135</v>
      </c>
      <c r="C101" s="3" t="s">
        <v>1884</v>
      </c>
      <c r="D101" s="3" t="s">
        <v>54</v>
      </c>
      <c r="E101" s="3" t="s">
        <v>675</v>
      </c>
      <c r="F101" s="3" t="s">
        <v>81</v>
      </c>
      <c r="G101" s="32" t="s">
        <v>355</v>
      </c>
      <c r="H101" s="5"/>
      <c r="I101" s="33"/>
    </row>
    <row r="102" customFormat="false" ht="26.25" hidden="false" customHeight="true" outlineLevel="0" collapsed="false">
      <c r="A102" s="3" t="s">
        <v>1914</v>
      </c>
      <c r="B102" s="3" t="s">
        <v>76</v>
      </c>
      <c r="C102" s="3" t="s">
        <v>1263</v>
      </c>
      <c r="D102" s="3" t="s">
        <v>63</v>
      </c>
      <c r="E102" s="3"/>
      <c r="F102" s="3" t="s">
        <v>122</v>
      </c>
      <c r="G102" s="32" t="s">
        <v>363</v>
      </c>
      <c r="H102" s="5"/>
      <c r="I102" s="33"/>
    </row>
    <row r="103" customFormat="false" ht="26.25" hidden="false" customHeight="true" outlineLevel="0" collapsed="false">
      <c r="A103" s="3" t="s">
        <v>1928</v>
      </c>
      <c r="B103" s="3" t="s">
        <v>51</v>
      </c>
      <c r="C103" s="3" t="s">
        <v>1929</v>
      </c>
      <c r="D103" s="3" t="s">
        <v>54</v>
      </c>
      <c r="E103" s="3"/>
      <c r="F103" s="3" t="s">
        <v>122</v>
      </c>
      <c r="G103" s="32" t="s">
        <v>74</v>
      </c>
      <c r="H103" s="5"/>
      <c r="I103" s="33"/>
    </row>
    <row r="104" customFormat="false" ht="26.25" hidden="false" customHeight="true" outlineLevel="0" collapsed="false">
      <c r="A104" s="3" t="s">
        <v>1938</v>
      </c>
      <c r="B104" s="3" t="s">
        <v>135</v>
      </c>
      <c r="C104" s="3" t="s">
        <v>1939</v>
      </c>
      <c r="D104" s="3" t="s">
        <v>22</v>
      </c>
      <c r="E104" s="3" t="s">
        <v>151</v>
      </c>
      <c r="F104" s="3" t="s">
        <v>117</v>
      </c>
      <c r="G104" s="32" t="s">
        <v>118</v>
      </c>
      <c r="H104" s="5"/>
      <c r="I104" s="33"/>
    </row>
    <row r="105" customFormat="false" ht="15" hidden="false" customHeight="true" outlineLevel="0" collapsed="false">
      <c r="A105" s="3" t="s">
        <v>1948</v>
      </c>
      <c r="B105" s="3" t="s">
        <v>51</v>
      </c>
      <c r="C105" s="3" t="s">
        <v>1583</v>
      </c>
      <c r="D105" s="3" t="s">
        <v>63</v>
      </c>
      <c r="E105" s="3"/>
      <c r="F105" s="3" t="s">
        <v>65</v>
      </c>
      <c r="G105" s="32" t="s">
        <v>126</v>
      </c>
      <c r="H105" s="5"/>
      <c r="I105" s="33"/>
    </row>
    <row r="106" customFormat="false" ht="26.25" hidden="false" customHeight="true" outlineLevel="0" collapsed="false">
      <c r="A106" s="3" t="s">
        <v>1964</v>
      </c>
      <c r="B106" s="3" t="s">
        <v>91</v>
      </c>
      <c r="C106" s="3" t="s">
        <v>169</v>
      </c>
      <c r="D106" s="3" t="s">
        <v>22</v>
      </c>
      <c r="E106" s="3" t="s">
        <v>321</v>
      </c>
      <c r="F106" s="3" t="s">
        <v>81</v>
      </c>
      <c r="G106" s="32" t="s">
        <v>239</v>
      </c>
      <c r="H106" s="5"/>
      <c r="I106" s="33"/>
    </row>
    <row r="107" customFormat="false" ht="26.25" hidden="false" customHeight="true" outlineLevel="0" collapsed="false">
      <c r="A107" s="3" t="s">
        <v>1968</v>
      </c>
      <c r="B107" s="3" t="s">
        <v>76</v>
      </c>
      <c r="C107" s="3" t="s">
        <v>1573</v>
      </c>
      <c r="D107" s="3" t="s">
        <v>54</v>
      </c>
      <c r="E107" s="3" t="s">
        <v>321</v>
      </c>
      <c r="F107" s="3" t="s">
        <v>65</v>
      </c>
      <c r="G107" s="32" t="s">
        <v>657</v>
      </c>
      <c r="H107" s="5"/>
      <c r="I107" s="33"/>
    </row>
    <row r="108" customFormat="false" ht="26.25" hidden="false" customHeight="true" outlineLevel="0" collapsed="false">
      <c r="A108" s="3" t="s">
        <v>1969</v>
      </c>
      <c r="B108" s="3" t="s">
        <v>135</v>
      </c>
      <c r="C108" s="3" t="s">
        <v>1970</v>
      </c>
      <c r="D108" s="3" t="s">
        <v>22</v>
      </c>
      <c r="E108" s="3" t="s">
        <v>131</v>
      </c>
      <c r="F108" s="3" t="s">
        <v>245</v>
      </c>
      <c r="G108" s="32" t="s">
        <v>458</v>
      </c>
      <c r="H108" s="5"/>
      <c r="I108" s="33"/>
    </row>
    <row r="109" customFormat="false" ht="26.25" hidden="false" customHeight="true" outlineLevel="0" collapsed="false">
      <c r="A109" s="3" t="s">
        <v>1971</v>
      </c>
      <c r="B109" s="3" t="s">
        <v>51</v>
      </c>
      <c r="C109" s="3" t="s">
        <v>1972</v>
      </c>
      <c r="D109" s="3" t="s">
        <v>54</v>
      </c>
      <c r="E109" s="3"/>
      <c r="F109" s="3" t="s">
        <v>122</v>
      </c>
      <c r="G109" s="32" t="s">
        <v>95</v>
      </c>
      <c r="H109" s="5"/>
      <c r="I109" s="33"/>
    </row>
    <row r="110" customFormat="false" ht="26.25" hidden="false" customHeight="true" outlineLevel="0" collapsed="false">
      <c r="A110" s="3" t="s">
        <v>1986</v>
      </c>
      <c r="B110" s="3" t="s">
        <v>128</v>
      </c>
      <c r="C110" s="3" t="s">
        <v>1987</v>
      </c>
      <c r="D110" s="3" t="s">
        <v>54</v>
      </c>
      <c r="E110" s="3" t="s">
        <v>163</v>
      </c>
      <c r="F110" s="3" t="s">
        <v>57</v>
      </c>
      <c r="G110" s="32" t="s">
        <v>189</v>
      </c>
      <c r="H110" s="5"/>
      <c r="I110" s="33"/>
    </row>
    <row r="111" customFormat="false" ht="15" hidden="false" customHeight="true" outlineLevel="0" collapsed="false">
      <c r="A111" s="3" t="s">
        <v>1988</v>
      </c>
      <c r="B111" s="3" t="s">
        <v>76</v>
      </c>
      <c r="C111" s="3" t="s">
        <v>1989</v>
      </c>
      <c r="D111" s="3" t="s">
        <v>63</v>
      </c>
      <c r="E111" s="3"/>
      <c r="F111" s="3" t="s">
        <v>65</v>
      </c>
      <c r="G111" s="32" t="s">
        <v>170</v>
      </c>
      <c r="H111" s="5"/>
      <c r="I111" s="33"/>
    </row>
    <row r="112" customFormat="false" ht="26.25" hidden="false" customHeight="true" outlineLevel="0" collapsed="false">
      <c r="A112" s="3" t="s">
        <v>1993</v>
      </c>
      <c r="B112" s="3" t="s">
        <v>135</v>
      </c>
      <c r="C112" s="3" t="s">
        <v>1994</v>
      </c>
      <c r="D112" s="3" t="s">
        <v>22</v>
      </c>
      <c r="E112" s="3" t="s">
        <v>1158</v>
      </c>
      <c r="F112" s="3" t="s">
        <v>245</v>
      </c>
      <c r="G112" s="32" t="s">
        <v>58</v>
      </c>
      <c r="H112" s="5"/>
      <c r="I112" s="33"/>
    </row>
    <row r="113" customFormat="false" ht="26.25" hidden="false" customHeight="true" outlineLevel="0" collapsed="false">
      <c r="A113" s="3" t="s">
        <v>2002</v>
      </c>
      <c r="B113" s="3" t="s">
        <v>112</v>
      </c>
      <c r="C113" s="3" t="s">
        <v>2004</v>
      </c>
      <c r="D113" s="3" t="s">
        <v>22</v>
      </c>
      <c r="E113" s="3" t="s">
        <v>456</v>
      </c>
      <c r="F113" s="3" t="s">
        <v>122</v>
      </c>
      <c r="G113" s="32" t="s">
        <v>1493</v>
      </c>
      <c r="H113" s="5"/>
      <c r="I113" s="33"/>
    </row>
    <row r="114" customFormat="false" ht="26.25" hidden="false" customHeight="true" outlineLevel="0" collapsed="false">
      <c r="A114" s="3" t="s">
        <v>2008</v>
      </c>
      <c r="B114" s="3" t="s">
        <v>135</v>
      </c>
      <c r="C114" s="3" t="s">
        <v>2009</v>
      </c>
      <c r="D114" s="3" t="s">
        <v>54</v>
      </c>
      <c r="E114" s="3"/>
      <c r="F114" s="3" t="s">
        <v>145</v>
      </c>
      <c r="G114" s="32" t="s">
        <v>74</v>
      </c>
      <c r="H114" s="5"/>
      <c r="I114" s="33"/>
    </row>
    <row r="115" customFormat="false" ht="26.25" hidden="false" customHeight="true" outlineLevel="0" collapsed="false">
      <c r="A115" s="3" t="s">
        <v>2021</v>
      </c>
      <c r="B115" s="3" t="s">
        <v>160</v>
      </c>
      <c r="C115" s="3" t="s">
        <v>2023</v>
      </c>
      <c r="D115" s="3" t="s">
        <v>22</v>
      </c>
      <c r="E115" s="3" t="s">
        <v>642</v>
      </c>
      <c r="F115" s="3" t="s">
        <v>57</v>
      </c>
      <c r="G115" s="32" t="s">
        <v>384</v>
      </c>
      <c r="H115" s="5"/>
      <c r="I115" s="33"/>
    </row>
    <row r="116" customFormat="false" ht="15" hidden="false" customHeight="true" outlineLevel="0" collapsed="false">
      <c r="A116" s="3" t="s">
        <v>2028</v>
      </c>
      <c r="B116" s="3" t="s">
        <v>135</v>
      </c>
      <c r="C116" s="3" t="s">
        <v>2029</v>
      </c>
      <c r="D116" s="3" t="s">
        <v>54</v>
      </c>
      <c r="E116" s="3"/>
      <c r="F116" s="3" t="s">
        <v>81</v>
      </c>
      <c r="G116" s="32" t="s">
        <v>101</v>
      </c>
      <c r="H116" s="5"/>
      <c r="I116" s="33"/>
    </row>
    <row r="117" customFormat="false" ht="15" hidden="false" customHeight="true" outlineLevel="0" collapsed="false">
      <c r="A117" s="3" t="s">
        <v>2031</v>
      </c>
      <c r="B117" s="3" t="s">
        <v>51</v>
      </c>
      <c r="C117" s="3" t="s">
        <v>2032</v>
      </c>
      <c r="D117" s="3" t="s">
        <v>22</v>
      </c>
      <c r="E117" s="3" t="s">
        <v>1447</v>
      </c>
      <c r="F117" s="3" t="s">
        <v>81</v>
      </c>
      <c r="G117" s="32" t="s">
        <v>349</v>
      </c>
      <c r="H117" s="5"/>
      <c r="I117" s="33"/>
    </row>
    <row r="118" customFormat="false" ht="26.25" hidden="false" customHeight="true" outlineLevel="0" collapsed="false">
      <c r="A118" s="3" t="s">
        <v>2037</v>
      </c>
      <c r="B118" s="3" t="s">
        <v>51</v>
      </c>
      <c r="C118" s="3" t="s">
        <v>2039</v>
      </c>
      <c r="D118" s="3" t="s">
        <v>54</v>
      </c>
      <c r="E118" s="3" t="s">
        <v>321</v>
      </c>
      <c r="F118" s="3" t="s">
        <v>65</v>
      </c>
      <c r="G118" s="32" t="s">
        <v>657</v>
      </c>
      <c r="H118" s="5"/>
      <c r="I118" s="33"/>
    </row>
    <row r="119" customFormat="false" ht="26.25" hidden="false" customHeight="true" outlineLevel="0" collapsed="false">
      <c r="A119" s="3" t="s">
        <v>2040</v>
      </c>
      <c r="B119" s="3" t="s">
        <v>51</v>
      </c>
      <c r="C119" s="3" t="s">
        <v>2042</v>
      </c>
      <c r="D119" s="3" t="s">
        <v>22</v>
      </c>
      <c r="E119" s="3" t="s">
        <v>921</v>
      </c>
      <c r="F119" s="3" t="s">
        <v>57</v>
      </c>
      <c r="G119" s="32" t="s">
        <v>189</v>
      </c>
      <c r="H119" s="5"/>
      <c r="I119" s="33"/>
    </row>
    <row r="120" customFormat="false" ht="26.25" hidden="false" customHeight="true" outlineLevel="0" collapsed="false">
      <c r="A120" s="3" t="s">
        <v>2046</v>
      </c>
      <c r="B120" s="3" t="s">
        <v>51</v>
      </c>
      <c r="C120" s="3" t="s">
        <v>2048</v>
      </c>
      <c r="D120" s="3" t="s">
        <v>54</v>
      </c>
      <c r="E120" s="3"/>
      <c r="F120" s="3" t="s">
        <v>65</v>
      </c>
      <c r="G120" s="32" t="s">
        <v>95</v>
      </c>
      <c r="H120" s="5"/>
      <c r="I120" s="33"/>
    </row>
    <row r="121" customFormat="false" ht="26.25" hidden="false" customHeight="true" outlineLevel="0" collapsed="false">
      <c r="A121" s="3" t="s">
        <v>2052</v>
      </c>
      <c r="B121" s="3" t="s">
        <v>51</v>
      </c>
      <c r="C121" s="3" t="s">
        <v>2054</v>
      </c>
      <c r="D121" s="3" t="s">
        <v>63</v>
      </c>
      <c r="E121" s="3"/>
      <c r="F121" s="3" t="s">
        <v>65</v>
      </c>
      <c r="G121" s="32" t="s">
        <v>66</v>
      </c>
      <c r="H121" s="5"/>
      <c r="I121" s="33"/>
    </row>
    <row r="122" customFormat="false" ht="39" hidden="false" customHeight="true" outlineLevel="0" collapsed="false">
      <c r="A122" s="3" t="s">
        <v>2055</v>
      </c>
      <c r="B122" s="3" t="s">
        <v>128</v>
      </c>
      <c r="C122" s="3" t="s">
        <v>2057</v>
      </c>
      <c r="D122" s="3" t="s">
        <v>54</v>
      </c>
      <c r="E122" s="3" t="s">
        <v>965</v>
      </c>
      <c r="F122" s="3" t="s">
        <v>165</v>
      </c>
      <c r="G122" s="32" t="s">
        <v>228</v>
      </c>
      <c r="H122" s="5"/>
      <c r="I122" s="33"/>
    </row>
    <row r="123" customFormat="false" ht="15" hidden="false" customHeight="true" outlineLevel="0" collapsed="false">
      <c r="A123" s="3" t="s">
        <v>2064</v>
      </c>
      <c r="B123" s="3" t="s">
        <v>128</v>
      </c>
      <c r="C123" s="3" t="s">
        <v>2066</v>
      </c>
      <c r="D123" s="3" t="s">
        <v>54</v>
      </c>
      <c r="E123" s="3" t="s">
        <v>279</v>
      </c>
      <c r="F123" s="3" t="s">
        <v>65</v>
      </c>
      <c r="G123" s="32" t="s">
        <v>101</v>
      </c>
      <c r="H123" s="5"/>
      <c r="I123" s="33"/>
    </row>
    <row r="124" customFormat="false" ht="26.25" hidden="false" customHeight="true" outlineLevel="0" collapsed="false">
      <c r="A124" s="3" t="s">
        <v>2088</v>
      </c>
      <c r="B124" s="3" t="s">
        <v>76</v>
      </c>
      <c r="C124" s="3" t="s">
        <v>2090</v>
      </c>
      <c r="D124" s="3" t="s">
        <v>54</v>
      </c>
      <c r="E124" s="3"/>
      <c r="F124" s="3" t="s">
        <v>122</v>
      </c>
      <c r="G124" s="32" t="s">
        <v>239</v>
      </c>
      <c r="H124" s="5"/>
      <c r="I124" s="33"/>
    </row>
    <row r="125" customFormat="false" ht="15" hidden="false" customHeight="true" outlineLevel="0" collapsed="false">
      <c r="A125" s="3" t="s">
        <v>2133</v>
      </c>
      <c r="B125" s="3" t="s">
        <v>91</v>
      </c>
      <c r="C125" s="3" t="s">
        <v>2134</v>
      </c>
      <c r="D125" s="3" t="s">
        <v>54</v>
      </c>
      <c r="E125" s="3"/>
      <c r="F125" s="3" t="s">
        <v>122</v>
      </c>
      <c r="G125" s="32" t="s">
        <v>213</v>
      </c>
      <c r="H125" s="5"/>
      <c r="I125" s="33"/>
    </row>
    <row r="126" customFormat="false" ht="26.25" hidden="false" customHeight="true" outlineLevel="0" collapsed="false">
      <c r="A126" s="3" t="s">
        <v>2137</v>
      </c>
      <c r="B126" s="3" t="s">
        <v>160</v>
      </c>
      <c r="C126" s="3" t="s">
        <v>2139</v>
      </c>
      <c r="D126" s="3" t="s">
        <v>54</v>
      </c>
      <c r="E126" s="3" t="s">
        <v>2140</v>
      </c>
      <c r="F126" s="3" t="s">
        <v>108</v>
      </c>
      <c r="G126" s="32" t="s">
        <v>118</v>
      </c>
      <c r="H126" s="5"/>
      <c r="I126" s="33"/>
    </row>
    <row r="127" customFormat="false" ht="15" hidden="false" customHeight="true" outlineLevel="0" collapsed="false">
      <c r="A127" s="3" t="s">
        <v>2159</v>
      </c>
      <c r="B127" s="3" t="s">
        <v>91</v>
      </c>
      <c r="C127" s="3" t="s">
        <v>2160</v>
      </c>
      <c r="D127" s="3" t="s">
        <v>54</v>
      </c>
      <c r="E127" s="3" t="s">
        <v>563</v>
      </c>
      <c r="F127" s="3" t="s">
        <v>65</v>
      </c>
      <c r="G127" s="32" t="s">
        <v>101</v>
      </c>
      <c r="H127" s="5"/>
      <c r="I127" s="33"/>
    </row>
    <row r="128" customFormat="false" ht="15" hidden="false" customHeight="true" outlineLevel="0" collapsed="false">
      <c r="A128" s="3" t="s">
        <v>2185</v>
      </c>
      <c r="B128" s="3" t="s">
        <v>112</v>
      </c>
      <c r="C128" s="3" t="s">
        <v>2186</v>
      </c>
      <c r="D128" s="3" t="s">
        <v>54</v>
      </c>
      <c r="E128" s="3"/>
      <c r="F128" s="3" t="s">
        <v>122</v>
      </c>
      <c r="G128" s="32" t="s">
        <v>101</v>
      </c>
      <c r="H128" s="5"/>
      <c r="I128" s="33"/>
    </row>
    <row r="129" customFormat="false" ht="15" hidden="false" customHeight="true" outlineLevel="0" collapsed="false">
      <c r="A129" s="3" t="s">
        <v>2192</v>
      </c>
      <c r="B129" s="3" t="s">
        <v>76</v>
      </c>
      <c r="C129" s="3" t="s">
        <v>2194</v>
      </c>
      <c r="D129" s="3" t="s">
        <v>54</v>
      </c>
      <c r="E129" s="3" t="s">
        <v>79</v>
      </c>
      <c r="F129" s="3" t="s">
        <v>65</v>
      </c>
      <c r="G129" s="32" t="s">
        <v>126</v>
      </c>
      <c r="H129" s="5"/>
      <c r="I129" s="33"/>
    </row>
    <row r="130" customFormat="false" ht="26.25" hidden="false" customHeight="true" outlineLevel="0" collapsed="false">
      <c r="A130" s="3" t="s">
        <v>2217</v>
      </c>
      <c r="B130" s="3" t="s">
        <v>76</v>
      </c>
      <c r="C130" s="3" t="s">
        <v>2218</v>
      </c>
      <c r="D130" s="3" t="s">
        <v>54</v>
      </c>
      <c r="E130" s="3" t="s">
        <v>1621</v>
      </c>
      <c r="F130" s="3" t="s">
        <v>122</v>
      </c>
      <c r="G130" s="32" t="s">
        <v>1649</v>
      </c>
      <c r="H130" s="5"/>
      <c r="I130" s="33"/>
    </row>
    <row r="131" customFormat="false" ht="15" hidden="false" customHeight="true" outlineLevel="0" collapsed="false">
      <c r="A131" s="3" t="s">
        <v>2238</v>
      </c>
      <c r="B131" s="3" t="s">
        <v>76</v>
      </c>
      <c r="C131" s="3" t="s">
        <v>2240</v>
      </c>
      <c r="D131" s="3" t="s">
        <v>54</v>
      </c>
      <c r="E131" s="3" t="s">
        <v>2241</v>
      </c>
      <c r="F131" s="3" t="s">
        <v>65</v>
      </c>
      <c r="G131" s="32" t="s">
        <v>349</v>
      </c>
      <c r="H131" s="5"/>
      <c r="I131" s="33"/>
    </row>
    <row r="132" customFormat="false" ht="15" hidden="false" customHeight="true" outlineLevel="0" collapsed="false">
      <c r="A132" s="3" t="s">
        <v>2252</v>
      </c>
      <c r="B132" s="3" t="s">
        <v>51</v>
      </c>
      <c r="C132" s="3" t="s">
        <v>2253</v>
      </c>
      <c r="D132" s="3" t="s">
        <v>22</v>
      </c>
      <c r="E132" s="3" t="s">
        <v>2254</v>
      </c>
      <c r="F132" s="3" t="s">
        <v>81</v>
      </c>
      <c r="G132" s="32" t="s">
        <v>349</v>
      </c>
      <c r="H132" s="5"/>
      <c r="I132" s="33"/>
    </row>
    <row r="133" customFormat="false" ht="15" hidden="false" customHeight="true" outlineLevel="0" collapsed="false">
      <c r="A133" s="3" t="s">
        <v>2289</v>
      </c>
      <c r="B133" s="3" t="s">
        <v>76</v>
      </c>
      <c r="C133" s="3" t="s">
        <v>2290</v>
      </c>
      <c r="D133" s="3" t="s">
        <v>22</v>
      </c>
      <c r="E133" s="3" t="s">
        <v>487</v>
      </c>
      <c r="F133" s="3" t="s">
        <v>122</v>
      </c>
      <c r="G133" s="32" t="s">
        <v>89</v>
      </c>
      <c r="H133" s="5"/>
      <c r="I133" s="33"/>
    </row>
    <row r="134" customFormat="false" ht="15" hidden="false" customHeight="true" outlineLevel="0" collapsed="false">
      <c r="A134" s="3" t="s">
        <v>2296</v>
      </c>
      <c r="B134" s="3" t="s">
        <v>91</v>
      </c>
      <c r="C134" s="3" t="s">
        <v>2297</v>
      </c>
      <c r="D134" s="3" t="s">
        <v>54</v>
      </c>
      <c r="E134" s="3" t="s">
        <v>1875</v>
      </c>
      <c r="F134" s="3" t="s">
        <v>145</v>
      </c>
      <c r="G134" s="32" t="s">
        <v>378</v>
      </c>
      <c r="H134" s="5"/>
      <c r="I134" s="33"/>
    </row>
    <row r="135" customFormat="false" ht="26.25" hidden="false" customHeight="true" outlineLevel="0" collapsed="false">
      <c r="A135" s="3" t="s">
        <v>2326</v>
      </c>
      <c r="B135" s="3" t="s">
        <v>76</v>
      </c>
      <c r="C135" s="3" t="s">
        <v>2327</v>
      </c>
      <c r="D135" s="3" t="s">
        <v>22</v>
      </c>
      <c r="E135" s="3" t="s">
        <v>86</v>
      </c>
      <c r="F135" s="3" t="s">
        <v>65</v>
      </c>
      <c r="G135" s="32" t="s">
        <v>363</v>
      </c>
      <c r="H135" s="5"/>
      <c r="I135" s="33"/>
    </row>
    <row r="136" customFormat="false" ht="39" hidden="false" customHeight="true" outlineLevel="0" collapsed="false">
      <c r="A136" s="3" t="s">
        <v>2331</v>
      </c>
      <c r="B136" s="3" t="s">
        <v>51</v>
      </c>
      <c r="C136" s="3" t="s">
        <v>2332</v>
      </c>
      <c r="D136" s="3" t="s">
        <v>54</v>
      </c>
      <c r="E136" s="3" t="s">
        <v>279</v>
      </c>
      <c r="F136" s="3" t="s">
        <v>245</v>
      </c>
      <c r="G136" s="32" t="s">
        <v>228</v>
      </c>
      <c r="H136" s="5"/>
      <c r="I136" s="33"/>
    </row>
    <row r="137" customFormat="false" ht="26.25" hidden="false" customHeight="true" outlineLevel="0" collapsed="false">
      <c r="A137" s="3" t="s">
        <v>2371</v>
      </c>
      <c r="B137" s="3" t="s">
        <v>160</v>
      </c>
      <c r="C137" s="3" t="s">
        <v>2372</v>
      </c>
      <c r="D137" s="3" t="s">
        <v>22</v>
      </c>
      <c r="E137" s="3" t="s">
        <v>497</v>
      </c>
      <c r="F137" s="3" t="s">
        <v>57</v>
      </c>
      <c r="G137" s="32" t="s">
        <v>2373</v>
      </c>
      <c r="H137" s="5"/>
      <c r="I137" s="33"/>
    </row>
    <row r="138" customFormat="false" ht="15" hidden="false" customHeight="true" outlineLevel="0" collapsed="false">
      <c r="A138" s="3" t="s">
        <v>2374</v>
      </c>
      <c r="B138" s="3" t="s">
        <v>160</v>
      </c>
      <c r="C138" s="3" t="s">
        <v>62</v>
      </c>
      <c r="D138" s="3" t="s">
        <v>22</v>
      </c>
      <c r="E138" s="3" t="s">
        <v>237</v>
      </c>
      <c r="F138" s="3" t="s">
        <v>65</v>
      </c>
      <c r="G138" s="32" t="s">
        <v>322</v>
      </c>
      <c r="H138" s="5"/>
      <c r="I138" s="33"/>
    </row>
    <row r="139" customFormat="false" ht="15" hidden="false" customHeight="true" outlineLevel="0" collapsed="false">
      <c r="A139" s="3" t="s">
        <v>2376</v>
      </c>
      <c r="B139" s="3" t="s">
        <v>76</v>
      </c>
      <c r="C139" s="3" t="s">
        <v>2377</v>
      </c>
      <c r="D139" s="3" t="s">
        <v>54</v>
      </c>
      <c r="E139" s="3"/>
      <c r="F139" s="3" t="s">
        <v>122</v>
      </c>
      <c r="G139" s="32" t="s">
        <v>101</v>
      </c>
      <c r="H139" s="5"/>
      <c r="I139" s="33"/>
    </row>
    <row r="140" customFormat="false" ht="26.25" hidden="false" customHeight="true" outlineLevel="0" collapsed="false">
      <c r="A140" s="3" t="s">
        <v>2405</v>
      </c>
      <c r="B140" s="3" t="s">
        <v>91</v>
      </c>
      <c r="C140" s="3" t="s">
        <v>2406</v>
      </c>
      <c r="D140" s="3" t="s">
        <v>54</v>
      </c>
      <c r="E140" s="3" t="s">
        <v>237</v>
      </c>
      <c r="F140" s="3" t="s">
        <v>122</v>
      </c>
      <c r="G140" s="32" t="s">
        <v>239</v>
      </c>
      <c r="H140" s="5"/>
      <c r="I140" s="33"/>
    </row>
    <row r="141" customFormat="false" ht="26.25" hidden="false" customHeight="true" outlineLevel="0" collapsed="false">
      <c r="A141" s="3" t="s">
        <v>2414</v>
      </c>
      <c r="B141" s="3" t="s">
        <v>51</v>
      </c>
      <c r="C141" s="3" t="s">
        <v>2410</v>
      </c>
      <c r="D141" s="3" t="s">
        <v>22</v>
      </c>
      <c r="E141" s="3" t="s">
        <v>487</v>
      </c>
      <c r="F141" s="3" t="s">
        <v>122</v>
      </c>
      <c r="G141" s="32" t="s">
        <v>66</v>
      </c>
      <c r="H141" s="5"/>
      <c r="I141" s="33"/>
    </row>
    <row r="142" customFormat="false" ht="26.25" hidden="false" customHeight="true" outlineLevel="0" collapsed="false">
      <c r="A142" s="3" t="s">
        <v>2420</v>
      </c>
      <c r="B142" s="3" t="s">
        <v>160</v>
      </c>
      <c r="C142" s="3" t="s">
        <v>2421</v>
      </c>
      <c r="D142" s="3" t="s">
        <v>22</v>
      </c>
      <c r="E142" s="3" t="s">
        <v>1862</v>
      </c>
      <c r="F142" s="3" t="s">
        <v>81</v>
      </c>
      <c r="G142" s="32" t="s">
        <v>1533</v>
      </c>
      <c r="H142" s="5"/>
      <c r="I142" s="33"/>
    </row>
    <row r="143" customFormat="false" ht="15" hidden="false" customHeight="true" outlineLevel="0" collapsed="false">
      <c r="A143" s="3" t="s">
        <v>2422</v>
      </c>
      <c r="B143" s="3" t="s">
        <v>51</v>
      </c>
      <c r="C143" s="3" t="s">
        <v>1526</v>
      </c>
      <c r="D143" s="3" t="s">
        <v>63</v>
      </c>
      <c r="E143" s="3"/>
      <c r="F143" s="3" t="s">
        <v>81</v>
      </c>
      <c r="G143" s="32" t="s">
        <v>126</v>
      </c>
      <c r="H143" s="5"/>
      <c r="I143" s="33"/>
    </row>
    <row r="144" customFormat="false" ht="15" hidden="false" customHeight="true" outlineLevel="0" collapsed="false">
      <c r="A144" s="3" t="s">
        <v>2472</v>
      </c>
      <c r="B144" s="3" t="s">
        <v>51</v>
      </c>
      <c r="C144" s="3" t="s">
        <v>1209</v>
      </c>
      <c r="D144" s="3" t="s">
        <v>63</v>
      </c>
      <c r="E144" s="3"/>
      <c r="F144" s="3" t="s">
        <v>65</v>
      </c>
      <c r="G144" s="32" t="s">
        <v>89</v>
      </c>
      <c r="H144" s="5"/>
      <c r="I144" s="33"/>
    </row>
    <row r="145" customFormat="false" ht="15" hidden="false" customHeight="true" outlineLevel="0" collapsed="false">
      <c r="A145" s="3" t="s">
        <v>2473</v>
      </c>
      <c r="B145" s="3" t="s">
        <v>51</v>
      </c>
      <c r="C145" s="3" t="s">
        <v>2205</v>
      </c>
      <c r="D145" s="3" t="s">
        <v>54</v>
      </c>
      <c r="E145" s="3" t="s">
        <v>296</v>
      </c>
      <c r="F145" s="3" t="s">
        <v>65</v>
      </c>
      <c r="G145" s="32" t="s">
        <v>101</v>
      </c>
      <c r="H145" s="5"/>
      <c r="I145" s="33"/>
    </row>
    <row r="146" customFormat="false" ht="26.25" hidden="false" customHeight="true" outlineLevel="0" collapsed="false">
      <c r="A146" s="3" t="s">
        <v>2496</v>
      </c>
      <c r="B146" s="3" t="s">
        <v>112</v>
      </c>
      <c r="C146" s="3" t="s">
        <v>2497</v>
      </c>
      <c r="D146" s="3" t="s">
        <v>54</v>
      </c>
      <c r="E146" s="3" t="s">
        <v>1158</v>
      </c>
      <c r="F146" s="3" t="s">
        <v>81</v>
      </c>
      <c r="G146" s="32" t="s">
        <v>2498</v>
      </c>
      <c r="H146" s="5"/>
      <c r="I146" s="33"/>
    </row>
    <row r="147" customFormat="false" ht="15" hidden="false" customHeight="true" outlineLevel="0" collapsed="false">
      <c r="A147" s="3" t="s">
        <v>2518</v>
      </c>
      <c r="B147" s="3" t="s">
        <v>91</v>
      </c>
      <c r="C147" s="3" t="s">
        <v>2519</v>
      </c>
      <c r="D147" s="3" t="s">
        <v>22</v>
      </c>
      <c r="E147" s="3" t="s">
        <v>2485</v>
      </c>
      <c r="F147" s="3" t="s">
        <v>81</v>
      </c>
      <c r="G147" s="32" t="s">
        <v>213</v>
      </c>
      <c r="H147" s="5"/>
      <c r="I147" s="33"/>
    </row>
    <row r="148" customFormat="false" ht="15" hidden="false" customHeight="true" outlineLevel="0" collapsed="false">
      <c r="A148" s="3" t="s">
        <v>2530</v>
      </c>
      <c r="B148" s="3" t="s">
        <v>76</v>
      </c>
      <c r="C148" s="3" t="s">
        <v>2531</v>
      </c>
      <c r="D148" s="3" t="s">
        <v>54</v>
      </c>
      <c r="E148" s="3" t="s">
        <v>321</v>
      </c>
      <c r="F148" s="3" t="s">
        <v>65</v>
      </c>
      <c r="G148" s="32" t="s">
        <v>89</v>
      </c>
      <c r="H148" s="5"/>
      <c r="I148" s="33"/>
    </row>
    <row r="149" customFormat="false" ht="15" hidden="false" customHeight="true" outlineLevel="0" collapsed="false">
      <c r="A149" s="3" t="s">
        <v>2544</v>
      </c>
      <c r="B149" s="3" t="s">
        <v>135</v>
      </c>
      <c r="C149" s="3" t="s">
        <v>2545</v>
      </c>
      <c r="D149" s="3" t="s">
        <v>54</v>
      </c>
      <c r="E149" s="3"/>
      <c r="F149" s="3" t="s">
        <v>65</v>
      </c>
      <c r="G149" s="32" t="s">
        <v>213</v>
      </c>
      <c r="H149" s="5"/>
      <c r="I149" s="33"/>
    </row>
    <row r="150" customFormat="false" ht="26.25" hidden="false" customHeight="true" outlineLevel="0" collapsed="false">
      <c r="A150" s="3" t="s">
        <v>2552</v>
      </c>
      <c r="B150" s="3" t="s">
        <v>160</v>
      </c>
      <c r="C150" s="3" t="s">
        <v>2554</v>
      </c>
      <c r="D150" s="3" t="s">
        <v>22</v>
      </c>
      <c r="E150" s="3" t="s">
        <v>237</v>
      </c>
      <c r="F150" s="3" t="s">
        <v>65</v>
      </c>
      <c r="G150" s="32" t="s">
        <v>82</v>
      </c>
      <c r="H150" s="5"/>
      <c r="I150" s="33"/>
    </row>
    <row r="151" customFormat="false" ht="15" hidden="false" customHeight="true" outlineLevel="0" collapsed="false">
      <c r="A151" s="3" t="s">
        <v>2561</v>
      </c>
      <c r="B151" s="3" t="s">
        <v>160</v>
      </c>
      <c r="C151" s="3" t="s">
        <v>1226</v>
      </c>
      <c r="D151" s="3" t="s">
        <v>54</v>
      </c>
      <c r="E151" s="3"/>
      <c r="F151" s="3" t="s">
        <v>145</v>
      </c>
      <c r="G151" s="32" t="s">
        <v>101</v>
      </c>
      <c r="H151" s="5"/>
      <c r="I151" s="33"/>
    </row>
  </sheetData>
  <dataValidations count="1">
    <dataValidation allowBlank="true" errorStyle="stop" operator="between" showDropDown="false" showErrorMessage="false" showInputMessage="false" sqref="H2:H151" type="list">
      <formula1>"Spam,Unqualified,Genuine - will qualify,Genuine - will not qualify"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6"/>
    <col collapsed="false" customWidth="true" hidden="false" outlineLevel="0" max="4" min="4" style="1" width="8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8" t="s">
        <v>16</v>
      </c>
      <c r="B1" s="28" t="s">
        <v>2722</v>
      </c>
      <c r="C1" s="28" t="s">
        <v>2720</v>
      </c>
      <c r="D1" s="28" t="s">
        <v>2723</v>
      </c>
      <c r="F1" s="4" t="s">
        <v>2724</v>
      </c>
      <c r="G1" s="1" t="n">
        <f aca="false">COUNT(D2:D151)</f>
        <v>0</v>
      </c>
    </row>
    <row r="2" customFormat="false" ht="15" hidden="false" customHeight="true" outlineLevel="0" collapsed="false">
      <c r="A2" s="3" t="s">
        <v>199</v>
      </c>
      <c r="B2" s="3" t="s">
        <v>2725</v>
      </c>
      <c r="C2" s="34" t="n">
        <f aca="false">'Label Sample'!H2</f>
        <v>0</v>
      </c>
      <c r="D2" s="3" t="str">
        <f aca="false">IF(C2="","",IF(C2=B2,1,0))</f>
        <v/>
      </c>
      <c r="F2" s="4" t="s">
        <v>2726</v>
      </c>
      <c r="G2" s="27" t="n">
        <f aca="false">IFERROR(SUM(D2:D151)/COUNT(D2:D151),0)</f>
        <v>0</v>
      </c>
    </row>
    <row r="3" customFormat="false" ht="15" hidden="false" customHeight="true" outlineLevel="0" collapsed="false">
      <c r="A3" s="3" t="s">
        <v>276</v>
      </c>
      <c r="B3" s="3" t="s">
        <v>194</v>
      </c>
      <c r="C3" s="34" t="n">
        <f aca="false">'Label Sample'!H3</f>
        <v>0</v>
      </c>
      <c r="D3" s="3" t="str">
        <f aca="false">IF(C3="","",IF(C3=B3,1,0))</f>
        <v/>
      </c>
    </row>
    <row r="4" customFormat="false" ht="15" hidden="false" customHeight="true" outlineLevel="0" collapsed="false">
      <c r="A4" s="3" t="s">
        <v>285</v>
      </c>
      <c r="B4" s="3" t="s">
        <v>68</v>
      </c>
      <c r="C4" s="34" t="n">
        <f aca="false">'Label Sample'!H4</f>
        <v>0</v>
      </c>
      <c r="D4" s="3" t="str">
        <f aca="false">IF(C4="","",IF(C4=B4,1,0))</f>
        <v/>
      </c>
    </row>
    <row r="5" customFormat="false" ht="15" hidden="false" customHeight="true" outlineLevel="0" collapsed="false">
      <c r="A5" s="3" t="s">
        <v>318</v>
      </c>
      <c r="B5" s="3" t="s">
        <v>68</v>
      </c>
      <c r="C5" s="34" t="n">
        <f aca="false">'Label Sample'!H5</f>
        <v>0</v>
      </c>
      <c r="D5" s="3" t="str">
        <f aca="false">IF(C5="","",IF(C5=B5,1,0))</f>
        <v/>
      </c>
    </row>
    <row r="6" customFormat="false" ht="15" hidden="false" customHeight="true" outlineLevel="0" collapsed="false">
      <c r="A6" s="3" t="s">
        <v>326</v>
      </c>
      <c r="B6" s="3" t="s">
        <v>2727</v>
      </c>
      <c r="C6" s="34" t="n">
        <f aca="false">'Label Sample'!H6</f>
        <v>0</v>
      </c>
      <c r="D6" s="3" t="str">
        <f aca="false">IF(C6="","",IF(C6=B6,1,0))</f>
        <v/>
      </c>
    </row>
    <row r="7" customFormat="false" ht="15" hidden="false" customHeight="true" outlineLevel="0" collapsed="false">
      <c r="A7" s="3" t="s">
        <v>332</v>
      </c>
      <c r="B7" s="3" t="s">
        <v>68</v>
      </c>
      <c r="C7" s="34" t="n">
        <f aca="false">'Label Sample'!H7</f>
        <v>0</v>
      </c>
      <c r="D7" s="3" t="str">
        <f aca="false">IF(C7="","",IF(C7=B7,1,0))</f>
        <v/>
      </c>
    </row>
    <row r="8" customFormat="false" ht="15" hidden="false" customHeight="true" outlineLevel="0" collapsed="false">
      <c r="A8" s="3" t="s">
        <v>373</v>
      </c>
      <c r="B8" s="3" t="s">
        <v>68</v>
      </c>
      <c r="C8" s="34" t="n">
        <f aca="false">'Label Sample'!H8</f>
        <v>0</v>
      </c>
      <c r="D8" s="3" t="str">
        <f aca="false">IF(C8="","",IF(C8=B8,1,0))</f>
        <v/>
      </c>
    </row>
    <row r="9" customFormat="false" ht="15" hidden="false" customHeight="true" outlineLevel="0" collapsed="false">
      <c r="A9" s="3" t="s">
        <v>376</v>
      </c>
      <c r="B9" s="3" t="s">
        <v>194</v>
      </c>
      <c r="C9" s="34" t="n">
        <f aca="false">'Label Sample'!H9</f>
        <v>0</v>
      </c>
      <c r="D9" s="3" t="str">
        <f aca="false">IF(C9="","",IF(C9=B9,1,0))</f>
        <v/>
      </c>
    </row>
    <row r="10" customFormat="false" ht="15" hidden="false" customHeight="true" outlineLevel="0" collapsed="false">
      <c r="A10" s="3" t="s">
        <v>379</v>
      </c>
      <c r="B10" s="3" t="s">
        <v>2725</v>
      </c>
      <c r="C10" s="34" t="n">
        <f aca="false">'Label Sample'!H10</f>
        <v>0</v>
      </c>
      <c r="D10" s="3" t="str">
        <f aca="false">IF(C10="","",IF(C10=B10,1,0))</f>
        <v/>
      </c>
    </row>
    <row r="11" customFormat="false" ht="15" hidden="false" customHeight="true" outlineLevel="0" collapsed="false">
      <c r="A11" s="3" t="s">
        <v>385</v>
      </c>
      <c r="B11" s="3" t="s">
        <v>68</v>
      </c>
      <c r="C11" s="34" t="n">
        <f aca="false">'Label Sample'!H11</f>
        <v>0</v>
      </c>
      <c r="D11" s="3" t="str">
        <f aca="false">IF(C11="","",IF(C11=B11,1,0))</f>
        <v/>
      </c>
    </row>
    <row r="12" customFormat="false" ht="15" hidden="false" customHeight="true" outlineLevel="0" collapsed="false">
      <c r="A12" s="3" t="s">
        <v>389</v>
      </c>
      <c r="B12" s="3" t="s">
        <v>194</v>
      </c>
      <c r="C12" s="34" t="n">
        <f aca="false">'Label Sample'!H12</f>
        <v>0</v>
      </c>
      <c r="D12" s="3" t="str">
        <f aca="false">IF(C12="","",IF(C12=B12,1,0))</f>
        <v/>
      </c>
    </row>
    <row r="13" customFormat="false" ht="15" hidden="false" customHeight="true" outlineLevel="0" collapsed="false">
      <c r="A13" s="3" t="s">
        <v>391</v>
      </c>
      <c r="B13" s="3" t="s">
        <v>2727</v>
      </c>
      <c r="C13" s="34" t="n">
        <f aca="false">'Label Sample'!H13</f>
        <v>0</v>
      </c>
      <c r="D13" s="3" t="str">
        <f aca="false">IF(C13="","",IF(C13=B13,1,0))</f>
        <v/>
      </c>
    </row>
    <row r="14" customFormat="false" ht="15" hidden="false" customHeight="true" outlineLevel="0" collapsed="false">
      <c r="A14" s="3" t="s">
        <v>402</v>
      </c>
      <c r="B14" s="3" t="s">
        <v>194</v>
      </c>
      <c r="C14" s="34" t="n">
        <f aca="false">'Label Sample'!H14</f>
        <v>0</v>
      </c>
      <c r="D14" s="3" t="str">
        <f aca="false">IF(C14="","",IF(C14=B14,1,0))</f>
        <v/>
      </c>
    </row>
    <row r="15" customFormat="false" ht="15" hidden="false" customHeight="true" outlineLevel="0" collapsed="false">
      <c r="A15" s="3" t="s">
        <v>416</v>
      </c>
      <c r="B15" s="3" t="s">
        <v>2727</v>
      </c>
      <c r="C15" s="34" t="n">
        <f aca="false">'Label Sample'!H15</f>
        <v>0</v>
      </c>
      <c r="D15" s="3" t="str">
        <f aca="false">IF(C15="","",IF(C15=B15,1,0))</f>
        <v/>
      </c>
    </row>
    <row r="16" customFormat="false" ht="15" hidden="false" customHeight="true" outlineLevel="0" collapsed="false">
      <c r="A16" s="3" t="s">
        <v>421</v>
      </c>
      <c r="B16" s="3" t="s">
        <v>194</v>
      </c>
      <c r="C16" s="34" t="n">
        <f aca="false">'Label Sample'!H16</f>
        <v>0</v>
      </c>
      <c r="D16" s="3" t="str">
        <f aca="false">IF(C16="","",IF(C16=B16,1,0))</f>
        <v/>
      </c>
    </row>
    <row r="17" customFormat="false" ht="15" hidden="false" customHeight="true" outlineLevel="0" collapsed="false">
      <c r="A17" s="3" t="s">
        <v>434</v>
      </c>
      <c r="B17" s="3" t="s">
        <v>2725</v>
      </c>
      <c r="C17" s="34" t="n">
        <f aca="false">'Label Sample'!H17</f>
        <v>0</v>
      </c>
      <c r="D17" s="3" t="str">
        <f aca="false">IF(C17="","",IF(C17=B17,1,0))</f>
        <v/>
      </c>
    </row>
    <row r="18" customFormat="false" ht="15" hidden="false" customHeight="true" outlineLevel="0" collapsed="false">
      <c r="A18" s="3" t="s">
        <v>453</v>
      </c>
      <c r="B18" s="3" t="s">
        <v>2727</v>
      </c>
      <c r="C18" s="34" t="n">
        <f aca="false">'Label Sample'!H18</f>
        <v>0</v>
      </c>
      <c r="D18" s="3" t="str">
        <f aca="false">IF(C18="","",IF(C18=B18,1,0))</f>
        <v/>
      </c>
    </row>
    <row r="19" customFormat="false" ht="15" hidden="false" customHeight="true" outlineLevel="0" collapsed="false">
      <c r="A19" s="3" t="s">
        <v>468</v>
      </c>
      <c r="B19" s="3" t="s">
        <v>68</v>
      </c>
      <c r="C19" s="34" t="n">
        <f aca="false">'Label Sample'!H19</f>
        <v>0</v>
      </c>
      <c r="D19" s="3" t="str">
        <f aca="false">IF(C19="","",IF(C19=B19,1,0))</f>
        <v/>
      </c>
    </row>
    <row r="20" customFormat="false" ht="15" hidden="false" customHeight="true" outlineLevel="0" collapsed="false">
      <c r="A20" s="3" t="s">
        <v>471</v>
      </c>
      <c r="B20" s="3" t="s">
        <v>194</v>
      </c>
      <c r="C20" s="34" t="n">
        <f aca="false">'Label Sample'!H20</f>
        <v>0</v>
      </c>
      <c r="D20" s="3" t="str">
        <f aca="false">IF(C20="","",IF(C20=B20,1,0))</f>
        <v/>
      </c>
    </row>
    <row r="21" customFormat="false" ht="15" hidden="false" customHeight="true" outlineLevel="0" collapsed="false">
      <c r="A21" s="3" t="s">
        <v>494</v>
      </c>
      <c r="B21" s="3" t="s">
        <v>2727</v>
      </c>
      <c r="C21" s="34" t="n">
        <f aca="false">'Label Sample'!H21</f>
        <v>0</v>
      </c>
      <c r="D21" s="3" t="str">
        <f aca="false">IF(C21="","",IF(C21=B21,1,0))</f>
        <v/>
      </c>
    </row>
    <row r="22" customFormat="false" ht="15" hidden="false" customHeight="true" outlineLevel="0" collapsed="false">
      <c r="A22" s="3" t="s">
        <v>510</v>
      </c>
      <c r="B22" s="3" t="s">
        <v>2727</v>
      </c>
      <c r="C22" s="34" t="n">
        <f aca="false">'Label Sample'!H22</f>
        <v>0</v>
      </c>
      <c r="D22" s="3" t="str">
        <f aca="false">IF(C22="","",IF(C22=B22,1,0))</f>
        <v/>
      </c>
    </row>
    <row r="23" customFormat="false" ht="15" hidden="false" customHeight="true" outlineLevel="0" collapsed="false">
      <c r="A23" s="3" t="s">
        <v>523</v>
      </c>
      <c r="B23" s="3" t="s">
        <v>194</v>
      </c>
      <c r="C23" s="34" t="n">
        <f aca="false">'Label Sample'!H23</f>
        <v>0</v>
      </c>
      <c r="D23" s="3" t="str">
        <f aca="false">IF(C23="","",IF(C23=B23,1,0))</f>
        <v/>
      </c>
    </row>
    <row r="24" customFormat="false" ht="15" hidden="false" customHeight="true" outlineLevel="0" collapsed="false">
      <c r="A24" s="3" t="s">
        <v>526</v>
      </c>
      <c r="B24" s="3" t="s">
        <v>194</v>
      </c>
      <c r="C24" s="34" t="n">
        <f aca="false">'Label Sample'!H24</f>
        <v>0</v>
      </c>
      <c r="D24" s="3" t="str">
        <f aca="false">IF(C24="","",IF(C24=B24,1,0))</f>
        <v/>
      </c>
    </row>
    <row r="25" customFormat="false" ht="15" hidden="false" customHeight="true" outlineLevel="0" collapsed="false">
      <c r="A25" s="3" t="s">
        <v>536</v>
      </c>
      <c r="B25" s="3" t="s">
        <v>2727</v>
      </c>
      <c r="C25" s="34" t="n">
        <f aca="false">'Label Sample'!H25</f>
        <v>0</v>
      </c>
      <c r="D25" s="3" t="str">
        <f aca="false">IF(C25="","",IF(C25=B25,1,0))</f>
        <v/>
      </c>
    </row>
    <row r="26" customFormat="false" ht="15" hidden="false" customHeight="true" outlineLevel="0" collapsed="false">
      <c r="A26" s="3" t="s">
        <v>557</v>
      </c>
      <c r="B26" s="3" t="s">
        <v>194</v>
      </c>
      <c r="C26" s="34" t="n">
        <f aca="false">'Label Sample'!H26</f>
        <v>0</v>
      </c>
      <c r="D26" s="3" t="str">
        <f aca="false">IF(C26="","",IF(C26=B26,1,0))</f>
        <v/>
      </c>
    </row>
    <row r="27" customFormat="false" ht="15" hidden="false" customHeight="true" outlineLevel="0" collapsed="false">
      <c r="A27" s="3" t="s">
        <v>608</v>
      </c>
      <c r="B27" s="3" t="s">
        <v>194</v>
      </c>
      <c r="C27" s="34" t="n">
        <f aca="false">'Label Sample'!H27</f>
        <v>0</v>
      </c>
      <c r="D27" s="3" t="str">
        <f aca="false">IF(C27="","",IF(C27=B27,1,0))</f>
        <v/>
      </c>
    </row>
    <row r="28" customFormat="false" ht="15" hidden="false" customHeight="true" outlineLevel="0" collapsed="false">
      <c r="A28" s="3" t="s">
        <v>611</v>
      </c>
      <c r="B28" s="3" t="s">
        <v>68</v>
      </c>
      <c r="C28" s="34" t="n">
        <f aca="false">'Label Sample'!H28</f>
        <v>0</v>
      </c>
      <c r="D28" s="3" t="str">
        <f aca="false">IF(C28="","",IF(C28=B28,1,0))</f>
        <v/>
      </c>
    </row>
    <row r="29" customFormat="false" ht="15" hidden="false" customHeight="true" outlineLevel="0" collapsed="false">
      <c r="A29" s="3" t="s">
        <v>639</v>
      </c>
      <c r="B29" s="3" t="s">
        <v>2727</v>
      </c>
      <c r="C29" s="34" t="n">
        <f aca="false">'Label Sample'!H29</f>
        <v>0</v>
      </c>
      <c r="D29" s="3" t="str">
        <f aca="false">IF(C29="","",IF(C29=B29,1,0))</f>
        <v/>
      </c>
    </row>
    <row r="30" customFormat="false" ht="15" hidden="false" customHeight="true" outlineLevel="0" collapsed="false">
      <c r="A30" s="3" t="s">
        <v>661</v>
      </c>
      <c r="B30" s="3" t="s">
        <v>194</v>
      </c>
      <c r="C30" s="34" t="n">
        <f aca="false">'Label Sample'!H30</f>
        <v>0</v>
      </c>
      <c r="D30" s="3" t="str">
        <f aca="false">IF(C30="","",IF(C30=B30,1,0))</f>
        <v/>
      </c>
    </row>
    <row r="31" customFormat="false" ht="15" hidden="false" customHeight="true" outlineLevel="0" collapsed="false">
      <c r="A31" s="3" t="s">
        <v>677</v>
      </c>
      <c r="B31" s="3" t="s">
        <v>68</v>
      </c>
      <c r="C31" s="34" t="n">
        <f aca="false">'Label Sample'!H31</f>
        <v>0</v>
      </c>
      <c r="D31" s="3" t="str">
        <f aca="false">IF(C31="","",IF(C31=B31,1,0))</f>
        <v/>
      </c>
    </row>
    <row r="32" customFormat="false" ht="15" hidden="false" customHeight="true" outlineLevel="0" collapsed="false">
      <c r="A32" s="3" t="s">
        <v>692</v>
      </c>
      <c r="B32" s="3" t="s">
        <v>68</v>
      </c>
      <c r="C32" s="34" t="n">
        <f aca="false">'Label Sample'!H32</f>
        <v>0</v>
      </c>
      <c r="D32" s="3" t="str">
        <f aca="false">IF(C32="","",IF(C32=B32,1,0))</f>
        <v/>
      </c>
    </row>
    <row r="33" customFormat="false" ht="15" hidden="false" customHeight="true" outlineLevel="0" collapsed="false">
      <c r="A33" s="3" t="s">
        <v>712</v>
      </c>
      <c r="B33" s="3" t="s">
        <v>194</v>
      </c>
      <c r="C33" s="34" t="n">
        <f aca="false">'Label Sample'!H33</f>
        <v>0</v>
      </c>
      <c r="D33" s="3" t="str">
        <f aca="false">IF(C33="","",IF(C33=B33,1,0))</f>
        <v/>
      </c>
    </row>
    <row r="34" customFormat="false" ht="15" hidden="false" customHeight="true" outlineLevel="0" collapsed="false">
      <c r="A34" s="3" t="s">
        <v>739</v>
      </c>
      <c r="B34" s="3" t="s">
        <v>2727</v>
      </c>
      <c r="C34" s="34" t="n">
        <f aca="false">'Label Sample'!H34</f>
        <v>0</v>
      </c>
      <c r="D34" s="3" t="str">
        <f aca="false">IF(C34="","",IF(C34=B34,1,0))</f>
        <v/>
      </c>
    </row>
    <row r="35" customFormat="false" ht="15" hidden="false" customHeight="true" outlineLevel="0" collapsed="false">
      <c r="A35" s="3" t="s">
        <v>744</v>
      </c>
      <c r="B35" s="3" t="s">
        <v>194</v>
      </c>
      <c r="C35" s="34" t="n">
        <f aca="false">'Label Sample'!H35</f>
        <v>0</v>
      </c>
      <c r="D35" s="3" t="str">
        <f aca="false">IF(C35="","",IF(C35=B35,1,0))</f>
        <v/>
      </c>
    </row>
    <row r="36" customFormat="false" ht="15" hidden="false" customHeight="true" outlineLevel="0" collapsed="false">
      <c r="A36" s="3" t="s">
        <v>794</v>
      </c>
      <c r="B36" s="3" t="s">
        <v>68</v>
      </c>
      <c r="C36" s="34" t="n">
        <f aca="false">'Label Sample'!H36</f>
        <v>0</v>
      </c>
      <c r="D36" s="3" t="str">
        <f aca="false">IF(C36="","",IF(C36=B36,1,0))</f>
        <v/>
      </c>
    </row>
    <row r="37" customFormat="false" ht="15" hidden="false" customHeight="true" outlineLevel="0" collapsed="false">
      <c r="A37" s="3" t="s">
        <v>800</v>
      </c>
      <c r="B37" s="3" t="s">
        <v>194</v>
      </c>
      <c r="C37" s="34" t="n">
        <f aca="false">'Label Sample'!H37</f>
        <v>0</v>
      </c>
      <c r="D37" s="3" t="str">
        <f aca="false">IF(C37="","",IF(C37=B37,1,0))</f>
        <v/>
      </c>
    </row>
    <row r="38" customFormat="false" ht="15" hidden="false" customHeight="true" outlineLevel="0" collapsed="false">
      <c r="A38" s="3" t="s">
        <v>806</v>
      </c>
      <c r="B38" s="3" t="s">
        <v>68</v>
      </c>
      <c r="C38" s="34" t="n">
        <f aca="false">'Label Sample'!H38</f>
        <v>0</v>
      </c>
      <c r="D38" s="3" t="str">
        <f aca="false">IF(C38="","",IF(C38=B38,1,0))</f>
        <v/>
      </c>
    </row>
    <row r="39" customFormat="false" ht="15" hidden="false" customHeight="true" outlineLevel="0" collapsed="false">
      <c r="A39" s="3" t="s">
        <v>846</v>
      </c>
      <c r="B39" s="3" t="s">
        <v>2727</v>
      </c>
      <c r="C39" s="34" t="n">
        <f aca="false">'Label Sample'!H39</f>
        <v>0</v>
      </c>
      <c r="D39" s="3" t="str">
        <f aca="false">IF(C39="","",IF(C39=B39,1,0))</f>
        <v/>
      </c>
    </row>
    <row r="40" customFormat="false" ht="15" hidden="false" customHeight="true" outlineLevel="0" collapsed="false">
      <c r="A40" s="3" t="s">
        <v>849</v>
      </c>
      <c r="B40" s="3" t="s">
        <v>2727</v>
      </c>
      <c r="C40" s="34" t="n">
        <f aca="false">'Label Sample'!H40</f>
        <v>0</v>
      </c>
      <c r="D40" s="3" t="str">
        <f aca="false">IF(C40="","",IF(C40=B40,1,0))</f>
        <v/>
      </c>
    </row>
    <row r="41" customFormat="false" ht="15" hidden="false" customHeight="true" outlineLevel="0" collapsed="false">
      <c r="A41" s="3" t="s">
        <v>875</v>
      </c>
      <c r="B41" s="3" t="s">
        <v>194</v>
      </c>
      <c r="C41" s="34" t="n">
        <f aca="false">'Label Sample'!H41</f>
        <v>0</v>
      </c>
      <c r="D41" s="3" t="str">
        <f aca="false">IF(C41="","",IF(C41=B41,1,0))</f>
        <v/>
      </c>
    </row>
    <row r="42" customFormat="false" ht="15" hidden="false" customHeight="true" outlineLevel="0" collapsed="false">
      <c r="A42" s="3" t="s">
        <v>935</v>
      </c>
      <c r="B42" s="3" t="s">
        <v>68</v>
      </c>
      <c r="C42" s="34" t="n">
        <f aca="false">'Label Sample'!H42</f>
        <v>0</v>
      </c>
      <c r="D42" s="3" t="str">
        <f aca="false">IF(C42="","",IF(C42=B42,1,0))</f>
        <v/>
      </c>
    </row>
    <row r="43" customFormat="false" ht="15" hidden="false" customHeight="true" outlineLevel="0" collapsed="false">
      <c r="A43" s="3" t="s">
        <v>966</v>
      </c>
      <c r="B43" s="3" t="s">
        <v>2725</v>
      </c>
      <c r="C43" s="34" t="n">
        <f aca="false">'Label Sample'!H43</f>
        <v>0</v>
      </c>
      <c r="D43" s="3" t="str">
        <f aca="false">IF(C43="","",IF(C43=B43,1,0))</f>
        <v/>
      </c>
    </row>
    <row r="44" customFormat="false" ht="15" hidden="false" customHeight="true" outlineLevel="0" collapsed="false">
      <c r="A44" s="3" t="s">
        <v>983</v>
      </c>
      <c r="B44" s="3" t="s">
        <v>194</v>
      </c>
      <c r="C44" s="34" t="n">
        <f aca="false">'Label Sample'!H44</f>
        <v>0</v>
      </c>
      <c r="D44" s="3" t="str">
        <f aca="false">IF(C44="","",IF(C44=B44,1,0))</f>
        <v/>
      </c>
    </row>
    <row r="45" customFormat="false" ht="15" hidden="false" customHeight="true" outlineLevel="0" collapsed="false">
      <c r="A45" s="3" t="s">
        <v>993</v>
      </c>
      <c r="B45" s="3" t="s">
        <v>2727</v>
      </c>
      <c r="C45" s="34" t="n">
        <f aca="false">'Label Sample'!H45</f>
        <v>0</v>
      </c>
      <c r="D45" s="3" t="str">
        <f aca="false">IF(C45="","",IF(C45=B45,1,0))</f>
        <v/>
      </c>
    </row>
    <row r="46" customFormat="false" ht="15" hidden="false" customHeight="true" outlineLevel="0" collapsed="false">
      <c r="A46" s="3" t="s">
        <v>1001</v>
      </c>
      <c r="B46" s="3" t="s">
        <v>68</v>
      </c>
      <c r="C46" s="34" t="n">
        <f aca="false">'Label Sample'!H46</f>
        <v>0</v>
      </c>
      <c r="D46" s="3" t="str">
        <f aca="false">IF(C46="","",IF(C46=B46,1,0))</f>
        <v/>
      </c>
    </row>
    <row r="47" customFormat="false" ht="15" hidden="false" customHeight="true" outlineLevel="0" collapsed="false">
      <c r="A47" s="3" t="s">
        <v>1026</v>
      </c>
      <c r="B47" s="3" t="s">
        <v>2727</v>
      </c>
      <c r="C47" s="34" t="n">
        <f aca="false">'Label Sample'!H47</f>
        <v>0</v>
      </c>
      <c r="D47" s="3" t="str">
        <f aca="false">IF(C47="","",IF(C47=B47,1,0))</f>
        <v/>
      </c>
    </row>
    <row r="48" customFormat="false" ht="15" hidden="false" customHeight="true" outlineLevel="0" collapsed="false">
      <c r="A48" s="3" t="s">
        <v>1056</v>
      </c>
      <c r="B48" s="3" t="s">
        <v>194</v>
      </c>
      <c r="C48" s="34" t="n">
        <f aca="false">'Label Sample'!H48</f>
        <v>0</v>
      </c>
      <c r="D48" s="3" t="str">
        <f aca="false">IF(C48="","",IF(C48=B48,1,0))</f>
        <v/>
      </c>
    </row>
    <row r="49" customFormat="false" ht="15" hidden="false" customHeight="true" outlineLevel="0" collapsed="false">
      <c r="A49" s="3" t="s">
        <v>1064</v>
      </c>
      <c r="B49" s="3" t="s">
        <v>194</v>
      </c>
      <c r="C49" s="34" t="n">
        <f aca="false">'Label Sample'!H49</f>
        <v>0</v>
      </c>
      <c r="D49" s="3" t="str">
        <f aca="false">IF(C49="","",IF(C49=B49,1,0))</f>
        <v/>
      </c>
    </row>
    <row r="50" customFormat="false" ht="15" hidden="false" customHeight="true" outlineLevel="0" collapsed="false">
      <c r="A50" s="3" t="s">
        <v>1075</v>
      </c>
      <c r="B50" s="3" t="s">
        <v>2727</v>
      </c>
      <c r="C50" s="34" t="n">
        <f aca="false">'Label Sample'!H50</f>
        <v>0</v>
      </c>
      <c r="D50" s="3" t="str">
        <f aca="false">IF(C50="","",IF(C50=B50,1,0))</f>
        <v/>
      </c>
    </row>
    <row r="51" customFormat="false" ht="15" hidden="false" customHeight="true" outlineLevel="0" collapsed="false">
      <c r="A51" s="3" t="s">
        <v>1079</v>
      </c>
      <c r="B51" s="3" t="s">
        <v>2727</v>
      </c>
      <c r="C51" s="34" t="n">
        <f aca="false">'Label Sample'!H51</f>
        <v>0</v>
      </c>
      <c r="D51" s="3" t="str">
        <f aca="false">IF(C51="","",IF(C51=B51,1,0))</f>
        <v/>
      </c>
    </row>
    <row r="52" customFormat="false" ht="15" hidden="false" customHeight="true" outlineLevel="0" collapsed="false">
      <c r="A52" s="3" t="s">
        <v>1160</v>
      </c>
      <c r="B52" s="3" t="s">
        <v>194</v>
      </c>
      <c r="C52" s="34" t="n">
        <f aca="false">'Label Sample'!H52</f>
        <v>0</v>
      </c>
      <c r="D52" s="3" t="str">
        <f aca="false">IF(C52="","",IF(C52=B52,1,0))</f>
        <v/>
      </c>
    </row>
    <row r="53" customFormat="false" ht="15" hidden="false" customHeight="true" outlineLevel="0" collapsed="false">
      <c r="A53" s="3" t="s">
        <v>1189</v>
      </c>
      <c r="B53" s="3" t="s">
        <v>2727</v>
      </c>
      <c r="C53" s="34" t="n">
        <f aca="false">'Label Sample'!H53</f>
        <v>0</v>
      </c>
      <c r="D53" s="3" t="str">
        <f aca="false">IF(C53="","",IF(C53=B53,1,0))</f>
        <v/>
      </c>
    </row>
    <row r="54" customFormat="false" ht="15" hidden="false" customHeight="true" outlineLevel="0" collapsed="false">
      <c r="A54" s="3" t="s">
        <v>1193</v>
      </c>
      <c r="B54" s="3" t="s">
        <v>68</v>
      </c>
      <c r="C54" s="34" t="n">
        <f aca="false">'Label Sample'!H54</f>
        <v>0</v>
      </c>
      <c r="D54" s="3" t="str">
        <f aca="false">IF(C54="","",IF(C54=B54,1,0))</f>
        <v/>
      </c>
    </row>
    <row r="55" customFormat="false" ht="15" hidden="false" customHeight="true" outlineLevel="0" collapsed="false">
      <c r="A55" s="3" t="s">
        <v>1210</v>
      </c>
      <c r="B55" s="3" t="s">
        <v>194</v>
      </c>
      <c r="C55" s="34" t="n">
        <f aca="false">'Label Sample'!H55</f>
        <v>0</v>
      </c>
      <c r="D55" s="3" t="str">
        <f aca="false">IF(C55="","",IF(C55=B55,1,0))</f>
        <v/>
      </c>
    </row>
    <row r="56" customFormat="false" ht="15" hidden="false" customHeight="true" outlineLevel="0" collapsed="false">
      <c r="A56" s="3" t="s">
        <v>1222</v>
      </c>
      <c r="B56" s="3" t="s">
        <v>68</v>
      </c>
      <c r="C56" s="34" t="n">
        <f aca="false">'Label Sample'!H56</f>
        <v>0</v>
      </c>
      <c r="D56" s="3" t="str">
        <f aca="false">IF(C56="","",IF(C56=B56,1,0))</f>
        <v/>
      </c>
    </row>
    <row r="57" customFormat="false" ht="15" hidden="false" customHeight="true" outlineLevel="0" collapsed="false">
      <c r="A57" s="3" t="s">
        <v>1227</v>
      </c>
      <c r="B57" s="3" t="s">
        <v>68</v>
      </c>
      <c r="C57" s="34" t="n">
        <f aca="false">'Label Sample'!H57</f>
        <v>0</v>
      </c>
      <c r="D57" s="3" t="str">
        <f aca="false">IF(C57="","",IF(C57=B57,1,0))</f>
        <v/>
      </c>
    </row>
    <row r="58" customFormat="false" ht="15" hidden="false" customHeight="true" outlineLevel="0" collapsed="false">
      <c r="A58" s="3" t="s">
        <v>1258</v>
      </c>
      <c r="B58" s="3" t="s">
        <v>194</v>
      </c>
      <c r="C58" s="34" t="n">
        <f aca="false">'Label Sample'!H58</f>
        <v>0</v>
      </c>
      <c r="D58" s="3" t="str">
        <f aca="false">IF(C58="","",IF(C58=B58,1,0))</f>
        <v/>
      </c>
    </row>
    <row r="59" customFormat="false" ht="15" hidden="false" customHeight="true" outlineLevel="0" collapsed="false">
      <c r="A59" s="3" t="s">
        <v>1261</v>
      </c>
      <c r="B59" s="3" t="s">
        <v>68</v>
      </c>
      <c r="C59" s="34" t="n">
        <f aca="false">'Label Sample'!H59</f>
        <v>0</v>
      </c>
      <c r="D59" s="3" t="str">
        <f aca="false">IF(C59="","",IF(C59=B59,1,0))</f>
        <v/>
      </c>
    </row>
    <row r="60" customFormat="false" ht="15" hidden="false" customHeight="true" outlineLevel="0" collapsed="false">
      <c r="A60" s="3" t="s">
        <v>1290</v>
      </c>
      <c r="B60" s="3" t="s">
        <v>68</v>
      </c>
      <c r="C60" s="34" t="n">
        <f aca="false">'Label Sample'!H60</f>
        <v>0</v>
      </c>
      <c r="D60" s="3" t="str">
        <f aca="false">IF(C60="","",IF(C60=B60,1,0))</f>
        <v/>
      </c>
    </row>
    <row r="61" customFormat="false" ht="15" hidden="false" customHeight="true" outlineLevel="0" collapsed="false">
      <c r="A61" s="3" t="s">
        <v>1295</v>
      </c>
      <c r="B61" s="3" t="s">
        <v>68</v>
      </c>
      <c r="C61" s="34" t="n">
        <f aca="false">'Label Sample'!H61</f>
        <v>0</v>
      </c>
      <c r="D61" s="3" t="str">
        <f aca="false">IF(C61="","",IF(C61=B61,1,0))</f>
        <v/>
      </c>
    </row>
    <row r="62" customFormat="false" ht="15" hidden="false" customHeight="true" outlineLevel="0" collapsed="false">
      <c r="A62" s="3" t="s">
        <v>1306</v>
      </c>
      <c r="B62" s="3" t="s">
        <v>194</v>
      </c>
      <c r="C62" s="34" t="n">
        <f aca="false">'Label Sample'!H62</f>
        <v>0</v>
      </c>
      <c r="D62" s="3" t="str">
        <f aca="false">IF(C62="","",IF(C62=B62,1,0))</f>
        <v/>
      </c>
    </row>
    <row r="63" customFormat="false" ht="15" hidden="false" customHeight="true" outlineLevel="0" collapsed="false">
      <c r="A63" s="3" t="s">
        <v>1336</v>
      </c>
      <c r="B63" s="3" t="s">
        <v>68</v>
      </c>
      <c r="C63" s="34" t="n">
        <f aca="false">'Label Sample'!H63</f>
        <v>0</v>
      </c>
      <c r="D63" s="3" t="str">
        <f aca="false">IF(C63="","",IF(C63=B63,1,0))</f>
        <v/>
      </c>
    </row>
    <row r="64" customFormat="false" ht="15" hidden="false" customHeight="true" outlineLevel="0" collapsed="false">
      <c r="A64" s="3" t="s">
        <v>1384</v>
      </c>
      <c r="B64" s="3" t="s">
        <v>68</v>
      </c>
      <c r="C64" s="34" t="n">
        <f aca="false">'Label Sample'!H64</f>
        <v>0</v>
      </c>
      <c r="D64" s="3" t="str">
        <f aca="false">IF(C64="","",IF(C64=B64,1,0))</f>
        <v/>
      </c>
    </row>
    <row r="65" customFormat="false" ht="15" hidden="false" customHeight="true" outlineLevel="0" collapsed="false">
      <c r="A65" s="3" t="s">
        <v>1390</v>
      </c>
      <c r="B65" s="3" t="s">
        <v>68</v>
      </c>
      <c r="C65" s="34" t="n">
        <f aca="false">'Label Sample'!H65</f>
        <v>0</v>
      </c>
      <c r="D65" s="3" t="str">
        <f aca="false">IF(C65="","",IF(C65=B65,1,0))</f>
        <v/>
      </c>
    </row>
    <row r="66" customFormat="false" ht="15" hidden="false" customHeight="true" outlineLevel="0" collapsed="false">
      <c r="A66" s="3" t="s">
        <v>1393</v>
      </c>
      <c r="B66" s="3" t="s">
        <v>68</v>
      </c>
      <c r="C66" s="34" t="n">
        <f aca="false">'Label Sample'!H66</f>
        <v>0</v>
      </c>
      <c r="D66" s="3" t="str">
        <f aca="false">IF(C66="","",IF(C66=B66,1,0))</f>
        <v/>
      </c>
    </row>
    <row r="67" customFormat="false" ht="15" hidden="false" customHeight="true" outlineLevel="0" collapsed="false">
      <c r="A67" s="3" t="s">
        <v>1404</v>
      </c>
      <c r="B67" s="3" t="s">
        <v>2727</v>
      </c>
      <c r="C67" s="34" t="n">
        <f aca="false">'Label Sample'!H67</f>
        <v>0</v>
      </c>
      <c r="D67" s="3" t="str">
        <f aca="false">IF(C67="","",IF(C67=B67,1,0))</f>
        <v/>
      </c>
    </row>
    <row r="68" customFormat="false" ht="15" hidden="false" customHeight="true" outlineLevel="0" collapsed="false">
      <c r="A68" s="3" t="s">
        <v>1415</v>
      </c>
      <c r="B68" s="3" t="s">
        <v>194</v>
      </c>
      <c r="C68" s="34" t="n">
        <f aca="false">'Label Sample'!H68</f>
        <v>0</v>
      </c>
      <c r="D68" s="3" t="str">
        <f aca="false">IF(C68="","",IF(C68=B68,1,0))</f>
        <v/>
      </c>
    </row>
    <row r="69" customFormat="false" ht="15" hidden="false" customHeight="true" outlineLevel="0" collapsed="false">
      <c r="A69" s="3" t="s">
        <v>1428</v>
      </c>
      <c r="B69" s="3" t="s">
        <v>68</v>
      </c>
      <c r="C69" s="34" t="n">
        <f aca="false">'Label Sample'!H69</f>
        <v>0</v>
      </c>
      <c r="D69" s="3" t="str">
        <f aca="false">IF(C69="","",IF(C69=B69,1,0))</f>
        <v/>
      </c>
    </row>
    <row r="70" customFormat="false" ht="15" hidden="false" customHeight="true" outlineLevel="0" collapsed="false">
      <c r="A70" s="3" t="s">
        <v>1440</v>
      </c>
      <c r="B70" s="3" t="s">
        <v>68</v>
      </c>
      <c r="C70" s="34" t="n">
        <f aca="false">'Label Sample'!H70</f>
        <v>0</v>
      </c>
      <c r="D70" s="3" t="str">
        <f aca="false">IF(C70="","",IF(C70=B70,1,0))</f>
        <v/>
      </c>
    </row>
    <row r="71" customFormat="false" ht="15" hidden="false" customHeight="true" outlineLevel="0" collapsed="false">
      <c r="A71" s="3" t="s">
        <v>1449</v>
      </c>
      <c r="B71" s="3" t="s">
        <v>68</v>
      </c>
      <c r="C71" s="34" t="n">
        <f aca="false">'Label Sample'!H71</f>
        <v>0</v>
      </c>
      <c r="D71" s="3" t="str">
        <f aca="false">IF(C71="","",IF(C71=B71,1,0))</f>
        <v/>
      </c>
    </row>
    <row r="72" customFormat="false" ht="15" hidden="false" customHeight="true" outlineLevel="0" collapsed="false">
      <c r="A72" s="3" t="s">
        <v>1460</v>
      </c>
      <c r="B72" s="3" t="s">
        <v>68</v>
      </c>
      <c r="C72" s="34" t="n">
        <f aca="false">'Label Sample'!H72</f>
        <v>0</v>
      </c>
      <c r="D72" s="3" t="str">
        <f aca="false">IF(C72="","",IF(C72=B72,1,0))</f>
        <v/>
      </c>
    </row>
    <row r="73" customFormat="false" ht="15" hidden="false" customHeight="true" outlineLevel="0" collapsed="false">
      <c r="A73" s="3" t="s">
        <v>1479</v>
      </c>
      <c r="B73" s="3" t="s">
        <v>2727</v>
      </c>
      <c r="C73" s="34" t="n">
        <f aca="false">'Label Sample'!H73</f>
        <v>0</v>
      </c>
      <c r="D73" s="3" t="str">
        <f aca="false">IF(C73="","",IF(C73=B73,1,0))</f>
        <v/>
      </c>
    </row>
    <row r="74" customFormat="false" ht="15" hidden="false" customHeight="true" outlineLevel="0" collapsed="false">
      <c r="A74" s="3" t="s">
        <v>1506</v>
      </c>
      <c r="B74" s="3" t="s">
        <v>194</v>
      </c>
      <c r="C74" s="34" t="n">
        <f aca="false">'Label Sample'!H74</f>
        <v>0</v>
      </c>
      <c r="D74" s="3" t="str">
        <f aca="false">IF(C74="","",IF(C74=B74,1,0))</f>
        <v/>
      </c>
    </row>
    <row r="75" customFormat="false" ht="15" hidden="false" customHeight="true" outlineLevel="0" collapsed="false">
      <c r="A75" s="3" t="s">
        <v>1525</v>
      </c>
      <c r="B75" s="3" t="s">
        <v>68</v>
      </c>
      <c r="C75" s="34" t="n">
        <f aca="false">'Label Sample'!H75</f>
        <v>0</v>
      </c>
      <c r="D75" s="3" t="str">
        <f aca="false">IF(C75="","",IF(C75=B75,1,0))</f>
        <v/>
      </c>
    </row>
    <row r="76" customFormat="false" ht="15" hidden="false" customHeight="true" outlineLevel="0" collapsed="false">
      <c r="A76" s="3" t="s">
        <v>1541</v>
      </c>
      <c r="B76" s="3" t="s">
        <v>68</v>
      </c>
      <c r="C76" s="34" t="n">
        <f aca="false">'Label Sample'!H76</f>
        <v>0</v>
      </c>
      <c r="D76" s="3" t="str">
        <f aca="false">IF(C76="","",IF(C76=B76,1,0))</f>
        <v/>
      </c>
    </row>
    <row r="77" customFormat="false" ht="15" hidden="false" customHeight="true" outlineLevel="0" collapsed="false">
      <c r="A77" s="3" t="s">
        <v>1554</v>
      </c>
      <c r="B77" s="3" t="s">
        <v>194</v>
      </c>
      <c r="C77" s="34" t="n">
        <f aca="false">'Label Sample'!H77</f>
        <v>0</v>
      </c>
      <c r="D77" s="3" t="str">
        <f aca="false">IF(C77="","",IF(C77=B77,1,0))</f>
        <v/>
      </c>
    </row>
    <row r="78" customFormat="false" ht="15" hidden="false" customHeight="true" outlineLevel="0" collapsed="false">
      <c r="A78" s="3" t="s">
        <v>1560</v>
      </c>
      <c r="B78" s="3" t="s">
        <v>2727</v>
      </c>
      <c r="C78" s="34" t="n">
        <f aca="false">'Label Sample'!H78</f>
        <v>0</v>
      </c>
      <c r="D78" s="3" t="str">
        <f aca="false">IF(C78="","",IF(C78=B78,1,0))</f>
        <v/>
      </c>
    </row>
    <row r="79" customFormat="false" ht="15" hidden="false" customHeight="true" outlineLevel="0" collapsed="false">
      <c r="A79" s="3" t="s">
        <v>1562</v>
      </c>
      <c r="B79" s="3" t="s">
        <v>68</v>
      </c>
      <c r="C79" s="34" t="n">
        <f aca="false">'Label Sample'!H79</f>
        <v>0</v>
      </c>
      <c r="D79" s="3" t="str">
        <f aca="false">IF(C79="","",IF(C79=B79,1,0))</f>
        <v/>
      </c>
    </row>
    <row r="80" customFormat="false" ht="15" hidden="false" customHeight="true" outlineLevel="0" collapsed="false">
      <c r="A80" s="3" t="s">
        <v>1574</v>
      </c>
      <c r="B80" s="3" t="s">
        <v>194</v>
      </c>
      <c r="C80" s="34" t="n">
        <f aca="false">'Label Sample'!H80</f>
        <v>0</v>
      </c>
      <c r="D80" s="3" t="str">
        <f aca="false">IF(C80="","",IF(C80=B80,1,0))</f>
        <v/>
      </c>
    </row>
    <row r="81" customFormat="false" ht="15" hidden="false" customHeight="true" outlineLevel="0" collapsed="false">
      <c r="A81" s="3" t="s">
        <v>1606</v>
      </c>
      <c r="B81" s="3" t="s">
        <v>194</v>
      </c>
      <c r="C81" s="34" t="n">
        <f aca="false">'Label Sample'!H81</f>
        <v>0</v>
      </c>
      <c r="D81" s="3" t="str">
        <f aca="false">IF(C81="","",IF(C81=B81,1,0))</f>
        <v/>
      </c>
    </row>
    <row r="82" customFormat="false" ht="15" hidden="false" customHeight="true" outlineLevel="0" collapsed="false">
      <c r="A82" s="3" t="s">
        <v>1616</v>
      </c>
      <c r="B82" s="3" t="s">
        <v>194</v>
      </c>
      <c r="C82" s="34" t="n">
        <f aca="false">'Label Sample'!H82</f>
        <v>0</v>
      </c>
      <c r="D82" s="3" t="str">
        <f aca="false">IF(C82="","",IF(C82=B82,1,0))</f>
        <v/>
      </c>
    </row>
    <row r="83" customFormat="false" ht="15" hidden="false" customHeight="true" outlineLevel="0" collapsed="false">
      <c r="A83" s="3" t="s">
        <v>1618</v>
      </c>
      <c r="B83" s="3" t="s">
        <v>2725</v>
      </c>
      <c r="C83" s="34" t="n">
        <f aca="false">'Label Sample'!H83</f>
        <v>0</v>
      </c>
      <c r="D83" s="3" t="str">
        <f aca="false">IF(C83="","",IF(C83=B83,1,0))</f>
        <v/>
      </c>
    </row>
    <row r="84" customFormat="false" ht="15" hidden="false" customHeight="true" outlineLevel="0" collapsed="false">
      <c r="A84" s="3" t="s">
        <v>1625</v>
      </c>
      <c r="B84" s="3" t="s">
        <v>68</v>
      </c>
      <c r="C84" s="34" t="n">
        <f aca="false">'Label Sample'!H84</f>
        <v>0</v>
      </c>
      <c r="D84" s="3" t="str">
        <f aca="false">IF(C84="","",IF(C84=B84,1,0))</f>
        <v/>
      </c>
    </row>
    <row r="85" customFormat="false" ht="15" hidden="false" customHeight="true" outlineLevel="0" collapsed="false">
      <c r="A85" s="3" t="s">
        <v>1632</v>
      </c>
      <c r="B85" s="3" t="s">
        <v>68</v>
      </c>
      <c r="C85" s="34" t="n">
        <f aca="false">'Label Sample'!H85</f>
        <v>0</v>
      </c>
      <c r="D85" s="3" t="str">
        <f aca="false">IF(C85="","",IF(C85=B85,1,0))</f>
        <v/>
      </c>
    </row>
    <row r="86" customFormat="false" ht="15" hidden="false" customHeight="true" outlineLevel="0" collapsed="false">
      <c r="A86" s="3" t="s">
        <v>1638</v>
      </c>
      <c r="B86" s="3" t="s">
        <v>68</v>
      </c>
      <c r="C86" s="34" t="n">
        <f aca="false">'Label Sample'!H86</f>
        <v>0</v>
      </c>
      <c r="D86" s="3" t="str">
        <f aca="false">IF(C86="","",IF(C86=B86,1,0))</f>
        <v/>
      </c>
    </row>
    <row r="87" customFormat="false" ht="15" hidden="false" customHeight="true" outlineLevel="0" collapsed="false">
      <c r="A87" s="3" t="s">
        <v>1650</v>
      </c>
      <c r="B87" s="3" t="s">
        <v>68</v>
      </c>
      <c r="C87" s="34" t="n">
        <f aca="false">'Label Sample'!H87</f>
        <v>0</v>
      </c>
      <c r="D87" s="3" t="str">
        <f aca="false">IF(C87="","",IF(C87=B87,1,0))</f>
        <v/>
      </c>
    </row>
    <row r="88" customFormat="false" ht="15" hidden="false" customHeight="true" outlineLevel="0" collapsed="false">
      <c r="A88" s="3" t="s">
        <v>1661</v>
      </c>
      <c r="B88" s="3" t="s">
        <v>2725</v>
      </c>
      <c r="C88" s="34" t="n">
        <f aca="false">'Label Sample'!H88</f>
        <v>0</v>
      </c>
      <c r="D88" s="3" t="str">
        <f aca="false">IF(C88="","",IF(C88=B88,1,0))</f>
        <v/>
      </c>
    </row>
    <row r="89" customFormat="false" ht="15" hidden="false" customHeight="true" outlineLevel="0" collapsed="false">
      <c r="A89" s="3" t="s">
        <v>1690</v>
      </c>
      <c r="B89" s="3" t="s">
        <v>194</v>
      </c>
      <c r="C89" s="34" t="n">
        <f aca="false">'Label Sample'!H89</f>
        <v>0</v>
      </c>
      <c r="D89" s="3" t="str">
        <f aca="false">IF(C89="","",IF(C89=B89,1,0))</f>
        <v/>
      </c>
    </row>
    <row r="90" customFormat="false" ht="15" hidden="false" customHeight="true" outlineLevel="0" collapsed="false">
      <c r="A90" s="3" t="s">
        <v>1699</v>
      </c>
      <c r="B90" s="3" t="s">
        <v>194</v>
      </c>
      <c r="C90" s="34" t="n">
        <f aca="false">'Label Sample'!H90</f>
        <v>0</v>
      </c>
      <c r="D90" s="3" t="str">
        <f aca="false">IF(C90="","",IF(C90=B90,1,0))</f>
        <v/>
      </c>
    </row>
    <row r="91" customFormat="false" ht="15" hidden="false" customHeight="true" outlineLevel="0" collapsed="false">
      <c r="A91" s="3" t="s">
        <v>1714</v>
      </c>
      <c r="B91" s="3" t="s">
        <v>68</v>
      </c>
      <c r="C91" s="34" t="n">
        <f aca="false">'Label Sample'!H91</f>
        <v>0</v>
      </c>
      <c r="D91" s="3" t="str">
        <f aca="false">IF(C91="","",IF(C91=B91,1,0))</f>
        <v/>
      </c>
    </row>
    <row r="92" customFormat="false" ht="15" hidden="false" customHeight="true" outlineLevel="0" collapsed="false">
      <c r="A92" s="3" t="s">
        <v>1721</v>
      </c>
      <c r="B92" s="3" t="s">
        <v>68</v>
      </c>
      <c r="C92" s="34" t="n">
        <f aca="false">'Label Sample'!H92</f>
        <v>0</v>
      </c>
      <c r="D92" s="3" t="str">
        <f aca="false">IF(C92="","",IF(C92=B92,1,0))</f>
        <v/>
      </c>
    </row>
    <row r="93" customFormat="false" ht="15" hidden="false" customHeight="true" outlineLevel="0" collapsed="false">
      <c r="A93" s="3" t="s">
        <v>1740</v>
      </c>
      <c r="B93" s="3" t="s">
        <v>68</v>
      </c>
      <c r="C93" s="34" t="n">
        <f aca="false">'Label Sample'!H93</f>
        <v>0</v>
      </c>
      <c r="D93" s="3" t="str">
        <f aca="false">IF(C93="","",IF(C93=B93,1,0))</f>
        <v/>
      </c>
    </row>
    <row r="94" customFormat="false" ht="15" hidden="false" customHeight="true" outlineLevel="0" collapsed="false">
      <c r="A94" s="3" t="s">
        <v>1750</v>
      </c>
      <c r="B94" s="3" t="s">
        <v>68</v>
      </c>
      <c r="C94" s="34" t="n">
        <f aca="false">'Label Sample'!H94</f>
        <v>0</v>
      </c>
      <c r="D94" s="3" t="str">
        <f aca="false">IF(C94="","",IF(C94=B94,1,0))</f>
        <v/>
      </c>
    </row>
    <row r="95" customFormat="false" ht="15" hidden="false" customHeight="true" outlineLevel="0" collapsed="false">
      <c r="A95" s="3" t="s">
        <v>1778</v>
      </c>
      <c r="B95" s="3" t="s">
        <v>68</v>
      </c>
      <c r="C95" s="34" t="n">
        <f aca="false">'Label Sample'!H95</f>
        <v>0</v>
      </c>
      <c r="D95" s="3" t="str">
        <f aca="false">IF(C95="","",IF(C95=B95,1,0))</f>
        <v/>
      </c>
    </row>
    <row r="96" customFormat="false" ht="15" hidden="false" customHeight="true" outlineLevel="0" collapsed="false">
      <c r="A96" s="3" t="s">
        <v>1815</v>
      </c>
      <c r="B96" s="3" t="s">
        <v>2727</v>
      </c>
      <c r="C96" s="34" t="n">
        <f aca="false">'Label Sample'!H96</f>
        <v>0</v>
      </c>
      <c r="D96" s="3" t="str">
        <f aca="false">IF(C96="","",IF(C96=B96,1,0))</f>
        <v/>
      </c>
    </row>
    <row r="97" customFormat="false" ht="15" hidden="false" customHeight="true" outlineLevel="0" collapsed="false">
      <c r="A97" s="3" t="s">
        <v>1826</v>
      </c>
      <c r="B97" s="3" t="s">
        <v>2725</v>
      </c>
      <c r="C97" s="34" t="n">
        <f aca="false">'Label Sample'!H97</f>
        <v>0</v>
      </c>
      <c r="D97" s="3" t="str">
        <f aca="false">IF(C97="","",IF(C97=B97,1,0))</f>
        <v/>
      </c>
    </row>
    <row r="98" customFormat="false" ht="15" hidden="false" customHeight="true" outlineLevel="0" collapsed="false">
      <c r="A98" s="3" t="s">
        <v>1828</v>
      </c>
      <c r="B98" s="3" t="s">
        <v>194</v>
      </c>
      <c r="C98" s="34" t="n">
        <f aca="false">'Label Sample'!H98</f>
        <v>0</v>
      </c>
      <c r="D98" s="3" t="str">
        <f aca="false">IF(C98="","",IF(C98=B98,1,0))</f>
        <v/>
      </c>
    </row>
    <row r="99" customFormat="false" ht="15" hidden="false" customHeight="true" outlineLevel="0" collapsed="false">
      <c r="A99" s="3" t="s">
        <v>1835</v>
      </c>
      <c r="B99" s="3" t="s">
        <v>194</v>
      </c>
      <c r="C99" s="34" t="n">
        <f aca="false">'Label Sample'!H99</f>
        <v>0</v>
      </c>
      <c r="D99" s="3" t="str">
        <f aca="false">IF(C99="","",IF(C99=B99,1,0))</f>
        <v/>
      </c>
    </row>
    <row r="100" customFormat="false" ht="15" hidden="false" customHeight="true" outlineLevel="0" collapsed="false">
      <c r="A100" s="3" t="s">
        <v>1871</v>
      </c>
      <c r="B100" s="3" t="s">
        <v>2727</v>
      </c>
      <c r="C100" s="34" t="n">
        <f aca="false">'Label Sample'!H100</f>
        <v>0</v>
      </c>
      <c r="D100" s="3" t="str">
        <f aca="false">IF(C100="","",IF(C100=B100,1,0))</f>
        <v/>
      </c>
    </row>
    <row r="101" customFormat="false" ht="15" hidden="false" customHeight="true" outlineLevel="0" collapsed="false">
      <c r="A101" s="3" t="s">
        <v>1882</v>
      </c>
      <c r="B101" s="3" t="s">
        <v>2727</v>
      </c>
      <c r="C101" s="34" t="n">
        <f aca="false">'Label Sample'!H101</f>
        <v>0</v>
      </c>
      <c r="D101" s="3" t="str">
        <f aca="false">IF(C101="","",IF(C101=B101,1,0))</f>
        <v/>
      </c>
    </row>
    <row r="102" customFormat="false" ht="15" hidden="false" customHeight="true" outlineLevel="0" collapsed="false">
      <c r="A102" s="3" t="s">
        <v>1914</v>
      </c>
      <c r="B102" s="3" t="s">
        <v>68</v>
      </c>
      <c r="C102" s="34" t="n">
        <f aca="false">'Label Sample'!H102</f>
        <v>0</v>
      </c>
      <c r="D102" s="3" t="str">
        <f aca="false">IF(C102="","",IF(C102=B102,1,0))</f>
        <v/>
      </c>
    </row>
    <row r="103" customFormat="false" ht="15" hidden="false" customHeight="true" outlineLevel="0" collapsed="false">
      <c r="A103" s="3" t="s">
        <v>1928</v>
      </c>
      <c r="B103" s="3" t="s">
        <v>194</v>
      </c>
      <c r="C103" s="34" t="n">
        <f aca="false">'Label Sample'!H103</f>
        <v>0</v>
      </c>
      <c r="D103" s="3" t="str">
        <f aca="false">IF(C103="","",IF(C103=B103,1,0))</f>
        <v/>
      </c>
    </row>
    <row r="104" customFormat="false" ht="15" hidden="false" customHeight="true" outlineLevel="0" collapsed="false">
      <c r="A104" s="3" t="s">
        <v>1938</v>
      </c>
      <c r="B104" s="3" t="s">
        <v>2727</v>
      </c>
      <c r="C104" s="34" t="n">
        <f aca="false">'Label Sample'!H104</f>
        <v>0</v>
      </c>
      <c r="D104" s="3" t="str">
        <f aca="false">IF(C104="","",IF(C104=B104,1,0))</f>
        <v/>
      </c>
    </row>
    <row r="105" customFormat="false" ht="15" hidden="false" customHeight="true" outlineLevel="0" collapsed="false">
      <c r="A105" s="3" t="s">
        <v>1948</v>
      </c>
      <c r="B105" s="3" t="s">
        <v>68</v>
      </c>
      <c r="C105" s="34" t="n">
        <f aca="false">'Label Sample'!H105</f>
        <v>0</v>
      </c>
      <c r="D105" s="3" t="str">
        <f aca="false">IF(C105="","",IF(C105=B105,1,0))</f>
        <v/>
      </c>
    </row>
    <row r="106" customFormat="false" ht="15" hidden="false" customHeight="true" outlineLevel="0" collapsed="false">
      <c r="A106" s="3" t="s">
        <v>1964</v>
      </c>
      <c r="B106" s="3" t="s">
        <v>68</v>
      </c>
      <c r="C106" s="34" t="n">
        <f aca="false">'Label Sample'!H106</f>
        <v>0</v>
      </c>
      <c r="D106" s="3" t="str">
        <f aca="false">IF(C106="","",IF(C106=B106,1,0))</f>
        <v/>
      </c>
    </row>
    <row r="107" customFormat="false" ht="15" hidden="false" customHeight="true" outlineLevel="0" collapsed="false">
      <c r="A107" s="3" t="s">
        <v>1968</v>
      </c>
      <c r="B107" s="3" t="s">
        <v>68</v>
      </c>
      <c r="C107" s="34" t="n">
        <f aca="false">'Label Sample'!H107</f>
        <v>0</v>
      </c>
      <c r="D107" s="3" t="str">
        <f aca="false">IF(C107="","",IF(C107=B107,1,0))</f>
        <v/>
      </c>
    </row>
    <row r="108" customFormat="false" ht="15" hidden="false" customHeight="true" outlineLevel="0" collapsed="false">
      <c r="A108" s="3" t="s">
        <v>1969</v>
      </c>
      <c r="B108" s="3" t="s">
        <v>2725</v>
      </c>
      <c r="C108" s="34" t="n">
        <f aca="false">'Label Sample'!H108</f>
        <v>0</v>
      </c>
      <c r="D108" s="3" t="str">
        <f aca="false">IF(C108="","",IF(C108=B108,1,0))</f>
        <v/>
      </c>
    </row>
    <row r="109" customFormat="false" ht="15" hidden="false" customHeight="true" outlineLevel="0" collapsed="false">
      <c r="A109" s="3" t="s">
        <v>1971</v>
      </c>
      <c r="B109" s="3" t="s">
        <v>68</v>
      </c>
      <c r="C109" s="34" t="n">
        <f aca="false">'Label Sample'!H109</f>
        <v>0</v>
      </c>
      <c r="D109" s="3" t="str">
        <f aca="false">IF(C109="","",IF(C109=B109,1,0))</f>
        <v/>
      </c>
    </row>
    <row r="110" customFormat="false" ht="15" hidden="false" customHeight="true" outlineLevel="0" collapsed="false">
      <c r="A110" s="3" t="s">
        <v>1986</v>
      </c>
      <c r="B110" s="3" t="s">
        <v>2727</v>
      </c>
      <c r="C110" s="34" t="n">
        <f aca="false">'Label Sample'!H110</f>
        <v>0</v>
      </c>
      <c r="D110" s="3" t="str">
        <f aca="false">IF(C110="","",IF(C110=B110,1,0))</f>
        <v/>
      </c>
    </row>
    <row r="111" customFormat="false" ht="15" hidden="false" customHeight="true" outlineLevel="0" collapsed="false">
      <c r="A111" s="3" t="s">
        <v>1988</v>
      </c>
      <c r="B111" s="3" t="s">
        <v>68</v>
      </c>
      <c r="C111" s="34" t="n">
        <f aca="false">'Label Sample'!H111</f>
        <v>0</v>
      </c>
      <c r="D111" s="3" t="str">
        <f aca="false">IF(C111="","",IF(C111=B111,1,0))</f>
        <v/>
      </c>
    </row>
    <row r="112" customFormat="false" ht="15" hidden="false" customHeight="true" outlineLevel="0" collapsed="false">
      <c r="A112" s="3" t="s">
        <v>1993</v>
      </c>
      <c r="B112" s="3" t="s">
        <v>2727</v>
      </c>
      <c r="C112" s="34" t="n">
        <f aca="false">'Label Sample'!H112</f>
        <v>0</v>
      </c>
      <c r="D112" s="3" t="str">
        <f aca="false">IF(C112="","",IF(C112=B112,1,0))</f>
        <v/>
      </c>
    </row>
    <row r="113" customFormat="false" ht="15" hidden="false" customHeight="true" outlineLevel="0" collapsed="false">
      <c r="A113" s="3" t="s">
        <v>2002</v>
      </c>
      <c r="B113" s="3" t="s">
        <v>2725</v>
      </c>
      <c r="C113" s="34" t="n">
        <f aca="false">'Label Sample'!H113</f>
        <v>0</v>
      </c>
      <c r="D113" s="3" t="str">
        <f aca="false">IF(C113="","",IF(C113=B113,1,0))</f>
        <v/>
      </c>
    </row>
    <row r="114" customFormat="false" ht="15" hidden="false" customHeight="true" outlineLevel="0" collapsed="false">
      <c r="A114" s="3" t="s">
        <v>2008</v>
      </c>
      <c r="B114" s="3" t="s">
        <v>194</v>
      </c>
      <c r="C114" s="34" t="n">
        <f aca="false">'Label Sample'!H114</f>
        <v>0</v>
      </c>
      <c r="D114" s="3" t="str">
        <f aca="false">IF(C114="","",IF(C114=B114,1,0))</f>
        <v/>
      </c>
    </row>
    <row r="115" customFormat="false" ht="15" hidden="false" customHeight="true" outlineLevel="0" collapsed="false">
      <c r="A115" s="3" t="s">
        <v>2021</v>
      </c>
      <c r="B115" s="3" t="s">
        <v>2727</v>
      </c>
      <c r="C115" s="34" t="n">
        <f aca="false">'Label Sample'!H115</f>
        <v>0</v>
      </c>
      <c r="D115" s="3" t="str">
        <f aca="false">IF(C115="","",IF(C115=B115,1,0))</f>
        <v/>
      </c>
    </row>
    <row r="116" customFormat="false" ht="15" hidden="false" customHeight="true" outlineLevel="0" collapsed="false">
      <c r="A116" s="3" t="s">
        <v>2028</v>
      </c>
      <c r="B116" s="3" t="s">
        <v>194</v>
      </c>
      <c r="C116" s="34" t="n">
        <f aca="false">'Label Sample'!H116</f>
        <v>0</v>
      </c>
      <c r="D116" s="3" t="str">
        <f aca="false">IF(C116="","",IF(C116=B116,1,0))</f>
        <v/>
      </c>
    </row>
    <row r="117" customFormat="false" ht="15" hidden="false" customHeight="true" outlineLevel="0" collapsed="false">
      <c r="A117" s="3" t="s">
        <v>2031</v>
      </c>
      <c r="B117" s="3" t="s">
        <v>194</v>
      </c>
      <c r="C117" s="34" t="n">
        <f aca="false">'Label Sample'!H117</f>
        <v>0</v>
      </c>
      <c r="D117" s="3" t="str">
        <f aca="false">IF(C117="","",IF(C117=B117,1,0))</f>
        <v/>
      </c>
    </row>
    <row r="118" customFormat="false" ht="15" hidden="false" customHeight="true" outlineLevel="0" collapsed="false">
      <c r="A118" s="3" t="s">
        <v>2037</v>
      </c>
      <c r="B118" s="3" t="s">
        <v>68</v>
      </c>
      <c r="C118" s="34" t="n">
        <f aca="false">'Label Sample'!H118</f>
        <v>0</v>
      </c>
      <c r="D118" s="3" t="str">
        <f aca="false">IF(C118="","",IF(C118=B118,1,0))</f>
        <v/>
      </c>
    </row>
    <row r="119" customFormat="false" ht="15" hidden="false" customHeight="true" outlineLevel="0" collapsed="false">
      <c r="A119" s="3" t="s">
        <v>2040</v>
      </c>
      <c r="B119" s="3" t="s">
        <v>2727</v>
      </c>
      <c r="C119" s="34" t="n">
        <f aca="false">'Label Sample'!H119</f>
        <v>0</v>
      </c>
      <c r="D119" s="3" t="str">
        <f aca="false">IF(C119="","",IF(C119=B119,1,0))</f>
        <v/>
      </c>
    </row>
    <row r="120" customFormat="false" ht="15" hidden="false" customHeight="true" outlineLevel="0" collapsed="false">
      <c r="A120" s="3" t="s">
        <v>2046</v>
      </c>
      <c r="B120" s="3" t="s">
        <v>68</v>
      </c>
      <c r="C120" s="34" t="n">
        <f aca="false">'Label Sample'!H120</f>
        <v>0</v>
      </c>
      <c r="D120" s="3" t="str">
        <f aca="false">IF(C120="","",IF(C120=B120,1,0))</f>
        <v/>
      </c>
    </row>
    <row r="121" customFormat="false" ht="15" hidden="false" customHeight="true" outlineLevel="0" collapsed="false">
      <c r="A121" s="3" t="s">
        <v>2052</v>
      </c>
      <c r="B121" s="3" t="s">
        <v>68</v>
      </c>
      <c r="C121" s="34" t="n">
        <f aca="false">'Label Sample'!H121</f>
        <v>0</v>
      </c>
      <c r="D121" s="3" t="str">
        <f aca="false">IF(C121="","",IF(C121=B121,1,0))</f>
        <v/>
      </c>
    </row>
    <row r="122" customFormat="false" ht="15" hidden="false" customHeight="true" outlineLevel="0" collapsed="false">
      <c r="A122" s="3" t="s">
        <v>2055</v>
      </c>
      <c r="B122" s="3" t="s">
        <v>2725</v>
      </c>
      <c r="C122" s="34" t="n">
        <f aca="false">'Label Sample'!H122</f>
        <v>0</v>
      </c>
      <c r="D122" s="3" t="str">
        <f aca="false">IF(C122="","",IF(C122=B122,1,0))</f>
        <v/>
      </c>
    </row>
    <row r="123" customFormat="false" ht="15" hidden="false" customHeight="true" outlineLevel="0" collapsed="false">
      <c r="A123" s="3" t="s">
        <v>2064</v>
      </c>
      <c r="B123" s="3" t="s">
        <v>194</v>
      </c>
      <c r="C123" s="34" t="n">
        <f aca="false">'Label Sample'!H123</f>
        <v>0</v>
      </c>
      <c r="D123" s="3" t="str">
        <f aca="false">IF(C123="","",IF(C123=B123,1,0))</f>
        <v/>
      </c>
    </row>
    <row r="124" customFormat="false" ht="15" hidden="false" customHeight="true" outlineLevel="0" collapsed="false">
      <c r="A124" s="3" t="s">
        <v>2088</v>
      </c>
      <c r="B124" s="3" t="s">
        <v>68</v>
      </c>
      <c r="C124" s="34" t="n">
        <f aca="false">'Label Sample'!H124</f>
        <v>0</v>
      </c>
      <c r="D124" s="3" t="str">
        <f aca="false">IF(C124="","",IF(C124=B124,1,0))</f>
        <v/>
      </c>
    </row>
    <row r="125" customFormat="false" ht="15" hidden="false" customHeight="true" outlineLevel="0" collapsed="false">
      <c r="A125" s="3" t="s">
        <v>2133</v>
      </c>
      <c r="B125" s="3" t="s">
        <v>194</v>
      </c>
      <c r="C125" s="34" t="n">
        <f aca="false">'Label Sample'!H125</f>
        <v>0</v>
      </c>
      <c r="D125" s="3" t="str">
        <f aca="false">IF(C125="","",IF(C125=B125,1,0))</f>
        <v/>
      </c>
    </row>
    <row r="126" customFormat="false" ht="15" hidden="false" customHeight="true" outlineLevel="0" collapsed="false">
      <c r="A126" s="3" t="s">
        <v>2137</v>
      </c>
      <c r="B126" s="3" t="s">
        <v>2727</v>
      </c>
      <c r="C126" s="34" t="n">
        <f aca="false">'Label Sample'!H126</f>
        <v>0</v>
      </c>
      <c r="D126" s="3" t="str">
        <f aca="false">IF(C126="","",IF(C126=B126,1,0))</f>
        <v/>
      </c>
    </row>
    <row r="127" customFormat="false" ht="15" hidden="false" customHeight="true" outlineLevel="0" collapsed="false">
      <c r="A127" s="3" t="s">
        <v>2159</v>
      </c>
      <c r="B127" s="3" t="s">
        <v>194</v>
      </c>
      <c r="C127" s="34" t="n">
        <f aca="false">'Label Sample'!H127</f>
        <v>0</v>
      </c>
      <c r="D127" s="3" t="str">
        <f aca="false">IF(C127="","",IF(C127=B127,1,0))</f>
        <v/>
      </c>
    </row>
    <row r="128" customFormat="false" ht="15" hidden="false" customHeight="true" outlineLevel="0" collapsed="false">
      <c r="A128" s="3" t="s">
        <v>2185</v>
      </c>
      <c r="B128" s="3" t="s">
        <v>194</v>
      </c>
      <c r="C128" s="34" t="n">
        <f aca="false">'Label Sample'!H128</f>
        <v>0</v>
      </c>
      <c r="D128" s="3" t="str">
        <f aca="false">IF(C128="","",IF(C128=B128,1,0))</f>
        <v/>
      </c>
    </row>
    <row r="129" customFormat="false" ht="15" hidden="false" customHeight="true" outlineLevel="0" collapsed="false">
      <c r="A129" s="3" t="s">
        <v>2192</v>
      </c>
      <c r="B129" s="3" t="s">
        <v>68</v>
      </c>
      <c r="C129" s="34" t="n">
        <f aca="false">'Label Sample'!H129</f>
        <v>0</v>
      </c>
      <c r="D129" s="3" t="str">
        <f aca="false">IF(C129="","",IF(C129=B129,1,0))</f>
        <v/>
      </c>
    </row>
    <row r="130" customFormat="false" ht="15" hidden="false" customHeight="true" outlineLevel="0" collapsed="false">
      <c r="A130" s="3" t="s">
        <v>2217</v>
      </c>
      <c r="B130" s="3" t="s">
        <v>2725</v>
      </c>
      <c r="C130" s="34" t="n">
        <f aca="false">'Label Sample'!H130</f>
        <v>0</v>
      </c>
      <c r="D130" s="3" t="str">
        <f aca="false">IF(C130="","",IF(C130=B130,1,0))</f>
        <v/>
      </c>
    </row>
    <row r="131" customFormat="false" ht="15" hidden="false" customHeight="true" outlineLevel="0" collapsed="false">
      <c r="A131" s="3" t="s">
        <v>2238</v>
      </c>
      <c r="B131" s="3" t="s">
        <v>194</v>
      </c>
      <c r="C131" s="34" t="n">
        <f aca="false">'Label Sample'!H131</f>
        <v>0</v>
      </c>
      <c r="D131" s="3" t="str">
        <f aca="false">IF(C131="","",IF(C131=B131,1,0))</f>
        <v/>
      </c>
    </row>
    <row r="132" customFormat="false" ht="15" hidden="false" customHeight="true" outlineLevel="0" collapsed="false">
      <c r="A132" s="3" t="s">
        <v>2252</v>
      </c>
      <c r="B132" s="3" t="s">
        <v>194</v>
      </c>
      <c r="C132" s="34" t="n">
        <f aca="false">'Label Sample'!H132</f>
        <v>0</v>
      </c>
      <c r="D132" s="3" t="str">
        <f aca="false">IF(C132="","",IF(C132=B132,1,0))</f>
        <v/>
      </c>
    </row>
    <row r="133" customFormat="false" ht="15" hidden="false" customHeight="true" outlineLevel="0" collapsed="false">
      <c r="A133" s="3" t="s">
        <v>2289</v>
      </c>
      <c r="B133" s="3" t="s">
        <v>68</v>
      </c>
      <c r="C133" s="34" t="n">
        <f aca="false">'Label Sample'!H133</f>
        <v>0</v>
      </c>
      <c r="D133" s="3" t="str">
        <f aca="false">IF(C133="","",IF(C133=B133,1,0))</f>
        <v/>
      </c>
    </row>
    <row r="134" customFormat="false" ht="15" hidden="false" customHeight="true" outlineLevel="0" collapsed="false">
      <c r="A134" s="3" t="s">
        <v>2296</v>
      </c>
      <c r="B134" s="3" t="s">
        <v>194</v>
      </c>
      <c r="C134" s="34" t="n">
        <f aca="false">'Label Sample'!H134</f>
        <v>0</v>
      </c>
      <c r="D134" s="3" t="str">
        <f aca="false">IF(C134="","",IF(C134=B134,1,0))</f>
        <v/>
      </c>
    </row>
    <row r="135" customFormat="false" ht="15" hidden="false" customHeight="true" outlineLevel="0" collapsed="false">
      <c r="A135" s="3" t="s">
        <v>2326</v>
      </c>
      <c r="B135" s="3" t="s">
        <v>68</v>
      </c>
      <c r="C135" s="34" t="n">
        <f aca="false">'Label Sample'!H135</f>
        <v>0</v>
      </c>
      <c r="D135" s="3" t="str">
        <f aca="false">IF(C135="","",IF(C135=B135,1,0))</f>
        <v/>
      </c>
    </row>
    <row r="136" customFormat="false" ht="15" hidden="false" customHeight="true" outlineLevel="0" collapsed="false">
      <c r="A136" s="3" t="s">
        <v>2331</v>
      </c>
      <c r="B136" s="3" t="s">
        <v>2725</v>
      </c>
      <c r="C136" s="34" t="n">
        <f aca="false">'Label Sample'!H136</f>
        <v>0</v>
      </c>
      <c r="D136" s="3" t="str">
        <f aca="false">IF(C136="","",IF(C136=B136,1,0))</f>
        <v/>
      </c>
    </row>
    <row r="137" customFormat="false" ht="15" hidden="false" customHeight="true" outlineLevel="0" collapsed="false">
      <c r="A137" s="3" t="s">
        <v>2371</v>
      </c>
      <c r="B137" s="3" t="s">
        <v>2727</v>
      </c>
      <c r="C137" s="34" t="n">
        <f aca="false">'Label Sample'!H137</f>
        <v>0</v>
      </c>
      <c r="D137" s="3" t="str">
        <f aca="false">IF(C137="","",IF(C137=B137,1,0))</f>
        <v/>
      </c>
    </row>
    <row r="138" customFormat="false" ht="15" hidden="false" customHeight="true" outlineLevel="0" collapsed="false">
      <c r="A138" s="3" t="s">
        <v>2374</v>
      </c>
      <c r="B138" s="3" t="s">
        <v>68</v>
      </c>
      <c r="C138" s="34" t="n">
        <f aca="false">'Label Sample'!H138</f>
        <v>0</v>
      </c>
      <c r="D138" s="3" t="str">
        <f aca="false">IF(C138="","",IF(C138=B138,1,0))</f>
        <v/>
      </c>
    </row>
    <row r="139" customFormat="false" ht="15" hidden="false" customHeight="true" outlineLevel="0" collapsed="false">
      <c r="A139" s="3" t="s">
        <v>2376</v>
      </c>
      <c r="B139" s="3" t="s">
        <v>194</v>
      </c>
      <c r="C139" s="34" t="n">
        <f aca="false">'Label Sample'!H139</f>
        <v>0</v>
      </c>
      <c r="D139" s="3" t="str">
        <f aca="false">IF(C139="","",IF(C139=B139,1,0))</f>
        <v/>
      </c>
    </row>
    <row r="140" customFormat="false" ht="15" hidden="false" customHeight="true" outlineLevel="0" collapsed="false">
      <c r="A140" s="3" t="s">
        <v>2405</v>
      </c>
      <c r="B140" s="3" t="s">
        <v>68</v>
      </c>
      <c r="C140" s="34" t="n">
        <f aca="false">'Label Sample'!H140</f>
        <v>0</v>
      </c>
      <c r="D140" s="3" t="str">
        <f aca="false">IF(C140="","",IF(C140=B140,1,0))</f>
        <v/>
      </c>
    </row>
    <row r="141" customFormat="false" ht="15" hidden="false" customHeight="true" outlineLevel="0" collapsed="false">
      <c r="A141" s="3" t="s">
        <v>2414</v>
      </c>
      <c r="B141" s="3" t="s">
        <v>68</v>
      </c>
      <c r="C141" s="34" t="n">
        <f aca="false">'Label Sample'!H141</f>
        <v>0</v>
      </c>
      <c r="D141" s="3" t="str">
        <f aca="false">IF(C141="","",IF(C141=B141,1,0))</f>
        <v/>
      </c>
    </row>
    <row r="142" customFormat="false" ht="15" hidden="false" customHeight="true" outlineLevel="0" collapsed="false">
      <c r="A142" s="3" t="s">
        <v>2420</v>
      </c>
      <c r="B142" s="3" t="s">
        <v>2725</v>
      </c>
      <c r="C142" s="34" t="n">
        <f aca="false">'Label Sample'!H142</f>
        <v>0</v>
      </c>
      <c r="D142" s="3" t="str">
        <f aca="false">IF(C142="","",IF(C142=B142,1,0))</f>
        <v/>
      </c>
    </row>
    <row r="143" customFormat="false" ht="15" hidden="false" customHeight="true" outlineLevel="0" collapsed="false">
      <c r="A143" s="3" t="s">
        <v>2422</v>
      </c>
      <c r="B143" s="3" t="s">
        <v>68</v>
      </c>
      <c r="C143" s="34" t="n">
        <f aca="false">'Label Sample'!H143</f>
        <v>0</v>
      </c>
      <c r="D143" s="3" t="str">
        <f aca="false">IF(C143="","",IF(C143=B143,1,0))</f>
        <v/>
      </c>
    </row>
    <row r="144" customFormat="false" ht="15" hidden="false" customHeight="true" outlineLevel="0" collapsed="false">
      <c r="A144" s="3" t="s">
        <v>2472</v>
      </c>
      <c r="B144" s="3" t="s">
        <v>68</v>
      </c>
      <c r="C144" s="34" t="n">
        <f aca="false">'Label Sample'!H144</f>
        <v>0</v>
      </c>
      <c r="D144" s="3" t="str">
        <f aca="false">IF(C144="","",IF(C144=B144,1,0))</f>
        <v/>
      </c>
    </row>
    <row r="145" customFormat="false" ht="15" hidden="false" customHeight="true" outlineLevel="0" collapsed="false">
      <c r="A145" s="3" t="s">
        <v>2473</v>
      </c>
      <c r="B145" s="3" t="s">
        <v>194</v>
      </c>
      <c r="C145" s="34" t="n">
        <f aca="false">'Label Sample'!H145</f>
        <v>0</v>
      </c>
      <c r="D145" s="3" t="str">
        <f aca="false">IF(C145="","",IF(C145=B145,1,0))</f>
        <v/>
      </c>
    </row>
    <row r="146" customFormat="false" ht="15" hidden="false" customHeight="true" outlineLevel="0" collapsed="false">
      <c r="A146" s="3" t="s">
        <v>2496</v>
      </c>
      <c r="B146" s="3" t="s">
        <v>2725</v>
      </c>
      <c r="C146" s="34" t="n">
        <f aca="false">'Label Sample'!H146</f>
        <v>0</v>
      </c>
      <c r="D146" s="3" t="str">
        <f aca="false">IF(C146="","",IF(C146=B146,1,0))</f>
        <v/>
      </c>
    </row>
    <row r="147" customFormat="false" ht="15" hidden="false" customHeight="true" outlineLevel="0" collapsed="false">
      <c r="A147" s="3" t="s">
        <v>2518</v>
      </c>
      <c r="B147" s="3" t="s">
        <v>194</v>
      </c>
      <c r="C147" s="34" t="n">
        <f aca="false">'Label Sample'!H147</f>
        <v>0</v>
      </c>
      <c r="D147" s="3" t="str">
        <f aca="false">IF(C147="","",IF(C147=B147,1,0))</f>
        <v/>
      </c>
    </row>
    <row r="148" customFormat="false" ht="15" hidden="false" customHeight="true" outlineLevel="0" collapsed="false">
      <c r="A148" s="3" t="s">
        <v>2530</v>
      </c>
      <c r="B148" s="3" t="s">
        <v>68</v>
      </c>
      <c r="C148" s="34" t="n">
        <f aca="false">'Label Sample'!H148</f>
        <v>0</v>
      </c>
      <c r="D148" s="3" t="str">
        <f aca="false">IF(C148="","",IF(C148=B148,1,0))</f>
        <v/>
      </c>
    </row>
    <row r="149" customFormat="false" ht="15" hidden="false" customHeight="true" outlineLevel="0" collapsed="false">
      <c r="A149" s="3" t="s">
        <v>2544</v>
      </c>
      <c r="B149" s="3" t="s">
        <v>194</v>
      </c>
      <c r="C149" s="34" t="n">
        <f aca="false">'Label Sample'!H149</f>
        <v>0</v>
      </c>
      <c r="D149" s="3" t="str">
        <f aca="false">IF(C149="","",IF(C149=B149,1,0))</f>
        <v/>
      </c>
    </row>
    <row r="150" customFormat="false" ht="15" hidden="false" customHeight="true" outlineLevel="0" collapsed="false">
      <c r="A150" s="3" t="s">
        <v>2552</v>
      </c>
      <c r="B150" s="3" t="s">
        <v>68</v>
      </c>
      <c r="C150" s="34" t="n">
        <f aca="false">'Label Sample'!H150</f>
        <v>0</v>
      </c>
      <c r="D150" s="3" t="str">
        <f aca="false">IF(C150="","",IF(C150=B150,1,0))</f>
        <v/>
      </c>
    </row>
    <row r="151" customFormat="false" ht="15" hidden="false" customHeight="true" outlineLevel="0" collapsed="false">
      <c r="A151" s="3" t="s">
        <v>2561</v>
      </c>
      <c r="B151" s="3" t="s">
        <v>194</v>
      </c>
      <c r="C151" s="34" t="n">
        <f aca="false">'Label Sample'!H151</f>
        <v>0</v>
      </c>
      <c r="D151" s="3" t="str">
        <f aca="false">IF(C151="","",IF(C151=B151,1,0))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2026-09-25T09:26:21Z</dcterms:created>
  <dc:creator>openpyxl</dc:creator>
  <dc:description/>
  <dc:language>en-US</dc:language>
  <cp:lastModifiedBy/>
  <dcterms:modified xsi:type="dcterms:W3CDTF">2026-09-25T10:54:27Z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